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Lu\02_Work\01_Project\04_戴师兄免费课\EXCEL\2.2_Excel月度成交仪表盘\数据处理\"/>
    </mc:Choice>
  </mc:AlternateContent>
  <xr:revisionPtr revIDLastSave="0" documentId="13_ncr:1_{B7615617-89C7-49BD-BCF6-F0D24ACA5E2F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中间表数据" sheetId="4" r:id="rId1"/>
    <sheet name="中间表-图表" sheetId="5" r:id="rId2"/>
    <sheet name="源数据" sheetId="1" r:id="rId3"/>
    <sheet name="Dashboard (2)" sheetId="3" r:id="rId4"/>
  </sheets>
  <definedNames>
    <definedName name="ExternalData_1" localSheetId="2" hidden="1">源数据!$A$1:$O$3989</definedName>
    <definedName name="切片器_成交月份">#N/A</definedName>
    <definedName name="切片器_区域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3" l="1"/>
  <c r="H55" i="3"/>
  <c r="H56" i="3"/>
  <c r="H57" i="3"/>
  <c r="H58" i="3"/>
  <c r="H53" i="3"/>
  <c r="F54" i="3"/>
  <c r="F55" i="3"/>
  <c r="F56" i="3"/>
  <c r="F57" i="3"/>
  <c r="F58" i="3"/>
  <c r="F53" i="3"/>
  <c r="D54" i="3"/>
  <c r="D55" i="3"/>
  <c r="D56" i="3"/>
  <c r="D57" i="3"/>
  <c r="D58" i="3"/>
  <c r="D53" i="3"/>
  <c r="B54" i="3"/>
  <c r="B55" i="3"/>
  <c r="B56" i="3"/>
  <c r="B57" i="3"/>
  <c r="B58" i="3"/>
  <c r="B53" i="3"/>
  <c r="C54" i="3"/>
  <c r="C55" i="3"/>
  <c r="C56" i="3"/>
  <c r="C57" i="3"/>
  <c r="C58" i="3"/>
  <c r="C53" i="3"/>
  <c r="H17" i="3"/>
  <c r="H18" i="3"/>
  <c r="H19" i="3"/>
  <c r="H20" i="3"/>
  <c r="H21" i="3"/>
  <c r="H22" i="3"/>
  <c r="H23" i="3"/>
  <c r="H24" i="3"/>
  <c r="H25" i="3"/>
  <c r="H16" i="3"/>
  <c r="F17" i="3"/>
  <c r="F18" i="3"/>
  <c r="F19" i="3"/>
  <c r="F20" i="3"/>
  <c r="F21" i="3"/>
  <c r="F22" i="3"/>
  <c r="F23" i="3"/>
  <c r="F24" i="3"/>
  <c r="F25" i="3"/>
  <c r="F16" i="3"/>
  <c r="B17" i="3"/>
  <c r="C17" i="3"/>
  <c r="D1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C16" i="3"/>
  <c r="D16" i="3"/>
  <c r="B16" i="3"/>
  <c r="I54" i="3"/>
  <c r="I55" i="3"/>
  <c r="I56" i="3"/>
  <c r="I57" i="3"/>
  <c r="I58" i="3"/>
  <c r="I53" i="3"/>
  <c r="G54" i="3"/>
  <c r="G55" i="3"/>
  <c r="G56" i="3"/>
  <c r="G57" i="3"/>
  <c r="G58" i="3"/>
  <c r="G53" i="3"/>
  <c r="E57" i="3"/>
  <c r="E58" i="3"/>
  <c r="E54" i="3"/>
  <c r="E55" i="3"/>
  <c r="E56" i="3"/>
  <c r="E53" i="3"/>
  <c r="E16" i="3"/>
  <c r="I17" i="3"/>
  <c r="I18" i="3"/>
  <c r="I19" i="3"/>
  <c r="I20" i="3"/>
  <c r="I23" i="3"/>
  <c r="I24" i="3"/>
  <c r="I21" i="3"/>
  <c r="I22" i="3"/>
  <c r="I25" i="3"/>
  <c r="I16" i="3"/>
  <c r="G17" i="3"/>
  <c r="G18" i="3"/>
  <c r="G19" i="3"/>
  <c r="G23" i="3"/>
  <c r="G20" i="3"/>
  <c r="G21" i="3"/>
  <c r="G22" i="3"/>
  <c r="G24" i="3"/>
  <c r="G25" i="3"/>
  <c r="G16" i="3"/>
  <c r="E17" i="3"/>
  <c r="E18" i="3"/>
  <c r="E19" i="3"/>
  <c r="E24" i="3"/>
  <c r="E20" i="3"/>
  <c r="E21" i="3"/>
  <c r="E23" i="3"/>
  <c r="E22" i="3"/>
  <c r="E25" i="3"/>
  <c r="E26" i="3"/>
  <c r="B1" i="3" l="1"/>
  <c r="E6" i="3"/>
  <c r="E5" i="3"/>
  <c r="H9" i="3"/>
  <c r="H8" i="3"/>
  <c r="C9" i="3"/>
  <c r="C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6ACDCD-C3D2-4191-B68C-10D5E57A0373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6DCCB81F-4084-43B7-A1AA-B189000FC20B}" keepAlive="1" name="查询 - 参数2" description="与工作簿中“参数2”查询的连接。" type="5" refreshedVersion="0" background="1">
    <dbPr connection="Provider=Microsoft.Mashup.OleDb.1;Data Source=$Workbook$;Location=参数2;Extended Properties=&quot;&quot;" command="SELECT * FROM [参数2]"/>
  </connection>
  <connection id="3" xr16:uid="{AD7D2818-3139-468C-A767-FD1EDE4568C5}" keepAlive="1" name="查询 - 汇总数据" description="与工作簿中“汇总数据”查询的连接。" type="5" refreshedVersion="8" background="1" saveData="1">
    <dbPr connection="Provider=Microsoft.Mashup.OleDb.1;Data Source=$Workbook$;Location=汇总数据;Extended Properties=&quot;&quot;" command="SELECT * FROM [汇总数据]"/>
  </connection>
  <connection id="4" xr16:uid="{9A0EA48C-87A1-4089-ADB5-16790DA1DD33}" keepAlive="1" name="查询 - 历史数据" description="与工作簿中“历史数据”查询的连接。" type="5" refreshedVersion="0" background="1">
    <dbPr connection="Provider=Microsoft.Mashup.OleDb.1;Data Source=$Workbook$;Location=历史数据;Extended Properties=&quot;&quot;" command="SELECT * FROM [历史数据]"/>
  </connection>
  <connection id="5" xr16:uid="{17C411FB-22E6-4A11-9238-7B903ABC2F7F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6" xr16:uid="{A0B84E88-1AFC-41E1-BCA5-E633B1E21969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7" xr16:uid="{03E6225F-D1BD-40FA-95D2-E71F66438C76}" keepAlive="1" name="查询 - 数据处理" description="与工作簿中“数据处理”查询的连接。" type="5" refreshedVersion="0" background="1">
    <dbPr connection="Provider=Microsoft.Mashup.OleDb.1;Data Source=$Workbook$;Location=数据处理;Extended Properties=&quot;&quot;" command="SELECT * FROM [数据处理]"/>
  </connection>
  <connection id="8" xr16:uid="{8E524EF0-79A0-41F2-91B0-5C36ECC3E8B5}" keepAlive="1" name="查询 - 销售人员表" description="与工作簿中“销售人员表”查询的连接。" type="5" refreshedVersion="0" background="1">
    <dbPr connection="Provider=Microsoft.Mashup.OleDb.1;Data Source=$Workbook$;Location=销售人员表;Extended Properties=&quot;&quot;" command="SELECT * FROM [销售人员表]"/>
  </connection>
  <connection id="9" xr16:uid="{0EE9241C-6B04-4A6A-A0D4-D8443B933C63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0" xr16:uid="{31832463-2C8A-44EC-A476-58426894EED8}" keepAlive="1" name="查询 - 转换示例文件 (2)" description="与工作簿中“转换示例文件 (2)”查询的连接。" type="5" refreshedVersion="0" background="1">
    <dbPr connection="Provider=Microsoft.Mashup.OleDb.1;Data Source=$Workbook$;Location=&quot;转换示例文件 (2)&quot;;Extended Properties=&quot;&quot;" command="SELECT * FROM [转换示例文件 (2)]"/>
  </connection>
  <connection id="11" xr16:uid="{ED67E893-2F5B-4274-B6EA-77CA018834FC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AF16D68A-B8AA-4158-9E2D-017A08F77C20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<sst xmlns="http://schemas.openxmlformats.org/spreadsheetml/2006/main" count="32056" uniqueCount="96">
  <si>
    <t>成交日期</t>
  </si>
  <si>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</si>
  <si>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</si>
  <si>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</si>
  <si>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</si>
  <si>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</si>
  <si>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</si>
  <si>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</si>
  <si>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</si>
  <si>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</si>
  <si>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</si>
  <si>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</si>
  <si>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</si>
  <si>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</si>
  <si>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</si>
  <si>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</si>
  <si>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</si>
  <si>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</si>
  <si>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</si>
  <si>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</si>
  <si>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</si>
  <si>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</si>
  <si>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</si>
  <si>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</si>
  <si>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</si>
  <si>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</si>
  <si>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</si>
  <si>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</si>
  <si>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</si>
  <si>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</si>
  <si>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</si>
  <si>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</si>
  <si>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</si>
  <si>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</si>
  <si>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</si>
  <si>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</si>
  <si>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</si>
  <si>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</si>
  <si>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</si>
  <si>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</si>
  <si>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</si>
  <si>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</si>
  <si>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</si>
  <si>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</si>
  <si>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</si>
  <si>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</si>
  <si>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</si>
  <si>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</si>
  <si>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</si>
  <si>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</si>
  <si>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</si>
  <si>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</si>
  <si>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</si>
  <si>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</si>
  <si>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</si>
  <si>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</si>
  <si>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</si>
  <si>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</si>
  <si>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</si>
  <si>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</si>
  <si>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</si>
  <si>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</si>
  <si>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</si>
  <si>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南京四组</t>
  </si>
  <si>
    <t>杭州三组</t>
  </si>
  <si>
    <t>南宁</t>
  </si>
  <si>
    <t>南宁一组</t>
  </si>
  <si>
    <t>广州二组</t>
  </si>
  <si>
    <t>合肥二组</t>
  </si>
  <si>
    <t>北京一组</t>
  </si>
  <si>
    <t>上海三组</t>
  </si>
  <si>
    <t>借呗9期</t>
  </si>
  <si>
    <t>9期</t>
  </si>
  <si>
    <t>借呗3期</t>
  </si>
  <si>
    <t>3期</t>
  </si>
  <si>
    <t>借呗1期</t>
  </si>
  <si>
    <t>1期</t>
  </si>
  <si>
    <t>求和项:成交金额</t>
  </si>
  <si>
    <t>求和项:成交客户数</t>
  </si>
  <si>
    <t>求和项:总客单价</t>
  </si>
  <si>
    <t>行标签</t>
  </si>
  <si>
    <t>总计</t>
  </si>
  <si>
    <t>求和项:成交金额月环比</t>
  </si>
  <si>
    <t>求和项:成交客户数月环比</t>
  </si>
  <si>
    <t>求和项:总客单价月环比</t>
  </si>
  <si>
    <t>成交金额</t>
    <phoneticPr fontId="1" type="noConversion"/>
  </si>
  <si>
    <t>成交用户数</t>
    <phoneticPr fontId="1" type="noConversion"/>
  </si>
  <si>
    <t>成交客单价</t>
    <phoneticPr fontId="1" type="noConversion"/>
  </si>
  <si>
    <t>省份成交明细</t>
    <phoneticPr fontId="1" type="noConversion"/>
  </si>
  <si>
    <t>月环比</t>
  </si>
  <si>
    <t>区域成交趋势</t>
    <phoneticPr fontId="1" type="noConversion"/>
  </si>
  <si>
    <t>列标签</t>
  </si>
  <si>
    <t>产品成交明细</t>
    <phoneticPr fontId="1" type="noConversion"/>
  </si>
  <si>
    <t>占比</t>
  </si>
  <si>
    <t>求和项:成交占比</t>
  </si>
  <si>
    <t>产品成交趋势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</si>
</sst>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_ "/>
    <numFmt numFmtId="177" formatCode="#,##0_ "/>
    <numFmt numFmtId="178" formatCode="m/d;@"/>
    <numFmt numFmtId="179" formatCode="0\.0,&quot;w&quot;"/>
    <numFmt numFmtId="180" formatCode="[Color10]0%\▲;[Red]\-0%\▼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20"/>
      <color theme="0"/>
      <name val="微软雅黑"/>
      <family val="2"/>
      <charset val="134"/>
    </font>
    <font>
      <b/>
      <sz val="12"/>
      <color theme="5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176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78" fontId="0" fillId="0" borderId="0" xfId="0" applyNumberFormat="1" applyAlignment="1">
      <alignment horizontal="left"/>
    </xf>
    <xf numFmtId="179" fontId="0" fillId="0" borderId="0" xfId="0" applyNumberFormat="1"/>
    <xf numFmtId="178" fontId="0" fillId="0" borderId="0" xfId="0" pivotButton="1" applyNumberFormat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5" fillId="2" borderId="7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7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80" fontId="7" fillId="0" borderId="0" xfId="0" applyNumberFormat="1" applyFont="1" applyAlignment="1">
      <alignment horizontal="center"/>
    </xf>
    <xf numFmtId="180" fontId="6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/>
    </xf>
    <xf numFmtId="1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80" fontId="2" fillId="0" borderId="0" xfId="0" applyNumberFormat="1" applyFont="1" applyAlignment="1">
      <alignment horizontal="right"/>
    </xf>
    <xf numFmtId="180" fontId="2" fillId="0" borderId="8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177" fontId="7" fillId="0" borderId="0" xfId="0" applyNumberFormat="1" applyFont="1" applyAlignment="1">
      <alignment horizontal="center"/>
    </xf>
    <xf numFmtId="180" fontId="7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0" xfId="0" applyFont="1" applyBorder="1"/>
  </cellXfs>
  <cellStyles count="1">
    <cellStyle name="常规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76" formatCode="0_ "/>
    </dxf>
    <dxf>
      <numFmt numFmtId="181" formatCode="#,##0.00_ "/>
    </dxf>
    <dxf>
      <numFmt numFmtId="176" formatCode="0_ "/>
    </dxf>
    <dxf>
      <numFmt numFmtId="178" formatCode="m/d;@"/>
    </dxf>
    <dxf>
      <numFmt numFmtId="179" formatCode="0\.0,&quot;w&quot;"/>
    </dxf>
    <dxf>
      <numFmt numFmtId="178" formatCode="m/d;@"/>
    </dxf>
    <dxf>
      <numFmt numFmtId="178" formatCode="m/d;@"/>
    </dxf>
    <dxf>
      <numFmt numFmtId="179" formatCode="0\.0,&quot;w&quot;"/>
    </dxf>
    <dxf>
      <numFmt numFmtId="178" formatCode="m/d;@"/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个人样式1" pivot="0" table="0" count="7" xr9:uid="{20FFB5F9-9EDF-4FF5-B462-3ECDE5D9C8D5}">
      <tableStyleElement type="wholeTable" dxfId="16"/>
    </tableStyle>
  </tableStyles>
  <extLst>
    <ext xmlns:x14="http://schemas.microsoft.com/office/spreadsheetml/2009/9/main" uri="{46F421CA-312F-682f-3DD2-61675219B42D}">
      <x14:dxfs count="6"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个人样式1">
          <x14:slicerStyleElements>
            <x14:slicerStyleElement type="unselectedItemWith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[月度销售监控.xlsx]中间表-图表!区域成交金额占比</c:name>
    <c:fmtId val="4"/>
  </c:pivotSource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502626675693706"/>
          <c:y val="9.4687584241471959E-2"/>
          <c:w val="0.73020655486363739"/>
          <c:h val="0.74737336363593154"/>
        </c:manualLayout>
      </c:layout>
      <c:doughnutChart>
        <c:varyColors val="1"/>
        <c:ser>
          <c:idx val="0"/>
          <c:order val="0"/>
          <c:tx>
            <c:strRef>
              <c:f>'中间表-图表'!$B$3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9-4828-95BC-C0B9C33AA8A0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9-4828-95BC-C0B9C33AA8A0}"/>
              </c:ext>
            </c:extLst>
          </c:dPt>
          <c:dPt>
            <c:idx val="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A9-4828-95BC-C0B9C33AA8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'中间表-图表'!$B$4:$B$7</c:f>
              <c:numCache>
                <c:formatCode>0%</c:formatCode>
                <c:ptCount val="3"/>
                <c:pt idx="0">
                  <c:v>0.60162858673154018</c:v>
                </c:pt>
                <c:pt idx="1">
                  <c:v>0.19979027102280017</c:v>
                </c:pt>
                <c:pt idx="2">
                  <c:v>0.19858114224565965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A9-4828-95BC-C0B9C33AA8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[月度销售监控.xlsx]中间表-图表!区域成交客户数占比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773505340744493"/>
          <c:y val="0.11070893942853784"/>
          <c:w val="0.7609037524349086"/>
          <c:h val="0.71202348664821169"/>
        </c:manualLayout>
      </c:layout>
      <c:doughnutChart>
        <c:varyColors val="1"/>
        <c:ser>
          <c:idx val="0"/>
          <c:order val="0"/>
          <c:tx>
            <c:strRef>
              <c:f>'中间表-图表'!$I$3</c:f>
              <c:strCache>
                <c:ptCount val="1"/>
                <c:pt idx="0">
                  <c:v>汇总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E7-4654-9F2C-5E2AFB3C6448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E7-4654-9F2C-5E2AFB3C6448}"/>
              </c:ext>
            </c:extLst>
          </c:dPt>
          <c:dPt>
            <c:idx val="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E7-4654-9F2C-5E2AFB3C64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'中间表-图表'!$H$4:$H$7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'中间表-图表'!$I$4:$I$7</c:f>
              <c:numCache>
                <c:formatCode>0%</c:formatCode>
                <c:ptCount val="3"/>
                <c:pt idx="0">
                  <c:v>0.61168831168831173</c:v>
                </c:pt>
                <c:pt idx="1">
                  <c:v>0.19155844155844157</c:v>
                </c:pt>
                <c:pt idx="2">
                  <c:v>0.19675324675324676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E7-4654-9F2C-5E2AFB3C64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[月度销售监控.xlsx]中间表-图表!期数客单价</c:name>
    <c:fmtId val="8"/>
  </c:pivotSource>
  <c:chart>
    <c:autoTitleDeleted val="1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'中间表-图表'!$O$3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'中间表-图表'!$N$4:$N$7</c:f>
              <c:strCache>
                <c:ptCount val="3"/>
                <c:pt idx="0">
                  <c:v>6期</c:v>
                </c:pt>
                <c:pt idx="1">
                  <c:v>12期</c:v>
                </c:pt>
                <c:pt idx="2">
                  <c:v>18期</c:v>
                </c:pt>
              </c:strCache>
            </c:strRef>
          </c:cat>
          <c:val>
            <c:numRef>
              <c:f>'中间表-图表'!$O$4:$O$7</c:f>
              <c:numCache>
                <c:formatCode>0_ </c:formatCode>
                <c:ptCount val="3"/>
                <c:pt idx="0">
                  <c:v>8624.3915953947289</c:v>
                </c:pt>
                <c:pt idx="1">
                  <c:v>11741.556884735217</c:v>
                </c:pt>
                <c:pt idx="2">
                  <c:v>11631.450068965531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9-47CB-9A08-3CFE87E51D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overlap val="-27"/>
        <c:axId val="38626400"/>
        <c:axId val="38626880"/>
      </c:barChart>
      <c:catAx>
        <c:axId val="38626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626880"/>
        <c:crosses val="autoZero"/>
        <c:auto val="1"/>
        <c:lblAlgn val="ctr"/>
        <c:lblOffset val="100"/>
        <c:noMultiLvlLbl val="0"/>
      </c:catAx>
      <c:valAx>
        <c:axId val="38626880"/>
        <c:scaling>
          <c:orientation val="minMax"/>
        </c:scaling>
        <c:delete val="1"/>
        <c:axPos val="l"/>
        <c:numFmt formatCode="0_ " sourceLinked="1"/>
        <c:majorTickMark val="none"/>
        <c:minorTickMark val="none"/>
        <c:tickLblPos val="nextTo"/>
        <c:crossAx val="3862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[月度销售监控.xlsx]中间表-图表!每日区域成交金额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62055414095701E-2"/>
          <c:y val="0"/>
          <c:w val="0.85821759259259256"/>
          <c:h val="0.7406053650073402"/>
        </c:manualLayout>
      </c:layout>
      <c:lineChart>
        <c:grouping val="standard"/>
        <c:varyColors val="0"/>
        <c:ser>
          <c:idx val="0"/>
          <c:order val="0"/>
          <c:tx>
            <c:strRef>
              <c:f>'中间表-图表'!$B$31:$B$32</c:f>
              <c:strCache>
                <c:ptCount val="1"/>
                <c:pt idx="0">
                  <c:v>6期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'中间表-图表'!$A$33:$A$64</c:f>
              <c:strCache>
                <c:ptCount val="31"/>
                <c:pt idx="0">
                  <c:v>5/1</c:v>
                </c:pt>
                <c:pt idx="1">
                  <c:v>5/2</c:v>
                </c:pt>
                <c:pt idx="2">
                  <c:v>5/3</c:v>
                </c:pt>
                <c:pt idx="3">
                  <c:v>5/4</c:v>
                </c:pt>
                <c:pt idx="4">
                  <c:v>5/5</c:v>
                </c:pt>
                <c:pt idx="5">
                  <c:v>5/6</c:v>
                </c:pt>
                <c:pt idx="6">
                  <c:v>5/7</c:v>
                </c:pt>
                <c:pt idx="7">
                  <c:v>5/8</c:v>
                </c:pt>
                <c:pt idx="8">
                  <c:v>5/9</c:v>
                </c:pt>
                <c:pt idx="9">
                  <c:v>5/10</c:v>
                </c:pt>
                <c:pt idx="10">
                  <c:v>5/11</c:v>
                </c:pt>
                <c:pt idx="11">
                  <c:v>5/12</c:v>
                </c:pt>
                <c:pt idx="12">
                  <c:v>5/13</c:v>
                </c:pt>
                <c:pt idx="13">
                  <c:v>5/14</c:v>
                </c:pt>
                <c:pt idx="14">
                  <c:v>5/15</c:v>
                </c:pt>
                <c:pt idx="15">
                  <c:v>5/16</c:v>
                </c:pt>
                <c:pt idx="16">
                  <c:v>5/17</c:v>
                </c:pt>
                <c:pt idx="17">
                  <c:v>5/18</c:v>
                </c:pt>
                <c:pt idx="18">
                  <c:v>5/19</c:v>
                </c:pt>
                <c:pt idx="19">
                  <c:v>5/20</c:v>
                </c:pt>
                <c:pt idx="20">
                  <c:v>5/21</c:v>
                </c:pt>
                <c:pt idx="21">
                  <c:v>5/22</c:v>
                </c:pt>
                <c:pt idx="22">
                  <c:v>5/23</c:v>
                </c:pt>
                <c:pt idx="23">
                  <c:v>5/24</c:v>
                </c:pt>
                <c:pt idx="24">
                  <c:v>5/25</c:v>
                </c:pt>
                <c:pt idx="25">
                  <c:v>5/26</c:v>
                </c:pt>
                <c:pt idx="26">
                  <c:v>5/27</c:v>
                </c:pt>
                <c:pt idx="27">
                  <c:v>5/28</c:v>
                </c:pt>
                <c:pt idx="28">
                  <c:v>5/29</c:v>
                </c:pt>
                <c:pt idx="29">
                  <c:v>5/30</c:v>
                </c:pt>
                <c:pt idx="30">
                  <c:v>5/31</c:v>
                </c:pt>
              </c:strCache>
            </c:strRef>
          </c:cat>
          <c:val>
            <c:numRef>
              <c:f>'中间表-图表'!$B$33:$B$64</c:f>
              <c:numCache>
                <c:formatCode>0\.0,"w"</c:formatCode>
                <c:ptCount val="31"/>
                <c:pt idx="0">
                  <c:v>25001.079999999998</c:v>
                </c:pt>
                <c:pt idx="1">
                  <c:v>72103.89</c:v>
                </c:pt>
                <c:pt idx="2">
                  <c:v>87634.530000000013</c:v>
                </c:pt>
                <c:pt idx="3">
                  <c:v>104888.31</c:v>
                </c:pt>
                <c:pt idx="4">
                  <c:v>100665.43999999999</c:v>
                </c:pt>
                <c:pt idx="5">
                  <c:v>214275.16999999998</c:v>
                </c:pt>
                <c:pt idx="6">
                  <c:v>178460.58</c:v>
                </c:pt>
                <c:pt idx="7">
                  <c:v>167855.78000000003</c:v>
                </c:pt>
                <c:pt idx="8">
                  <c:v>212327.46999999997</c:v>
                </c:pt>
                <c:pt idx="9">
                  <c:v>160992.32000000001</c:v>
                </c:pt>
                <c:pt idx="10">
                  <c:v>140821.41999999998</c:v>
                </c:pt>
                <c:pt idx="11">
                  <c:v>75127.429999999993</c:v>
                </c:pt>
                <c:pt idx="12">
                  <c:v>118276.25</c:v>
                </c:pt>
                <c:pt idx="13">
                  <c:v>140106.44999999998</c:v>
                </c:pt>
                <c:pt idx="14">
                  <c:v>215206.46000000002</c:v>
                </c:pt>
                <c:pt idx="15">
                  <c:v>202005.89999999997</c:v>
                </c:pt>
                <c:pt idx="16">
                  <c:v>102235.78</c:v>
                </c:pt>
                <c:pt idx="17">
                  <c:v>110458.17000000001</c:v>
                </c:pt>
                <c:pt idx="18">
                  <c:v>128580.84</c:v>
                </c:pt>
                <c:pt idx="19">
                  <c:v>166212.98000000001</c:v>
                </c:pt>
                <c:pt idx="20">
                  <c:v>204835.03</c:v>
                </c:pt>
                <c:pt idx="21">
                  <c:v>296494.45000000007</c:v>
                </c:pt>
                <c:pt idx="22">
                  <c:v>335363.48000000004</c:v>
                </c:pt>
                <c:pt idx="23">
                  <c:v>137174.49</c:v>
                </c:pt>
                <c:pt idx="24">
                  <c:v>200072.99</c:v>
                </c:pt>
                <c:pt idx="25">
                  <c:v>149440.12</c:v>
                </c:pt>
                <c:pt idx="26">
                  <c:v>244672.8</c:v>
                </c:pt>
                <c:pt idx="27">
                  <c:v>355917.03</c:v>
                </c:pt>
                <c:pt idx="28">
                  <c:v>249907.62</c:v>
                </c:pt>
                <c:pt idx="29">
                  <c:v>250148.46000000002</c:v>
                </c:pt>
                <c:pt idx="30">
                  <c:v>96367.37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8-495C-B06F-4F0614A7CBD7}"/>
            </c:ext>
          </c:extLst>
        </c:ser>
        <c:ser>
          <c:idx val="1"/>
          <c:order val="1"/>
          <c:tx>
            <c:strRef>
              <c:f>'中间表-图表'!$C$31:$C$32</c:f>
              <c:strCache>
                <c:ptCount val="1"/>
                <c:pt idx="0">
                  <c:v>12期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'中间表-图表'!$A$33:$A$64</c:f>
              <c:strCache>
                <c:ptCount val="31"/>
                <c:pt idx="0">
                  <c:v>5/1</c:v>
                </c:pt>
                <c:pt idx="1">
                  <c:v>5/2</c:v>
                </c:pt>
                <c:pt idx="2">
                  <c:v>5/3</c:v>
                </c:pt>
                <c:pt idx="3">
                  <c:v>5/4</c:v>
                </c:pt>
                <c:pt idx="4">
                  <c:v>5/5</c:v>
                </c:pt>
                <c:pt idx="5">
                  <c:v>5/6</c:v>
                </c:pt>
                <c:pt idx="6">
                  <c:v>5/7</c:v>
                </c:pt>
                <c:pt idx="7">
                  <c:v>5/8</c:v>
                </c:pt>
                <c:pt idx="8">
                  <c:v>5/9</c:v>
                </c:pt>
                <c:pt idx="9">
                  <c:v>5/10</c:v>
                </c:pt>
                <c:pt idx="10">
                  <c:v>5/11</c:v>
                </c:pt>
                <c:pt idx="11">
                  <c:v>5/12</c:v>
                </c:pt>
                <c:pt idx="12">
                  <c:v>5/13</c:v>
                </c:pt>
                <c:pt idx="13">
                  <c:v>5/14</c:v>
                </c:pt>
                <c:pt idx="14">
                  <c:v>5/15</c:v>
                </c:pt>
                <c:pt idx="15">
                  <c:v>5/16</c:v>
                </c:pt>
                <c:pt idx="16">
                  <c:v>5/17</c:v>
                </c:pt>
                <c:pt idx="17">
                  <c:v>5/18</c:v>
                </c:pt>
                <c:pt idx="18">
                  <c:v>5/19</c:v>
                </c:pt>
                <c:pt idx="19">
                  <c:v>5/20</c:v>
                </c:pt>
                <c:pt idx="20">
                  <c:v>5/21</c:v>
                </c:pt>
                <c:pt idx="21">
                  <c:v>5/22</c:v>
                </c:pt>
                <c:pt idx="22">
                  <c:v>5/23</c:v>
                </c:pt>
                <c:pt idx="23">
                  <c:v>5/24</c:v>
                </c:pt>
                <c:pt idx="24">
                  <c:v>5/25</c:v>
                </c:pt>
                <c:pt idx="25">
                  <c:v>5/26</c:v>
                </c:pt>
                <c:pt idx="26">
                  <c:v>5/27</c:v>
                </c:pt>
                <c:pt idx="27">
                  <c:v>5/28</c:v>
                </c:pt>
                <c:pt idx="28">
                  <c:v>5/29</c:v>
                </c:pt>
                <c:pt idx="29">
                  <c:v>5/30</c:v>
                </c:pt>
                <c:pt idx="30">
                  <c:v>5/31</c:v>
                </c:pt>
              </c:strCache>
            </c:strRef>
          </c:cat>
          <c:val>
            <c:numRef>
              <c:f>'中间表-图表'!$C$33:$C$64</c:f>
              <c:numCache>
                <c:formatCode>0\.0,"w"</c:formatCode>
                <c:ptCount val="31"/>
                <c:pt idx="0">
                  <c:v>118634.61000000002</c:v>
                </c:pt>
                <c:pt idx="1">
                  <c:v>87989.280000000013</c:v>
                </c:pt>
                <c:pt idx="2">
                  <c:v>111180.44</c:v>
                </c:pt>
                <c:pt idx="3">
                  <c:v>254208.75999999998</c:v>
                </c:pt>
                <c:pt idx="4">
                  <c:v>215945.71999999997</c:v>
                </c:pt>
                <c:pt idx="5">
                  <c:v>177004.19</c:v>
                </c:pt>
                <c:pt idx="6">
                  <c:v>238507.00999999998</c:v>
                </c:pt>
                <c:pt idx="7">
                  <c:v>171506.49</c:v>
                </c:pt>
                <c:pt idx="8">
                  <c:v>283010.0799999999</c:v>
                </c:pt>
                <c:pt idx="9">
                  <c:v>135881.44</c:v>
                </c:pt>
                <c:pt idx="10">
                  <c:v>173506.79</c:v>
                </c:pt>
                <c:pt idx="11">
                  <c:v>152974.08000000002</c:v>
                </c:pt>
                <c:pt idx="12">
                  <c:v>177292.61000000004</c:v>
                </c:pt>
                <c:pt idx="13">
                  <c:v>189006.16</c:v>
                </c:pt>
                <c:pt idx="14">
                  <c:v>340508.98000000004</c:v>
                </c:pt>
                <c:pt idx="15">
                  <c:v>239005.37</c:v>
                </c:pt>
                <c:pt idx="16">
                  <c:v>343633.90999999992</c:v>
                </c:pt>
                <c:pt idx="17">
                  <c:v>188004.46000000002</c:v>
                </c:pt>
                <c:pt idx="18">
                  <c:v>191304.38</c:v>
                </c:pt>
                <c:pt idx="19">
                  <c:v>304992.3299999999</c:v>
                </c:pt>
                <c:pt idx="20">
                  <c:v>232507.41000000003</c:v>
                </c:pt>
                <c:pt idx="21">
                  <c:v>328893.03999999998</c:v>
                </c:pt>
                <c:pt idx="22">
                  <c:v>380474.99999999994</c:v>
                </c:pt>
                <c:pt idx="23">
                  <c:v>336572.80999999994</c:v>
                </c:pt>
                <c:pt idx="24">
                  <c:v>414611.26</c:v>
                </c:pt>
                <c:pt idx="25">
                  <c:v>254919.55000000005</c:v>
                </c:pt>
                <c:pt idx="26">
                  <c:v>313310.17</c:v>
                </c:pt>
                <c:pt idx="27">
                  <c:v>477009.25</c:v>
                </c:pt>
                <c:pt idx="28">
                  <c:v>301710.52</c:v>
                </c:pt>
                <c:pt idx="29">
                  <c:v>261464.44</c:v>
                </c:pt>
                <c:pt idx="30">
                  <c:v>142508.97999999998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8-495C-B06F-4F0614A7CBD7}"/>
            </c:ext>
          </c:extLst>
        </c:ser>
        <c:ser>
          <c:idx val="2"/>
          <c:order val="2"/>
          <c:tx>
            <c:strRef>
              <c:f>'中间表-图表'!$D$31:$D$32</c:f>
              <c:strCache>
                <c:ptCount val="1"/>
                <c:pt idx="0">
                  <c:v>18期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'中间表-图表'!$A$33:$A$64</c:f>
              <c:strCache>
                <c:ptCount val="31"/>
                <c:pt idx="0">
                  <c:v>5/1</c:v>
                </c:pt>
                <c:pt idx="1">
                  <c:v>5/2</c:v>
                </c:pt>
                <c:pt idx="2">
                  <c:v>5/3</c:v>
                </c:pt>
                <c:pt idx="3">
                  <c:v>5/4</c:v>
                </c:pt>
                <c:pt idx="4">
                  <c:v>5/5</c:v>
                </c:pt>
                <c:pt idx="5">
                  <c:v>5/6</c:v>
                </c:pt>
                <c:pt idx="6">
                  <c:v>5/7</c:v>
                </c:pt>
                <c:pt idx="7">
                  <c:v>5/8</c:v>
                </c:pt>
                <c:pt idx="8">
                  <c:v>5/9</c:v>
                </c:pt>
                <c:pt idx="9">
                  <c:v>5/10</c:v>
                </c:pt>
                <c:pt idx="10">
                  <c:v>5/11</c:v>
                </c:pt>
                <c:pt idx="11">
                  <c:v>5/12</c:v>
                </c:pt>
                <c:pt idx="12">
                  <c:v>5/13</c:v>
                </c:pt>
                <c:pt idx="13">
                  <c:v>5/14</c:v>
                </c:pt>
                <c:pt idx="14">
                  <c:v>5/15</c:v>
                </c:pt>
                <c:pt idx="15">
                  <c:v>5/16</c:v>
                </c:pt>
                <c:pt idx="16">
                  <c:v>5/17</c:v>
                </c:pt>
                <c:pt idx="17">
                  <c:v>5/18</c:v>
                </c:pt>
                <c:pt idx="18">
                  <c:v>5/19</c:v>
                </c:pt>
                <c:pt idx="19">
                  <c:v>5/20</c:v>
                </c:pt>
                <c:pt idx="20">
                  <c:v>5/21</c:v>
                </c:pt>
                <c:pt idx="21">
                  <c:v>5/22</c:v>
                </c:pt>
                <c:pt idx="22">
                  <c:v>5/23</c:v>
                </c:pt>
                <c:pt idx="23">
                  <c:v>5/24</c:v>
                </c:pt>
                <c:pt idx="24">
                  <c:v>5/25</c:v>
                </c:pt>
                <c:pt idx="25">
                  <c:v>5/26</c:v>
                </c:pt>
                <c:pt idx="26">
                  <c:v>5/27</c:v>
                </c:pt>
                <c:pt idx="27">
                  <c:v>5/28</c:v>
                </c:pt>
                <c:pt idx="28">
                  <c:v>5/29</c:v>
                </c:pt>
                <c:pt idx="29">
                  <c:v>5/30</c:v>
                </c:pt>
                <c:pt idx="30">
                  <c:v>5/31</c:v>
                </c:pt>
              </c:strCache>
            </c:strRef>
          </c:cat>
          <c:val>
            <c:numRef>
              <c:f>'中间表-图表'!$D$33:$D$64</c:f>
              <c:numCache>
                <c:formatCode>0\.0,"w"</c:formatCode>
                <c:ptCount val="31"/>
                <c:pt idx="0">
                  <c:v>46500.46</c:v>
                </c:pt>
                <c:pt idx="1">
                  <c:v>40002.159999999996</c:v>
                </c:pt>
                <c:pt idx="2">
                  <c:v>61189.360000000008</c:v>
                </c:pt>
                <c:pt idx="3">
                  <c:v>54001.34</c:v>
                </c:pt>
                <c:pt idx="4">
                  <c:v>50002.380000000005</c:v>
                </c:pt>
                <c:pt idx="5">
                  <c:v>59002.45</c:v>
                </c:pt>
                <c:pt idx="6">
                  <c:v>96002.739999999991</c:v>
                </c:pt>
                <c:pt idx="7">
                  <c:v>143948.34999999998</c:v>
                </c:pt>
                <c:pt idx="8">
                  <c:v>88502.31</c:v>
                </c:pt>
                <c:pt idx="9">
                  <c:v>116002.45</c:v>
                </c:pt>
                <c:pt idx="10">
                  <c:v>129504.99</c:v>
                </c:pt>
                <c:pt idx="11">
                  <c:v>38000.949999999997</c:v>
                </c:pt>
                <c:pt idx="12">
                  <c:v>86003.699999999968</c:v>
                </c:pt>
                <c:pt idx="13">
                  <c:v>108002.16</c:v>
                </c:pt>
                <c:pt idx="14">
                  <c:v>181290.27000000002</c:v>
                </c:pt>
                <c:pt idx="15">
                  <c:v>117166.59</c:v>
                </c:pt>
                <c:pt idx="16">
                  <c:v>126442.79000000001</c:v>
                </c:pt>
                <c:pt idx="17">
                  <c:v>122795.10999999999</c:v>
                </c:pt>
                <c:pt idx="18">
                  <c:v>90502.719999999987</c:v>
                </c:pt>
                <c:pt idx="19">
                  <c:v>137603.68</c:v>
                </c:pt>
                <c:pt idx="20">
                  <c:v>93394.01</c:v>
                </c:pt>
                <c:pt idx="21">
                  <c:v>43001.91</c:v>
                </c:pt>
                <c:pt idx="22">
                  <c:v>185764.58999999997</c:v>
                </c:pt>
                <c:pt idx="23">
                  <c:v>181389.71000000002</c:v>
                </c:pt>
                <c:pt idx="24">
                  <c:v>152618.72</c:v>
                </c:pt>
                <c:pt idx="25">
                  <c:v>106202.98000000001</c:v>
                </c:pt>
                <c:pt idx="26">
                  <c:v>98455.82</c:v>
                </c:pt>
                <c:pt idx="27">
                  <c:v>134404.10999999999</c:v>
                </c:pt>
                <c:pt idx="28">
                  <c:v>241797.78999999995</c:v>
                </c:pt>
                <c:pt idx="29">
                  <c:v>87391.920000000013</c:v>
                </c:pt>
                <c:pt idx="30">
                  <c:v>156232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98-495C-B06F-4F0614A7C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350032"/>
        <c:axId val="1203352432"/>
      </c:lineChart>
      <c:catAx>
        <c:axId val="120335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3352432"/>
        <c:crosses val="autoZero"/>
        <c:auto val="1"/>
        <c:lblAlgn val="ctr"/>
        <c:lblOffset val="100"/>
        <c:noMultiLvlLbl val="0"/>
      </c:catAx>
      <c:valAx>
        <c:axId val="1203352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2">
                  <a:lumMod val="20000"/>
                  <a:lumOff val="80000"/>
                  <a:alpha val="80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out"/>
        <c:minorTickMark val="none"/>
        <c:tickLblPos val="nextTo"/>
        <c:crossAx val="1203350032"/>
        <c:crosses val="autoZero"/>
        <c:crossBetween val="between"/>
      </c:valAx>
      <c:dTable>
        <c:showHorzBorder val="0"/>
        <c:showVertBorder val="0"/>
        <c:showOutline val="1"/>
        <c:showKeys val="0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01720618256051E-3"/>
          <c:y val="4.4264225855016853E-2"/>
          <c:w val="5.1843748687732789E-2"/>
          <c:h val="0.15183690819886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[月度销售监控.xlsx]中间表-图表!产品成交趋势</c:name>
    <c:fmtId val="26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223252519224616E-2"/>
          <c:y val="3.2786885245901641E-2"/>
          <c:w val="0.91376650263657822"/>
          <c:h val="0.85984316509616621"/>
        </c:manualLayout>
      </c:layout>
      <c:areaChart>
        <c:grouping val="stacked"/>
        <c:varyColors val="0"/>
        <c:ser>
          <c:idx val="0"/>
          <c:order val="0"/>
          <c:tx>
            <c:strRef>
              <c:f>'中间表-图表'!$B$91:$B$92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 w="25400">
              <a:noFill/>
            </a:ln>
            <a:effectLst/>
          </c:spPr>
          <c:cat>
            <c:strRef>
              <c:f>'中间表-图表'!$A$93:$A$124</c:f>
              <c:strCache>
                <c:ptCount val="31"/>
                <c:pt idx="0">
                  <c:v>5/1</c:v>
                </c:pt>
                <c:pt idx="1">
                  <c:v>5/2</c:v>
                </c:pt>
                <c:pt idx="2">
                  <c:v>5/3</c:v>
                </c:pt>
                <c:pt idx="3">
                  <c:v>5/4</c:v>
                </c:pt>
                <c:pt idx="4">
                  <c:v>5/5</c:v>
                </c:pt>
                <c:pt idx="5">
                  <c:v>5/6</c:v>
                </c:pt>
                <c:pt idx="6">
                  <c:v>5/7</c:v>
                </c:pt>
                <c:pt idx="7">
                  <c:v>5/8</c:v>
                </c:pt>
                <c:pt idx="8">
                  <c:v>5/9</c:v>
                </c:pt>
                <c:pt idx="9">
                  <c:v>5/10</c:v>
                </c:pt>
                <c:pt idx="10">
                  <c:v>5/11</c:v>
                </c:pt>
                <c:pt idx="11">
                  <c:v>5/12</c:v>
                </c:pt>
                <c:pt idx="12">
                  <c:v>5/13</c:v>
                </c:pt>
                <c:pt idx="13">
                  <c:v>5/14</c:v>
                </c:pt>
                <c:pt idx="14">
                  <c:v>5/15</c:v>
                </c:pt>
                <c:pt idx="15">
                  <c:v>5/16</c:v>
                </c:pt>
                <c:pt idx="16">
                  <c:v>5/17</c:v>
                </c:pt>
                <c:pt idx="17">
                  <c:v>5/18</c:v>
                </c:pt>
                <c:pt idx="18">
                  <c:v>5/19</c:v>
                </c:pt>
                <c:pt idx="19">
                  <c:v>5/20</c:v>
                </c:pt>
                <c:pt idx="20">
                  <c:v>5/21</c:v>
                </c:pt>
                <c:pt idx="21">
                  <c:v>5/22</c:v>
                </c:pt>
                <c:pt idx="22">
                  <c:v>5/23</c:v>
                </c:pt>
                <c:pt idx="23">
                  <c:v>5/24</c:v>
                </c:pt>
                <c:pt idx="24">
                  <c:v>5/25</c:v>
                </c:pt>
                <c:pt idx="25">
                  <c:v>5/26</c:v>
                </c:pt>
                <c:pt idx="26">
                  <c:v>5/27</c:v>
                </c:pt>
                <c:pt idx="27">
                  <c:v>5/28</c:v>
                </c:pt>
                <c:pt idx="28">
                  <c:v>5/29</c:v>
                </c:pt>
                <c:pt idx="29">
                  <c:v>5/30</c:v>
                </c:pt>
                <c:pt idx="30">
                  <c:v>5/31</c:v>
                </c:pt>
              </c:strCache>
            </c:strRef>
          </c:cat>
          <c:val>
            <c:numRef>
              <c:f>'中间表-图表'!$B$93:$B$124</c:f>
              <c:numCache>
                <c:formatCode>0\.0,"w"</c:formatCode>
                <c:ptCount val="31"/>
                <c:pt idx="0">
                  <c:v>118634.61000000002</c:v>
                </c:pt>
                <c:pt idx="1">
                  <c:v>87989.280000000013</c:v>
                </c:pt>
                <c:pt idx="2">
                  <c:v>111180.44</c:v>
                </c:pt>
                <c:pt idx="3">
                  <c:v>254208.75999999998</c:v>
                </c:pt>
                <c:pt idx="4">
                  <c:v>215945.71999999997</c:v>
                </c:pt>
                <c:pt idx="5">
                  <c:v>177004.19</c:v>
                </c:pt>
                <c:pt idx="6">
                  <c:v>238507.00999999998</c:v>
                </c:pt>
                <c:pt idx="7">
                  <c:v>171506.49</c:v>
                </c:pt>
                <c:pt idx="8">
                  <c:v>283010.0799999999</c:v>
                </c:pt>
                <c:pt idx="9">
                  <c:v>135881.44</c:v>
                </c:pt>
                <c:pt idx="10">
                  <c:v>173506.79</c:v>
                </c:pt>
                <c:pt idx="11">
                  <c:v>152974.08000000002</c:v>
                </c:pt>
                <c:pt idx="12">
                  <c:v>177292.61000000004</c:v>
                </c:pt>
                <c:pt idx="13">
                  <c:v>189006.16</c:v>
                </c:pt>
                <c:pt idx="14">
                  <c:v>340508.98000000004</c:v>
                </c:pt>
                <c:pt idx="15">
                  <c:v>239005.37</c:v>
                </c:pt>
                <c:pt idx="16">
                  <c:v>343633.90999999992</c:v>
                </c:pt>
                <c:pt idx="17">
                  <c:v>188004.46000000002</c:v>
                </c:pt>
                <c:pt idx="18">
                  <c:v>191304.38</c:v>
                </c:pt>
                <c:pt idx="19">
                  <c:v>304992.3299999999</c:v>
                </c:pt>
                <c:pt idx="20">
                  <c:v>232507.41000000003</c:v>
                </c:pt>
                <c:pt idx="21">
                  <c:v>328893.03999999998</c:v>
                </c:pt>
                <c:pt idx="22">
                  <c:v>380474.99999999994</c:v>
                </c:pt>
                <c:pt idx="23">
                  <c:v>336572.80999999994</c:v>
                </c:pt>
                <c:pt idx="24">
                  <c:v>414611.26</c:v>
                </c:pt>
                <c:pt idx="25">
                  <c:v>254919.55000000005</c:v>
                </c:pt>
                <c:pt idx="26">
                  <c:v>313310.17</c:v>
                </c:pt>
                <c:pt idx="27">
                  <c:v>477009.25</c:v>
                </c:pt>
                <c:pt idx="28">
                  <c:v>301710.52</c:v>
                </c:pt>
                <c:pt idx="29">
                  <c:v>261464.44</c:v>
                </c:pt>
                <c:pt idx="30">
                  <c:v>142508.97999999998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11D-B2C2-0ED748511B47}"/>
            </c:ext>
          </c:extLst>
        </c:ser>
        <c:ser>
          <c:idx val="1"/>
          <c:order val="1"/>
          <c:tx>
            <c:strRef>
              <c:f>'中间表-图表'!$C$91:$C$92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'中间表-图表'!$A$93:$A$124</c:f>
              <c:strCache>
                <c:ptCount val="31"/>
                <c:pt idx="0">
                  <c:v>5/1</c:v>
                </c:pt>
                <c:pt idx="1">
                  <c:v>5/2</c:v>
                </c:pt>
                <c:pt idx="2">
                  <c:v>5/3</c:v>
                </c:pt>
                <c:pt idx="3">
                  <c:v>5/4</c:v>
                </c:pt>
                <c:pt idx="4">
                  <c:v>5/5</c:v>
                </c:pt>
                <c:pt idx="5">
                  <c:v>5/6</c:v>
                </c:pt>
                <c:pt idx="6">
                  <c:v>5/7</c:v>
                </c:pt>
                <c:pt idx="7">
                  <c:v>5/8</c:v>
                </c:pt>
                <c:pt idx="8">
                  <c:v>5/9</c:v>
                </c:pt>
                <c:pt idx="9">
                  <c:v>5/10</c:v>
                </c:pt>
                <c:pt idx="10">
                  <c:v>5/11</c:v>
                </c:pt>
                <c:pt idx="11">
                  <c:v>5/12</c:v>
                </c:pt>
                <c:pt idx="12">
                  <c:v>5/13</c:v>
                </c:pt>
                <c:pt idx="13">
                  <c:v>5/14</c:v>
                </c:pt>
                <c:pt idx="14">
                  <c:v>5/15</c:v>
                </c:pt>
                <c:pt idx="15">
                  <c:v>5/16</c:v>
                </c:pt>
                <c:pt idx="16">
                  <c:v>5/17</c:v>
                </c:pt>
                <c:pt idx="17">
                  <c:v>5/18</c:v>
                </c:pt>
                <c:pt idx="18">
                  <c:v>5/19</c:v>
                </c:pt>
                <c:pt idx="19">
                  <c:v>5/20</c:v>
                </c:pt>
                <c:pt idx="20">
                  <c:v>5/21</c:v>
                </c:pt>
                <c:pt idx="21">
                  <c:v>5/22</c:v>
                </c:pt>
                <c:pt idx="22">
                  <c:v>5/23</c:v>
                </c:pt>
                <c:pt idx="23">
                  <c:v>5/24</c:v>
                </c:pt>
                <c:pt idx="24">
                  <c:v>5/25</c:v>
                </c:pt>
                <c:pt idx="25">
                  <c:v>5/26</c:v>
                </c:pt>
                <c:pt idx="26">
                  <c:v>5/27</c:v>
                </c:pt>
                <c:pt idx="27">
                  <c:v>5/28</c:v>
                </c:pt>
                <c:pt idx="28">
                  <c:v>5/29</c:v>
                </c:pt>
                <c:pt idx="29">
                  <c:v>5/30</c:v>
                </c:pt>
                <c:pt idx="30">
                  <c:v>5/31</c:v>
                </c:pt>
              </c:strCache>
            </c:strRef>
          </c:cat>
          <c:val>
            <c:numRef>
              <c:f>'中间表-图表'!$C$93:$C$124</c:f>
              <c:numCache>
                <c:formatCode>0\.0,"w"</c:formatCode>
                <c:ptCount val="31"/>
                <c:pt idx="0">
                  <c:v>46500.46</c:v>
                </c:pt>
                <c:pt idx="1">
                  <c:v>40002.159999999996</c:v>
                </c:pt>
                <c:pt idx="2">
                  <c:v>61189.360000000008</c:v>
                </c:pt>
                <c:pt idx="3">
                  <c:v>54001.34</c:v>
                </c:pt>
                <c:pt idx="4">
                  <c:v>50002.380000000005</c:v>
                </c:pt>
                <c:pt idx="5">
                  <c:v>59002.45</c:v>
                </c:pt>
                <c:pt idx="6">
                  <c:v>96002.739999999991</c:v>
                </c:pt>
                <c:pt idx="7">
                  <c:v>143948.34999999998</c:v>
                </c:pt>
                <c:pt idx="8">
                  <c:v>88502.31</c:v>
                </c:pt>
                <c:pt idx="9">
                  <c:v>116002.45</c:v>
                </c:pt>
                <c:pt idx="10">
                  <c:v>129504.99</c:v>
                </c:pt>
                <c:pt idx="11">
                  <c:v>38000.949999999997</c:v>
                </c:pt>
                <c:pt idx="12">
                  <c:v>86003.699999999968</c:v>
                </c:pt>
                <c:pt idx="13">
                  <c:v>108002.16</c:v>
                </c:pt>
                <c:pt idx="14">
                  <c:v>181290.27000000002</c:v>
                </c:pt>
                <c:pt idx="15">
                  <c:v>117166.59</c:v>
                </c:pt>
                <c:pt idx="16">
                  <c:v>126442.79000000001</c:v>
                </c:pt>
                <c:pt idx="17">
                  <c:v>122795.10999999999</c:v>
                </c:pt>
                <c:pt idx="18">
                  <c:v>90502.719999999987</c:v>
                </c:pt>
                <c:pt idx="19">
                  <c:v>137603.68</c:v>
                </c:pt>
                <c:pt idx="20">
                  <c:v>93394.01</c:v>
                </c:pt>
                <c:pt idx="21">
                  <c:v>43001.91</c:v>
                </c:pt>
                <c:pt idx="22">
                  <c:v>185764.58999999997</c:v>
                </c:pt>
                <c:pt idx="23">
                  <c:v>181389.71000000002</c:v>
                </c:pt>
                <c:pt idx="24">
                  <c:v>152618.72</c:v>
                </c:pt>
                <c:pt idx="25">
                  <c:v>106202.98000000001</c:v>
                </c:pt>
                <c:pt idx="26">
                  <c:v>98455.82</c:v>
                </c:pt>
                <c:pt idx="27">
                  <c:v>134404.10999999999</c:v>
                </c:pt>
                <c:pt idx="28">
                  <c:v>241797.78999999995</c:v>
                </c:pt>
                <c:pt idx="29">
                  <c:v>87391.920000000013</c:v>
                </c:pt>
                <c:pt idx="30">
                  <c:v>156232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11D-B2C2-0ED748511B47}"/>
            </c:ext>
          </c:extLst>
        </c:ser>
        <c:ser>
          <c:idx val="2"/>
          <c:order val="2"/>
          <c:tx>
            <c:strRef>
              <c:f>'中间表-图表'!$D$91:$D$92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 w="25400">
              <a:noFill/>
            </a:ln>
            <a:effectLst/>
          </c:spPr>
          <c:cat>
            <c:strRef>
              <c:f>'中间表-图表'!$A$93:$A$124</c:f>
              <c:strCache>
                <c:ptCount val="31"/>
                <c:pt idx="0">
                  <c:v>5/1</c:v>
                </c:pt>
                <c:pt idx="1">
                  <c:v>5/2</c:v>
                </c:pt>
                <c:pt idx="2">
                  <c:v>5/3</c:v>
                </c:pt>
                <c:pt idx="3">
                  <c:v>5/4</c:v>
                </c:pt>
                <c:pt idx="4">
                  <c:v>5/5</c:v>
                </c:pt>
                <c:pt idx="5">
                  <c:v>5/6</c:v>
                </c:pt>
                <c:pt idx="6">
                  <c:v>5/7</c:v>
                </c:pt>
                <c:pt idx="7">
                  <c:v>5/8</c:v>
                </c:pt>
                <c:pt idx="8">
                  <c:v>5/9</c:v>
                </c:pt>
                <c:pt idx="9">
                  <c:v>5/10</c:v>
                </c:pt>
                <c:pt idx="10">
                  <c:v>5/11</c:v>
                </c:pt>
                <c:pt idx="11">
                  <c:v>5/12</c:v>
                </c:pt>
                <c:pt idx="12">
                  <c:v>5/13</c:v>
                </c:pt>
                <c:pt idx="13">
                  <c:v>5/14</c:v>
                </c:pt>
                <c:pt idx="14">
                  <c:v>5/15</c:v>
                </c:pt>
                <c:pt idx="15">
                  <c:v>5/16</c:v>
                </c:pt>
                <c:pt idx="16">
                  <c:v>5/17</c:v>
                </c:pt>
                <c:pt idx="17">
                  <c:v>5/18</c:v>
                </c:pt>
                <c:pt idx="18">
                  <c:v>5/19</c:v>
                </c:pt>
                <c:pt idx="19">
                  <c:v>5/20</c:v>
                </c:pt>
                <c:pt idx="20">
                  <c:v>5/21</c:v>
                </c:pt>
                <c:pt idx="21">
                  <c:v>5/22</c:v>
                </c:pt>
                <c:pt idx="22">
                  <c:v>5/23</c:v>
                </c:pt>
                <c:pt idx="23">
                  <c:v>5/24</c:v>
                </c:pt>
                <c:pt idx="24">
                  <c:v>5/25</c:v>
                </c:pt>
                <c:pt idx="25">
                  <c:v>5/26</c:v>
                </c:pt>
                <c:pt idx="26">
                  <c:v>5/27</c:v>
                </c:pt>
                <c:pt idx="27">
                  <c:v>5/28</c:v>
                </c:pt>
                <c:pt idx="28">
                  <c:v>5/29</c:v>
                </c:pt>
                <c:pt idx="29">
                  <c:v>5/30</c:v>
                </c:pt>
                <c:pt idx="30">
                  <c:v>5/31</c:v>
                </c:pt>
              </c:strCache>
            </c:strRef>
          </c:cat>
          <c:val>
            <c:numRef>
              <c:f>'中间表-图表'!$D$93:$D$124</c:f>
              <c:numCache>
                <c:formatCode>0\.0,"w"</c:formatCode>
                <c:ptCount val="31"/>
                <c:pt idx="0">
                  <c:v>25001.079999999998</c:v>
                </c:pt>
                <c:pt idx="1">
                  <c:v>72103.89</c:v>
                </c:pt>
                <c:pt idx="2">
                  <c:v>87634.530000000013</c:v>
                </c:pt>
                <c:pt idx="3">
                  <c:v>104888.31</c:v>
                </c:pt>
                <c:pt idx="4">
                  <c:v>100665.43999999999</c:v>
                </c:pt>
                <c:pt idx="5">
                  <c:v>214275.16999999998</c:v>
                </c:pt>
                <c:pt idx="6">
                  <c:v>178460.58</c:v>
                </c:pt>
                <c:pt idx="7">
                  <c:v>167855.78000000003</c:v>
                </c:pt>
                <c:pt idx="8">
                  <c:v>212327.46999999997</c:v>
                </c:pt>
                <c:pt idx="9">
                  <c:v>160992.32000000001</c:v>
                </c:pt>
                <c:pt idx="10">
                  <c:v>140821.41999999998</c:v>
                </c:pt>
                <c:pt idx="11">
                  <c:v>75127.429999999993</c:v>
                </c:pt>
                <c:pt idx="12">
                  <c:v>118276.25</c:v>
                </c:pt>
                <c:pt idx="13">
                  <c:v>140106.44999999998</c:v>
                </c:pt>
                <c:pt idx="14">
                  <c:v>215206.46000000002</c:v>
                </c:pt>
                <c:pt idx="15">
                  <c:v>202005.89999999997</c:v>
                </c:pt>
                <c:pt idx="16">
                  <c:v>102235.78</c:v>
                </c:pt>
                <c:pt idx="17">
                  <c:v>110458.17000000001</c:v>
                </c:pt>
                <c:pt idx="18">
                  <c:v>128580.84</c:v>
                </c:pt>
                <c:pt idx="19">
                  <c:v>166212.98000000001</c:v>
                </c:pt>
                <c:pt idx="20">
                  <c:v>204835.03</c:v>
                </c:pt>
                <c:pt idx="21">
                  <c:v>296494.45000000007</c:v>
                </c:pt>
                <c:pt idx="22">
                  <c:v>335363.48000000004</c:v>
                </c:pt>
                <c:pt idx="23">
                  <c:v>137174.49</c:v>
                </c:pt>
                <c:pt idx="24">
                  <c:v>200072.99</c:v>
                </c:pt>
                <c:pt idx="25">
                  <c:v>149440.12</c:v>
                </c:pt>
                <c:pt idx="26">
                  <c:v>244672.8</c:v>
                </c:pt>
                <c:pt idx="27">
                  <c:v>355917.03</c:v>
                </c:pt>
                <c:pt idx="28">
                  <c:v>249907.62</c:v>
                </c:pt>
                <c:pt idx="29">
                  <c:v>250148.46000000002</c:v>
                </c:pt>
                <c:pt idx="30">
                  <c:v>96367.37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4D-411D-B2C2-0ED748511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849792"/>
        <c:axId val="1379859392"/>
      </c:areaChart>
      <c:catAx>
        <c:axId val="137984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9859392"/>
        <c:crosses val="autoZero"/>
        <c:auto val="1"/>
        <c:lblAlgn val="ctr"/>
        <c:lblOffset val="100"/>
        <c:noMultiLvlLbl val="0"/>
      </c:catAx>
      <c:valAx>
        <c:axId val="1379859392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137984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194622212785206E-2"/>
          <c:y val="5.0229424394953773E-2"/>
          <c:w val="3.3201649031456171E-2"/>
          <c:h val="0.34987156161002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833837</xdr:colOff>
      <xdr:row>1</xdr:row>
      <xdr:rowOff>486163</xdr:rowOff>
    </xdr:from>
    <xdr:to>
      <xdr:col>3</xdr:col>
      <xdr:colOff>731211</xdr:colOff>
      <xdr:row>14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BB89BB7-FA41-4CAE-BC1C-53E4B3EA0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1013434</xdr:colOff>
      <xdr:row>1</xdr:row>
      <xdr:rowOff>486061</xdr:rowOff>
    </xdr:from>
    <xdr:to>
      <xdr:col>8</xdr:col>
      <xdr:colOff>583687</xdr:colOff>
      <xdr:row>14</xdr:row>
      <xdr:rowOff>49900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CF8478B-67C8-493A-8566-4ADEE1EB0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1436767</xdr:colOff>
      <xdr:row>4</xdr:row>
      <xdr:rowOff>153939</xdr:rowOff>
    </xdr:from>
    <xdr:to>
      <xdr:col>6</xdr:col>
      <xdr:colOff>12828</xdr:colOff>
      <xdr:row>13</xdr:row>
      <xdr:rowOff>24246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25BD04C-241B-44E6-B599-6FF33810C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769696</xdr:colOff>
      <xdr:row>28</xdr:row>
      <xdr:rowOff>159264</xdr:rowOff>
    </xdr:from>
    <xdr:to>
      <xdr:col>8</xdr:col>
      <xdr:colOff>1223713</xdr:colOff>
      <xdr:row>48</xdr:row>
      <xdr:rowOff>160355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EDA50E4-1919-416B-A358-57D056AD0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12828</xdr:colOff>
      <xdr:row>60</xdr:row>
      <xdr:rowOff>38483</xdr:rowOff>
    </xdr:from>
    <xdr:to>
      <xdr:col>9</xdr:col>
      <xdr:colOff>25655</xdr:colOff>
      <xdr:row>77</xdr:row>
      <xdr:rowOff>109038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43FE3C7-B525-4F95-9CE8-E3FBB4947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2</xdr:col>
      <xdr:colOff>545203</xdr:colOff>
      <xdr:row>1</xdr:row>
      <xdr:rowOff>76969</xdr:rowOff>
    </xdr:from>
    <xdr:to>
      <xdr:col>3</xdr:col>
      <xdr:colOff>1495970</xdr:colOff>
      <xdr:row>1</xdr:row>
      <xdr:rowOff>521798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5671B9D5-18B6-AD5A-D3FD-F70A7DDFFA26}"/>
            </a:ext>
          </a:extLst>
        </xdr:cNvPr>
        <xdr:cNvGrpSpPr/>
      </xdr:nvGrpSpPr>
      <xdr:grpSpPr>
        <a:xfrm>
          <a:off x="3617577" y="429747"/>
          <a:ext cx="2406777" cy="444829"/>
          <a:chOff x="14444648" y="1885758"/>
          <a:chExt cx="2406777" cy="444828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成交月份 1">
                <a:extLst>
                  <a:ext uri="{FF2B5EF4-FFF2-40B4-BE49-F238E27FC236}">
                    <a16:creationId xmlns:a16="http://schemas.microsoft.com/office/drawing/2014/main" id="{A27C4C79-F704-454F-BF27-E3FF7CEFEEFC}"/>
                  </a:ext>
                </a:extLst>
              </xdr:cNvPr>
              <xdr:cNvGraphicFramePr/>
            </xdr:nvGraphicFramePr>
            <xdr:xfrm>
              <a:off x="15022112" y="1898586"/>
              <a:ext cx="1829313" cy="432000"/>
            </xdr:xfrm>
            <a:graphic>
              <a:graphicData uri="http://schemas.microsoft.com/office/drawing/2010/slicer">
                <sle:slicer xmlns:sle="http://schemas.microsoft.com/office/drawing/2010/slicer" name="成交月份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195041" y="442575"/>
                <a:ext cx="1829313" cy="43200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0" name="文本框 9">
            <a:extLst>
              <a:ext uri="{FF2B5EF4-FFF2-40B4-BE49-F238E27FC236}">
                <a16:creationId xmlns:a16="http://schemas.microsoft.com/office/drawing/2014/main" id="{4DEA5AD0-ED0C-EE2F-2063-CCBB1F337E5E}"/>
              </a:ext>
            </a:extLst>
          </xdr:cNvPr>
          <xdr:cNvSpPr txBox="1"/>
        </xdr:nvSpPr>
        <xdr:spPr>
          <a:xfrm>
            <a:off x="14444648" y="1885758"/>
            <a:ext cx="622170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600" b="1">
                <a:latin typeface="微软雅黑" panose="020B0503020204020204" pitchFamily="34" charset="-122"/>
                <a:ea typeface="微软雅黑" panose="020B0503020204020204" pitchFamily="34" charset="-122"/>
              </a:rPr>
              <a:t>月份</a:t>
            </a:r>
          </a:p>
        </xdr:txBody>
      </xdr:sp>
    </xdr:grpSp>
    <xdr:clientData/>
  </xdr:twoCellAnchor>
  <xdr:twoCellAnchor editAs="absolute">
    <xdr:from>
      <xdr:col>5</xdr:col>
      <xdr:colOff>1642022</xdr:colOff>
      <xdr:row>1</xdr:row>
      <xdr:rowOff>69273</xdr:rowOff>
    </xdr:from>
    <xdr:to>
      <xdr:col>7</xdr:col>
      <xdr:colOff>1083991</xdr:colOff>
      <xdr:row>1</xdr:row>
      <xdr:rowOff>514100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CF2F2CFB-F944-19E0-817B-21DA6A79122A}"/>
            </a:ext>
          </a:extLst>
        </xdr:cNvPr>
        <xdr:cNvGrpSpPr/>
      </xdr:nvGrpSpPr>
      <xdr:grpSpPr>
        <a:xfrm>
          <a:off x="9492931" y="422051"/>
          <a:ext cx="2764494" cy="444827"/>
          <a:chOff x="14425405" y="1397000"/>
          <a:chExt cx="2764494" cy="444828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区域 1">
                <a:extLst>
                  <a:ext uri="{FF2B5EF4-FFF2-40B4-BE49-F238E27FC236}">
                    <a16:creationId xmlns:a16="http://schemas.microsoft.com/office/drawing/2014/main" id="{2B0F77BC-34EE-4798-864F-D6D51313FE3B}"/>
                  </a:ext>
                </a:extLst>
              </xdr:cNvPr>
              <xdr:cNvGraphicFramePr/>
            </xdr:nvGraphicFramePr>
            <xdr:xfrm>
              <a:off x="15022112" y="1409828"/>
              <a:ext cx="2167787" cy="432000"/>
            </xdr:xfrm>
            <a:graphic>
              <a:graphicData uri="http://schemas.microsoft.com/office/drawing/2010/slicer">
                <sle:slicer xmlns:sle="http://schemas.microsoft.com/office/drawing/2010/slicer" name="区域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089638" y="434879"/>
                <a:ext cx="2167787" cy="4319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303A9422-75DF-4DE9-AC03-7C2AC8EE026E}"/>
              </a:ext>
            </a:extLst>
          </xdr:cNvPr>
          <xdr:cNvSpPr txBox="1"/>
        </xdr:nvSpPr>
        <xdr:spPr>
          <a:xfrm>
            <a:off x="14425405" y="1397000"/>
            <a:ext cx="622170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600" b="1">
                <a:latin typeface="微软雅黑" panose="020B0503020204020204" pitchFamily="34" charset="-122"/>
                <a:ea typeface="微软雅黑" panose="020B0503020204020204" pitchFamily="34" charset="-122"/>
              </a:rPr>
              <a:t>区域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" refreshedDate="46085.556934953704" createdVersion="8" refreshedVersion="8" minRefreshableVersion="3" recordCount="3988" xr:uid="{BCC29437-E306-4126-B48C-EDBF9F970735}">
  <cacheSource type="worksheet">
    <worksheetSource name="汇总数据"/>
  </cacheSource>
  <cacheFields count="18">
    <cacheField name="成交日期" numFmtId="14">
      <sharedItems containsSemiMixedTypes="0" containsNonDate="0" containsDate="1" containsString="0" minDate="2020-04-01T00:00:00" maxDate="2020-07-01T00:00:00" count="91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</sharedItems>
      <fieldGroup par="17"/>
    </cacheField>
    <cacheField name="销售工号" numFmtId="0">
      <sharedItems containsSemiMixedTypes="0" containsString="0" containsNumber="1" containsInteger="1" minValue="1000000028" maxValue="1000021227"/>
    </cacheField>
    <cacheField name="产品" numFmtId="0">
      <sharedItems/>
    </cacheField>
    <cacheField name="成交客户数" numFmtId="0">
      <sharedItems containsSemiMixedTypes="0" containsString="0" containsNumber="1" containsInteger="1" minValue="1" maxValue="8"/>
    </cacheField>
    <cacheField name="成交金额" numFmtId="0">
      <sharedItems containsSemiMixedTypes="0" containsString="0" containsNumber="1" minValue="9.3800000000000008" maxValue="103002.31"/>
    </cacheField>
    <cacheField name="产品类型" numFmtId="0">
      <sharedItems/>
    </cacheField>
    <cacheField name="期数" numFmtId="0">
      <sharedItems count="6">
        <s v="12期"/>
        <s v="6期"/>
        <s v="18期"/>
        <s v="9期"/>
        <s v="3期"/>
        <s v="1期"/>
      </sharedItems>
    </cacheField>
    <cacheField name="区域" numFmtId="0">
      <sharedItems count="3">
        <s v="华东"/>
        <s v="华西北"/>
        <s v="华南"/>
      </sharedItems>
    </cacheField>
    <cacheField name="省份" numFmtId="0">
      <sharedItems count="12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9.3800000000000008" maxValue="33000.589999999997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6" count="3">
        <n v="4"/>
        <n v="5"/>
        <n v="6"/>
      </sharedItems>
    </cacheField>
    <cacheField name="总客单价" numFmtId="0" formula="成交金额/成交客户数" databaseField="0"/>
    <cacheField name="天(成交日期)" numFmtId="0" databaseField="0">
      <fieldGroup base="0">
        <rangePr groupBy="days" startDate="2020-04-01T00:00:00" endDate="2020-07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7/1"/>
        </groupItems>
      </fieldGroup>
    </cacheField>
    <cacheField name="月(成交日期)" numFmtId="0" databaseField="0">
      <fieldGroup base="0">
        <rangePr groupBy="months" startDate="2020-04-01T00:00:00" endDate="2020-07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7/1"/>
        </groupItems>
      </fieldGroup>
    </cacheField>
  </cacheFields>
  <extLst>
    <ext xmlns:x14="http://schemas.microsoft.com/office/spreadsheetml/2009/9/main" uri="{725AE2AE-9491-48be-B2B4-4EB974FC3084}">
      <x14:pivotCacheDefinition pivotCacheId="13732037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8">
  <r>
    <x v="0"/>
    <n v="1000000028"/>
    <s v="借呗12期"/>
    <n v="3"/>
    <n v="55000.680000000008"/>
    <s v="借呗"/>
    <x v="0"/>
    <x v="0"/>
    <x v="0"/>
    <s v="二组"/>
    <s v="杭州二组"/>
    <s v="普通员工"/>
    <n v="18333.560000000001"/>
    <n v="2020"/>
    <x v="0"/>
  </r>
  <r>
    <x v="0"/>
    <n v="1000000029"/>
    <s v="借呗12期"/>
    <n v="2"/>
    <n v="40000.490000000005"/>
    <s v="借呗"/>
    <x v="0"/>
    <x v="0"/>
    <x v="0"/>
    <s v="二组"/>
    <s v="杭州二组"/>
    <s v="普通员工"/>
    <n v="20000.245000000003"/>
    <n v="2020"/>
    <x v="0"/>
  </r>
  <r>
    <x v="0"/>
    <n v="1000000032"/>
    <s v="借呗6期"/>
    <n v="1"/>
    <n v="22000.65"/>
    <s v="借呗"/>
    <x v="1"/>
    <x v="0"/>
    <x v="1"/>
    <s v="一组"/>
    <s v="苏州一组"/>
    <s v="管理人员"/>
    <n v="22000.65"/>
    <n v="2020"/>
    <x v="0"/>
  </r>
  <r>
    <x v="0"/>
    <n v="1000000031"/>
    <s v="借呗12期"/>
    <n v="1"/>
    <n v="20000.75"/>
    <s v="借呗"/>
    <x v="0"/>
    <x v="0"/>
    <x v="0"/>
    <s v="一组"/>
    <s v="杭州一组"/>
    <s v="管理人员"/>
    <n v="20000.75"/>
    <n v="2020"/>
    <x v="0"/>
  </r>
  <r>
    <x v="0"/>
    <n v="1000000040"/>
    <s v="借呗6期"/>
    <n v="1"/>
    <n v="20000.72"/>
    <s v="借呗"/>
    <x v="1"/>
    <x v="1"/>
    <x v="2"/>
    <s v="四组"/>
    <s v="北京四组"/>
    <s v="管理人员"/>
    <n v="20000.72"/>
    <n v="2020"/>
    <x v="0"/>
  </r>
  <r>
    <x v="0"/>
    <n v="1000000054"/>
    <s v="借呗12期"/>
    <n v="1"/>
    <n v="20000.689999999999"/>
    <s v="借呗"/>
    <x v="0"/>
    <x v="0"/>
    <x v="3"/>
    <s v="一组"/>
    <s v="上海一组"/>
    <s v="普通员工"/>
    <n v="20000.689999999999"/>
    <n v="2020"/>
    <x v="0"/>
  </r>
  <r>
    <x v="0"/>
    <n v="1000000035"/>
    <s v="借呗12期"/>
    <n v="1"/>
    <n v="15000.57"/>
    <s v="借呗"/>
    <x v="0"/>
    <x v="0"/>
    <x v="1"/>
    <s v="三组"/>
    <s v="苏州三组"/>
    <s v="普通员工"/>
    <n v="15000.57"/>
    <n v="2020"/>
    <x v="0"/>
  </r>
  <r>
    <x v="0"/>
    <n v="1000000043"/>
    <s v="借呗12期"/>
    <n v="3"/>
    <n v="14501.3"/>
    <s v="借呗"/>
    <x v="0"/>
    <x v="1"/>
    <x v="4"/>
    <s v="一组"/>
    <s v="成都一组"/>
    <s v="普通员工"/>
    <n v="4833.7666666666664"/>
    <n v="2020"/>
    <x v="0"/>
  </r>
  <r>
    <x v="0"/>
    <n v="1000000031"/>
    <s v="借呗6期"/>
    <n v="1"/>
    <n v="5000.6400000000003"/>
    <s v="借呗"/>
    <x v="1"/>
    <x v="0"/>
    <x v="0"/>
    <s v="一组"/>
    <s v="杭州一组"/>
    <s v="管理人员"/>
    <n v="5000.6400000000003"/>
    <n v="2020"/>
    <x v="0"/>
  </r>
  <r>
    <x v="0"/>
    <n v="1000000049"/>
    <s v="借呗6期"/>
    <n v="1"/>
    <n v="5000.6400000000003"/>
    <s v="借呗"/>
    <x v="1"/>
    <x v="0"/>
    <x v="5"/>
    <s v="一组"/>
    <s v="合肥一组"/>
    <s v="普通员工"/>
    <n v="5000.6400000000003"/>
    <n v="2020"/>
    <x v="0"/>
  </r>
  <r>
    <x v="0"/>
    <n v="1000000050"/>
    <s v="借呗18期"/>
    <n v="1"/>
    <n v="5000.1899999999996"/>
    <s v="借呗"/>
    <x v="2"/>
    <x v="0"/>
    <x v="5"/>
    <s v="一组"/>
    <s v="合肥一组"/>
    <s v="普通员工"/>
    <n v="5000.1899999999996"/>
    <n v="2020"/>
    <x v="0"/>
  </r>
  <r>
    <x v="1"/>
    <n v="1000000029"/>
    <s v="借呗12期"/>
    <n v="2"/>
    <n v="20000.93"/>
    <s v="借呗"/>
    <x v="0"/>
    <x v="0"/>
    <x v="0"/>
    <s v="二组"/>
    <s v="杭州二组"/>
    <s v="普通员工"/>
    <n v="10000.465"/>
    <n v="2020"/>
    <x v="0"/>
  </r>
  <r>
    <x v="1"/>
    <n v="1000000034"/>
    <s v="借呗18期"/>
    <n v="1"/>
    <n v="20000.43"/>
    <s v="借呗"/>
    <x v="2"/>
    <x v="0"/>
    <x v="1"/>
    <s v="一组"/>
    <s v="苏州一组"/>
    <s v="普通员工"/>
    <n v="20000.43"/>
    <n v="2020"/>
    <x v="0"/>
  </r>
  <r>
    <x v="1"/>
    <n v="1000000028"/>
    <s v="借呗6期"/>
    <n v="1"/>
    <n v="18000.29"/>
    <s v="借呗"/>
    <x v="1"/>
    <x v="0"/>
    <x v="0"/>
    <s v="二组"/>
    <s v="杭州二组"/>
    <s v="普通员工"/>
    <n v="18000.29"/>
    <n v="2020"/>
    <x v="0"/>
  </r>
  <r>
    <x v="1"/>
    <n v="1000000032"/>
    <s v="借呗12期"/>
    <n v="1"/>
    <n v="18000.22"/>
    <s v="借呗"/>
    <x v="0"/>
    <x v="0"/>
    <x v="1"/>
    <s v="一组"/>
    <s v="苏州一组"/>
    <s v="管理人员"/>
    <n v="18000.22"/>
    <n v="2020"/>
    <x v="0"/>
  </r>
  <r>
    <x v="1"/>
    <n v="1000000046"/>
    <s v="借呗6期"/>
    <n v="2"/>
    <n v="15000.739999999998"/>
    <s v="借呗"/>
    <x v="1"/>
    <x v="1"/>
    <x v="4"/>
    <s v="一组"/>
    <s v="成都一组"/>
    <s v="普通员工"/>
    <n v="7500.369999999999"/>
    <n v="2020"/>
    <x v="0"/>
  </r>
  <r>
    <x v="1"/>
    <n v="1000000035"/>
    <s v="借呗12期"/>
    <n v="1"/>
    <n v="14999.94"/>
    <s v="借呗"/>
    <x v="0"/>
    <x v="0"/>
    <x v="1"/>
    <s v="三组"/>
    <s v="苏州三组"/>
    <s v="普通员工"/>
    <n v="14999.94"/>
    <n v="2020"/>
    <x v="0"/>
  </r>
  <r>
    <x v="1"/>
    <n v="1000000057"/>
    <s v="借呗18期"/>
    <n v="1"/>
    <n v="10000.75"/>
    <s v="借呗"/>
    <x v="2"/>
    <x v="0"/>
    <x v="3"/>
    <s v="二组"/>
    <s v="上海二组"/>
    <s v="普通员工"/>
    <n v="10000.75"/>
    <n v="2020"/>
    <x v="0"/>
  </r>
  <r>
    <x v="1"/>
    <n v="1000000031"/>
    <s v="借呗12期"/>
    <n v="1"/>
    <n v="10000.57"/>
    <s v="借呗"/>
    <x v="0"/>
    <x v="0"/>
    <x v="0"/>
    <s v="一组"/>
    <s v="杭州一组"/>
    <s v="管理人员"/>
    <n v="10000.57"/>
    <n v="2020"/>
    <x v="0"/>
  </r>
  <r>
    <x v="1"/>
    <n v="1000000050"/>
    <s v="借呗18期"/>
    <n v="1"/>
    <n v="10000.34"/>
    <s v="借呗"/>
    <x v="2"/>
    <x v="0"/>
    <x v="5"/>
    <s v="一组"/>
    <s v="合肥一组"/>
    <s v="普通员工"/>
    <n v="10000.34"/>
    <n v="2020"/>
    <x v="0"/>
  </r>
  <r>
    <x v="1"/>
    <n v="1000000043"/>
    <s v="借呗6期"/>
    <n v="1"/>
    <n v="10000.200000000001"/>
    <s v="借呗"/>
    <x v="1"/>
    <x v="1"/>
    <x v="4"/>
    <s v="一组"/>
    <s v="成都一组"/>
    <s v="普通员工"/>
    <n v="10000.200000000001"/>
    <n v="2020"/>
    <x v="0"/>
  </r>
  <r>
    <x v="1"/>
    <n v="1000000031"/>
    <s v="借呗6期"/>
    <n v="1"/>
    <n v="9257.26"/>
    <s v="借呗"/>
    <x v="1"/>
    <x v="0"/>
    <x v="0"/>
    <s v="一组"/>
    <s v="杭州一组"/>
    <s v="管理人员"/>
    <n v="9257.26"/>
    <n v="2020"/>
    <x v="0"/>
  </r>
  <r>
    <x v="1"/>
    <n v="1000000052"/>
    <s v="借呗18期"/>
    <n v="1"/>
    <n v="8000.35"/>
    <s v="借呗"/>
    <x v="2"/>
    <x v="0"/>
    <x v="3"/>
    <s v="二组"/>
    <s v="上海二组"/>
    <s v="普通员工"/>
    <n v="8000.35"/>
    <n v="2020"/>
    <x v="0"/>
  </r>
  <r>
    <x v="1"/>
    <n v="1000000029"/>
    <s v="借呗6期"/>
    <n v="1"/>
    <n v="5000.37"/>
    <s v="借呗"/>
    <x v="1"/>
    <x v="0"/>
    <x v="0"/>
    <s v="二组"/>
    <s v="杭州二组"/>
    <s v="普通员工"/>
    <n v="5000.37"/>
    <n v="2020"/>
    <x v="0"/>
  </r>
  <r>
    <x v="2"/>
    <n v="1000000028"/>
    <s v="借呗12期"/>
    <n v="2"/>
    <n v="40000.39"/>
    <s v="借呗"/>
    <x v="0"/>
    <x v="0"/>
    <x v="0"/>
    <s v="二组"/>
    <s v="杭州二组"/>
    <s v="普通员工"/>
    <n v="20000.195"/>
    <n v="2020"/>
    <x v="0"/>
  </r>
  <r>
    <x v="2"/>
    <n v="1000000031"/>
    <s v="借呗18期"/>
    <n v="2"/>
    <n v="26000.27"/>
    <s v="借呗"/>
    <x v="2"/>
    <x v="0"/>
    <x v="0"/>
    <s v="一组"/>
    <s v="杭州一组"/>
    <s v="管理人员"/>
    <n v="13000.135"/>
    <n v="2020"/>
    <x v="0"/>
  </r>
  <r>
    <x v="2"/>
    <n v="1000000037"/>
    <s v="借呗6期"/>
    <n v="1"/>
    <n v="22000.65"/>
    <s v="借呗"/>
    <x v="1"/>
    <x v="0"/>
    <x v="0"/>
    <s v="二组"/>
    <s v="杭州二组"/>
    <s v="普通员工"/>
    <n v="22000.65"/>
    <n v="2020"/>
    <x v="0"/>
  </r>
  <r>
    <x v="2"/>
    <n v="1000000035"/>
    <s v="借呗6期"/>
    <n v="1"/>
    <n v="20000.47"/>
    <s v="借呗"/>
    <x v="1"/>
    <x v="0"/>
    <x v="1"/>
    <s v="三组"/>
    <s v="苏州三组"/>
    <s v="普通员工"/>
    <n v="20000.47"/>
    <n v="2020"/>
    <x v="0"/>
  </r>
  <r>
    <x v="2"/>
    <n v="1000000029"/>
    <s v="借呗12期"/>
    <n v="1"/>
    <n v="20000.28"/>
    <s v="借呗"/>
    <x v="0"/>
    <x v="0"/>
    <x v="0"/>
    <s v="二组"/>
    <s v="杭州二组"/>
    <s v="普通员工"/>
    <n v="20000.28"/>
    <n v="2020"/>
    <x v="0"/>
  </r>
  <r>
    <x v="2"/>
    <n v="1000000043"/>
    <s v="借呗12期"/>
    <n v="2"/>
    <n v="15000.85"/>
    <s v="借呗"/>
    <x v="0"/>
    <x v="1"/>
    <x v="4"/>
    <s v="一组"/>
    <s v="成都一组"/>
    <s v="普通员工"/>
    <n v="7500.4250000000002"/>
    <n v="2020"/>
    <x v="0"/>
  </r>
  <r>
    <x v="2"/>
    <n v="1000000034"/>
    <s v="借呗18期"/>
    <n v="1"/>
    <n v="15000.54"/>
    <s v="借呗"/>
    <x v="2"/>
    <x v="0"/>
    <x v="1"/>
    <s v="一组"/>
    <s v="苏州一组"/>
    <s v="普通员工"/>
    <n v="15000.54"/>
    <n v="2020"/>
    <x v="0"/>
  </r>
  <r>
    <x v="2"/>
    <n v="1000000037"/>
    <s v="借呗12期"/>
    <n v="1"/>
    <n v="15000.43"/>
    <s v="借呗"/>
    <x v="0"/>
    <x v="0"/>
    <x v="0"/>
    <s v="二组"/>
    <s v="杭州二组"/>
    <s v="普通员工"/>
    <n v="15000.43"/>
    <n v="2020"/>
    <x v="0"/>
  </r>
  <r>
    <x v="2"/>
    <n v="1000000050"/>
    <s v="借呗18期"/>
    <n v="1"/>
    <n v="10000.620000000001"/>
    <s v="借呗"/>
    <x v="2"/>
    <x v="0"/>
    <x v="5"/>
    <s v="一组"/>
    <s v="合肥一组"/>
    <s v="普通员工"/>
    <n v="10000.620000000001"/>
    <n v="2020"/>
    <x v="0"/>
  </r>
  <r>
    <x v="2"/>
    <n v="1000000029"/>
    <s v="借呗6期"/>
    <n v="1"/>
    <n v="10000.35"/>
    <s v="借呗"/>
    <x v="1"/>
    <x v="0"/>
    <x v="0"/>
    <s v="二组"/>
    <s v="杭州二组"/>
    <s v="普通员工"/>
    <n v="10000.35"/>
    <n v="2020"/>
    <x v="0"/>
  </r>
  <r>
    <x v="2"/>
    <n v="1000000040"/>
    <s v="借呗6期"/>
    <n v="1"/>
    <n v="10000.219999999999"/>
    <s v="借呗"/>
    <x v="1"/>
    <x v="1"/>
    <x v="2"/>
    <s v="四组"/>
    <s v="北京四组"/>
    <s v="管理人员"/>
    <n v="10000.219999999999"/>
    <n v="2020"/>
    <x v="0"/>
  </r>
  <r>
    <x v="2"/>
    <n v="1000000041"/>
    <s v="借呗12期"/>
    <n v="1"/>
    <n v="10000.07"/>
    <s v="借呗"/>
    <x v="0"/>
    <x v="1"/>
    <x v="2"/>
    <s v="四组"/>
    <s v="北京四组"/>
    <s v="普通员工"/>
    <n v="10000.07"/>
    <n v="2020"/>
    <x v="0"/>
  </r>
  <r>
    <x v="2"/>
    <n v="1000000031"/>
    <s v="借呗12期"/>
    <n v="1"/>
    <n v="8000.05"/>
    <s v="借呗"/>
    <x v="0"/>
    <x v="0"/>
    <x v="0"/>
    <s v="一组"/>
    <s v="杭州一组"/>
    <s v="管理人员"/>
    <n v="8000.05"/>
    <n v="2020"/>
    <x v="0"/>
  </r>
  <r>
    <x v="2"/>
    <n v="1000000057"/>
    <s v="花呗18期"/>
    <n v="1"/>
    <n v="5637.93"/>
    <s v="花呗"/>
    <x v="2"/>
    <x v="0"/>
    <x v="3"/>
    <s v="二组"/>
    <s v="上海二组"/>
    <s v="普通员工"/>
    <n v="5637.93"/>
    <n v="2020"/>
    <x v="0"/>
  </r>
  <r>
    <x v="3"/>
    <n v="1000000030"/>
    <s v="借呗18期"/>
    <n v="1"/>
    <n v="20000.66"/>
    <s v="借呗"/>
    <x v="2"/>
    <x v="2"/>
    <x v="6"/>
    <s v="三组"/>
    <s v="广州三组"/>
    <s v="普通员工"/>
    <n v="20000.66"/>
    <n v="2020"/>
    <x v="0"/>
  </r>
  <r>
    <x v="3"/>
    <n v="1000000031"/>
    <s v="借呗12期"/>
    <n v="2"/>
    <n v="20000.349999999999"/>
    <s v="借呗"/>
    <x v="0"/>
    <x v="0"/>
    <x v="0"/>
    <s v="一组"/>
    <s v="杭州一组"/>
    <s v="管理人员"/>
    <n v="10000.174999999999"/>
    <n v="2020"/>
    <x v="0"/>
  </r>
  <r>
    <x v="3"/>
    <n v="1000000050"/>
    <s v="借呗18期"/>
    <n v="1"/>
    <n v="20000.21"/>
    <s v="借呗"/>
    <x v="2"/>
    <x v="0"/>
    <x v="5"/>
    <s v="一组"/>
    <s v="合肥一组"/>
    <s v="普通员工"/>
    <n v="20000.21"/>
    <n v="2020"/>
    <x v="0"/>
  </r>
  <r>
    <x v="3"/>
    <n v="1000000034"/>
    <s v="借呗6期"/>
    <n v="1"/>
    <n v="19999.939999999999"/>
    <s v="借呗"/>
    <x v="1"/>
    <x v="0"/>
    <x v="1"/>
    <s v="一组"/>
    <s v="苏州一组"/>
    <s v="普通员工"/>
    <n v="19999.939999999999"/>
    <n v="2020"/>
    <x v="0"/>
  </r>
  <r>
    <x v="3"/>
    <n v="1000000047"/>
    <s v="借呗18期"/>
    <n v="1"/>
    <n v="15000.01"/>
    <s v="借呗"/>
    <x v="2"/>
    <x v="2"/>
    <x v="6"/>
    <s v="一组"/>
    <s v="广州一组"/>
    <s v="普通员工"/>
    <n v="15000.01"/>
    <n v="2020"/>
    <x v="0"/>
  </r>
  <r>
    <x v="3"/>
    <n v="1000000029"/>
    <s v="借呗12期"/>
    <n v="1"/>
    <n v="10000.629999999999"/>
    <s v="借呗"/>
    <x v="0"/>
    <x v="0"/>
    <x v="0"/>
    <s v="二组"/>
    <s v="杭州二组"/>
    <s v="普通员工"/>
    <n v="10000.629999999999"/>
    <n v="2020"/>
    <x v="0"/>
  </r>
  <r>
    <x v="3"/>
    <n v="1000000040"/>
    <s v="借呗12期"/>
    <n v="1"/>
    <n v="10000.39"/>
    <s v="借呗"/>
    <x v="0"/>
    <x v="1"/>
    <x v="2"/>
    <s v="四组"/>
    <s v="北京四组"/>
    <s v="管理人员"/>
    <n v="10000.39"/>
    <n v="2020"/>
    <x v="0"/>
  </r>
  <r>
    <x v="3"/>
    <n v="1000000067"/>
    <s v="借呗12期"/>
    <n v="1"/>
    <n v="10000.31"/>
    <s v="借呗"/>
    <x v="0"/>
    <x v="0"/>
    <x v="1"/>
    <s v="二组"/>
    <s v="苏州二组"/>
    <s v="普通员工"/>
    <n v="10000.31"/>
    <n v="2020"/>
    <x v="0"/>
  </r>
  <r>
    <x v="3"/>
    <n v="1000000040"/>
    <s v="借呗6期"/>
    <n v="1"/>
    <n v="7999.99"/>
    <s v="借呗"/>
    <x v="1"/>
    <x v="1"/>
    <x v="2"/>
    <s v="四组"/>
    <s v="北京四组"/>
    <s v="管理人员"/>
    <n v="7999.99"/>
    <n v="2020"/>
    <x v="0"/>
  </r>
  <r>
    <x v="3"/>
    <n v="1000000029"/>
    <s v="借呗6期"/>
    <n v="1"/>
    <n v="5000.49"/>
    <s v="借呗"/>
    <x v="1"/>
    <x v="0"/>
    <x v="0"/>
    <s v="二组"/>
    <s v="杭州二组"/>
    <s v="普通员工"/>
    <n v="5000.49"/>
    <n v="2020"/>
    <x v="0"/>
  </r>
  <r>
    <x v="3"/>
    <n v="1000000036"/>
    <s v="借呗12期"/>
    <n v="1"/>
    <n v="5000.43"/>
    <s v="借呗"/>
    <x v="0"/>
    <x v="2"/>
    <x v="6"/>
    <s v="三组"/>
    <s v="广州三组"/>
    <s v="管理人员"/>
    <n v="5000.43"/>
    <n v="2020"/>
    <x v="0"/>
  </r>
  <r>
    <x v="3"/>
    <n v="1000000044"/>
    <s v="借呗6期"/>
    <n v="1"/>
    <n v="4999.9399999999996"/>
    <s v="借呗"/>
    <x v="1"/>
    <x v="1"/>
    <x v="2"/>
    <s v="三组"/>
    <s v="北京三组"/>
    <s v="管理人员"/>
    <n v="4999.9399999999996"/>
    <n v="2020"/>
    <x v="0"/>
  </r>
  <r>
    <x v="4"/>
    <n v="1000000576"/>
    <s v="借呗12期"/>
    <n v="3"/>
    <n v="48001.25"/>
    <s v="借呗"/>
    <x v="0"/>
    <x v="0"/>
    <x v="1"/>
    <s v="三组"/>
    <s v="苏州三组"/>
    <s v="普通员工"/>
    <n v="16000.416666666666"/>
    <n v="2020"/>
    <x v="0"/>
  </r>
  <r>
    <x v="4"/>
    <n v="1000000028"/>
    <s v="借呗12期"/>
    <n v="2"/>
    <n v="28001.33"/>
    <s v="借呗"/>
    <x v="0"/>
    <x v="0"/>
    <x v="0"/>
    <s v="二组"/>
    <s v="杭州二组"/>
    <s v="普通员工"/>
    <n v="14000.665000000001"/>
    <n v="2020"/>
    <x v="0"/>
  </r>
  <r>
    <x v="4"/>
    <n v="1000000566"/>
    <s v="借呗12期"/>
    <n v="1"/>
    <n v="20000.310000000001"/>
    <s v="借呗"/>
    <x v="0"/>
    <x v="2"/>
    <x v="6"/>
    <s v="三组"/>
    <s v="广州三组"/>
    <s v="普通员工"/>
    <n v="20000.310000000001"/>
    <n v="2020"/>
    <x v="0"/>
  </r>
  <r>
    <x v="4"/>
    <n v="1000000030"/>
    <s v="借呗6期"/>
    <n v="1"/>
    <n v="20000.29"/>
    <s v="借呗"/>
    <x v="1"/>
    <x v="2"/>
    <x v="6"/>
    <s v="三组"/>
    <s v="广州三组"/>
    <s v="普通员工"/>
    <n v="20000.29"/>
    <n v="2020"/>
    <x v="0"/>
  </r>
  <r>
    <x v="4"/>
    <n v="1000000032"/>
    <s v="借呗12期"/>
    <n v="1"/>
    <n v="20000.29"/>
    <s v="借呗"/>
    <x v="0"/>
    <x v="0"/>
    <x v="1"/>
    <s v="一组"/>
    <s v="苏州一组"/>
    <s v="管理人员"/>
    <n v="20000.29"/>
    <n v="2020"/>
    <x v="0"/>
  </r>
  <r>
    <x v="4"/>
    <n v="1000000057"/>
    <s v="借呗18期"/>
    <n v="1"/>
    <n v="20000.240000000002"/>
    <s v="借呗"/>
    <x v="2"/>
    <x v="0"/>
    <x v="3"/>
    <s v="二组"/>
    <s v="上海二组"/>
    <s v="普通员工"/>
    <n v="20000.240000000002"/>
    <n v="2020"/>
    <x v="0"/>
  </r>
  <r>
    <x v="4"/>
    <n v="1000000047"/>
    <s v="借呗18期"/>
    <n v="2"/>
    <n v="18000.739999999998"/>
    <s v="借呗"/>
    <x v="2"/>
    <x v="2"/>
    <x v="6"/>
    <s v="一组"/>
    <s v="广州一组"/>
    <s v="普通员工"/>
    <n v="9000.369999999999"/>
    <n v="2020"/>
    <x v="0"/>
  </r>
  <r>
    <x v="4"/>
    <n v="1000000566"/>
    <s v="借呗18期"/>
    <n v="1"/>
    <n v="17999.939999999999"/>
    <s v="借呗"/>
    <x v="2"/>
    <x v="2"/>
    <x v="6"/>
    <s v="三组"/>
    <s v="广州三组"/>
    <s v="普通员工"/>
    <n v="17999.939999999999"/>
    <n v="2020"/>
    <x v="0"/>
  </r>
  <r>
    <x v="4"/>
    <n v="1000000029"/>
    <s v="借呗12期"/>
    <n v="1"/>
    <n v="10000.629999999999"/>
    <s v="借呗"/>
    <x v="0"/>
    <x v="0"/>
    <x v="0"/>
    <s v="二组"/>
    <s v="杭州二组"/>
    <s v="普通员工"/>
    <n v="10000.629999999999"/>
    <n v="2020"/>
    <x v="0"/>
  </r>
  <r>
    <x v="4"/>
    <n v="1000000046"/>
    <s v="借呗6期"/>
    <n v="1"/>
    <n v="10000.58"/>
    <s v="借呗"/>
    <x v="1"/>
    <x v="1"/>
    <x v="4"/>
    <s v="一组"/>
    <s v="成都一组"/>
    <s v="普通员工"/>
    <n v="10000.58"/>
    <n v="2020"/>
    <x v="0"/>
  </r>
  <r>
    <x v="4"/>
    <n v="1000000041"/>
    <s v="借呗6期"/>
    <n v="1"/>
    <n v="10000.44"/>
    <s v="借呗"/>
    <x v="1"/>
    <x v="1"/>
    <x v="2"/>
    <s v="四组"/>
    <s v="北京四组"/>
    <s v="普通员工"/>
    <n v="10000.44"/>
    <n v="2020"/>
    <x v="0"/>
  </r>
  <r>
    <x v="4"/>
    <n v="1000000029"/>
    <s v="借呗6期"/>
    <n v="1"/>
    <n v="10000.33"/>
    <s v="借呗"/>
    <x v="1"/>
    <x v="0"/>
    <x v="0"/>
    <s v="二组"/>
    <s v="杭州二组"/>
    <s v="普通员工"/>
    <n v="10000.33"/>
    <n v="2020"/>
    <x v="0"/>
  </r>
  <r>
    <x v="4"/>
    <n v="1000000040"/>
    <s v="借呗6期"/>
    <n v="1"/>
    <n v="10000.209999999999"/>
    <s v="借呗"/>
    <x v="1"/>
    <x v="1"/>
    <x v="2"/>
    <s v="四组"/>
    <s v="北京四组"/>
    <s v="管理人员"/>
    <n v="10000.209999999999"/>
    <n v="2020"/>
    <x v="0"/>
  </r>
  <r>
    <x v="4"/>
    <n v="1000000035"/>
    <s v="借呗12期"/>
    <n v="1"/>
    <n v="8000.44"/>
    <s v="借呗"/>
    <x v="0"/>
    <x v="0"/>
    <x v="1"/>
    <s v="三组"/>
    <s v="苏州三组"/>
    <s v="普通员工"/>
    <n v="8000.44"/>
    <n v="2020"/>
    <x v="0"/>
  </r>
  <r>
    <x v="4"/>
    <n v="1000000566"/>
    <s v="借呗6期"/>
    <n v="1"/>
    <n v="8000.25"/>
    <s v="借呗"/>
    <x v="1"/>
    <x v="2"/>
    <x v="6"/>
    <s v="三组"/>
    <s v="广州三组"/>
    <s v="普通员工"/>
    <n v="8000.25"/>
    <n v="2020"/>
    <x v="0"/>
  </r>
  <r>
    <x v="4"/>
    <n v="1000000067"/>
    <s v="借呗18期"/>
    <n v="1"/>
    <n v="8000.2"/>
    <s v="借呗"/>
    <x v="2"/>
    <x v="0"/>
    <x v="1"/>
    <s v="二组"/>
    <s v="苏州二组"/>
    <s v="普通员工"/>
    <n v="8000.2"/>
    <n v="2020"/>
    <x v="0"/>
  </r>
  <r>
    <x v="4"/>
    <n v="1000000047"/>
    <s v="借呗12期"/>
    <n v="1"/>
    <n v="8000.11"/>
    <s v="借呗"/>
    <x v="0"/>
    <x v="2"/>
    <x v="6"/>
    <s v="一组"/>
    <s v="广州一组"/>
    <s v="普通员工"/>
    <n v="8000.11"/>
    <n v="2020"/>
    <x v="0"/>
  </r>
  <r>
    <x v="4"/>
    <n v="1000000057"/>
    <s v="借呗6期"/>
    <n v="1"/>
    <n v="7999.97"/>
    <s v="借呗"/>
    <x v="1"/>
    <x v="0"/>
    <x v="3"/>
    <s v="二组"/>
    <s v="上海二组"/>
    <s v="普通员工"/>
    <n v="7999.97"/>
    <n v="2020"/>
    <x v="0"/>
  </r>
  <r>
    <x v="4"/>
    <n v="1000000051"/>
    <s v="借呗12期"/>
    <n v="1"/>
    <n v="6000.46"/>
    <s v="借呗"/>
    <x v="0"/>
    <x v="0"/>
    <x v="3"/>
    <s v="二组"/>
    <s v="上海二组"/>
    <s v="普通员工"/>
    <n v="6000.46"/>
    <n v="2020"/>
    <x v="0"/>
  </r>
  <r>
    <x v="4"/>
    <n v="1000000037"/>
    <s v="借呗12期"/>
    <n v="1"/>
    <n v="5000.53"/>
    <s v="借呗"/>
    <x v="0"/>
    <x v="0"/>
    <x v="0"/>
    <s v="二组"/>
    <s v="杭州二组"/>
    <s v="普通员工"/>
    <n v="5000.53"/>
    <n v="2020"/>
    <x v="0"/>
  </r>
  <r>
    <x v="4"/>
    <n v="1000000043"/>
    <s v="借呗6期"/>
    <n v="1"/>
    <n v="5000.37"/>
    <s v="借呗"/>
    <x v="1"/>
    <x v="1"/>
    <x v="4"/>
    <s v="一组"/>
    <s v="成都一组"/>
    <s v="普通员工"/>
    <n v="5000.37"/>
    <n v="2020"/>
    <x v="0"/>
  </r>
  <r>
    <x v="4"/>
    <n v="1000000028"/>
    <s v="借呗6期"/>
    <n v="1"/>
    <n v="5000.3599999999997"/>
    <s v="借呗"/>
    <x v="1"/>
    <x v="0"/>
    <x v="0"/>
    <s v="二组"/>
    <s v="杭州二组"/>
    <s v="普通员工"/>
    <n v="5000.3599999999997"/>
    <n v="2020"/>
    <x v="0"/>
  </r>
  <r>
    <x v="4"/>
    <n v="1000000031"/>
    <s v="借呗6期"/>
    <n v="1"/>
    <n v="5000.3100000000004"/>
    <s v="借呗"/>
    <x v="1"/>
    <x v="0"/>
    <x v="0"/>
    <s v="一组"/>
    <s v="杭州一组"/>
    <s v="管理人员"/>
    <n v="5000.3100000000004"/>
    <n v="2020"/>
    <x v="0"/>
  </r>
  <r>
    <x v="4"/>
    <n v="1000000034"/>
    <s v="借呗6期"/>
    <n v="1"/>
    <n v="5000.03"/>
    <s v="借呗"/>
    <x v="1"/>
    <x v="0"/>
    <x v="1"/>
    <s v="一组"/>
    <s v="苏州一组"/>
    <s v="普通员工"/>
    <n v="5000.03"/>
    <n v="2020"/>
    <x v="0"/>
  </r>
  <r>
    <x v="4"/>
    <n v="1000000566"/>
    <s v="花呗12期"/>
    <n v="1"/>
    <n v="4737.9799999999996"/>
    <s v="花呗"/>
    <x v="0"/>
    <x v="2"/>
    <x v="6"/>
    <s v="三组"/>
    <s v="广州三组"/>
    <s v="普通员工"/>
    <n v="4737.9799999999996"/>
    <n v="2020"/>
    <x v="0"/>
  </r>
  <r>
    <x v="4"/>
    <n v="1000000037"/>
    <s v="借呗6期"/>
    <n v="1"/>
    <n v="3000.69"/>
    <s v="借呗"/>
    <x v="1"/>
    <x v="0"/>
    <x v="0"/>
    <s v="二组"/>
    <s v="杭州二组"/>
    <s v="普通员工"/>
    <n v="3000.69"/>
    <n v="2020"/>
    <x v="0"/>
  </r>
  <r>
    <x v="5"/>
    <n v="1000000034"/>
    <s v="借呗6期"/>
    <n v="2"/>
    <n v="36001.15"/>
    <s v="借呗"/>
    <x v="1"/>
    <x v="0"/>
    <x v="1"/>
    <s v="一组"/>
    <s v="苏州一组"/>
    <s v="普通员工"/>
    <n v="18000.575000000001"/>
    <n v="2020"/>
    <x v="0"/>
  </r>
  <r>
    <x v="5"/>
    <n v="1000000031"/>
    <s v="借呗18期"/>
    <n v="1"/>
    <n v="25000.42"/>
    <s v="借呗"/>
    <x v="2"/>
    <x v="0"/>
    <x v="0"/>
    <s v="一组"/>
    <s v="杭州一组"/>
    <s v="管理人员"/>
    <n v="25000.42"/>
    <n v="2020"/>
    <x v="0"/>
  </r>
  <r>
    <x v="5"/>
    <n v="1000000057"/>
    <s v="借呗12期"/>
    <n v="2"/>
    <n v="23000.79"/>
    <s v="借呗"/>
    <x v="0"/>
    <x v="0"/>
    <x v="3"/>
    <s v="二组"/>
    <s v="上海二组"/>
    <s v="普通员工"/>
    <n v="11500.395"/>
    <n v="2020"/>
    <x v="0"/>
  </r>
  <r>
    <x v="5"/>
    <n v="1000000046"/>
    <s v="借呗12期"/>
    <n v="1"/>
    <n v="20000.650000000001"/>
    <s v="借呗"/>
    <x v="0"/>
    <x v="1"/>
    <x v="4"/>
    <s v="一组"/>
    <s v="成都一组"/>
    <s v="普通员工"/>
    <n v="20000.650000000001"/>
    <n v="2020"/>
    <x v="0"/>
  </r>
  <r>
    <x v="5"/>
    <n v="1000000029"/>
    <s v="借呗6期"/>
    <n v="1"/>
    <n v="20000.55"/>
    <s v="借呗"/>
    <x v="1"/>
    <x v="0"/>
    <x v="0"/>
    <s v="二组"/>
    <s v="杭州二组"/>
    <s v="普通员工"/>
    <n v="20000.55"/>
    <n v="2020"/>
    <x v="0"/>
  </r>
  <r>
    <x v="5"/>
    <n v="1000000049"/>
    <s v="借呗18期"/>
    <n v="1"/>
    <n v="20000.23"/>
    <s v="借呗"/>
    <x v="2"/>
    <x v="0"/>
    <x v="5"/>
    <s v="一组"/>
    <s v="合肥一组"/>
    <s v="普通员工"/>
    <n v="20000.23"/>
    <n v="2020"/>
    <x v="0"/>
  </r>
  <r>
    <x v="5"/>
    <n v="1000000031"/>
    <s v="借呗12期"/>
    <n v="1"/>
    <n v="20000.11"/>
    <s v="借呗"/>
    <x v="0"/>
    <x v="0"/>
    <x v="0"/>
    <s v="一组"/>
    <s v="杭州一组"/>
    <s v="管理人员"/>
    <n v="20000.11"/>
    <n v="2020"/>
    <x v="0"/>
  </r>
  <r>
    <x v="5"/>
    <n v="1000000033"/>
    <s v="借呗6期"/>
    <n v="1"/>
    <n v="20000.080000000002"/>
    <s v="借呗"/>
    <x v="1"/>
    <x v="0"/>
    <x v="1"/>
    <s v="一组"/>
    <s v="苏州一组"/>
    <s v="普通员工"/>
    <n v="20000.080000000002"/>
    <n v="2020"/>
    <x v="0"/>
  </r>
  <r>
    <x v="5"/>
    <n v="1000000050"/>
    <s v="借呗12期"/>
    <n v="1"/>
    <n v="20000"/>
    <s v="借呗"/>
    <x v="0"/>
    <x v="0"/>
    <x v="5"/>
    <s v="一组"/>
    <s v="合肥一组"/>
    <s v="普通员工"/>
    <n v="20000"/>
    <n v="2020"/>
    <x v="0"/>
  </r>
  <r>
    <x v="5"/>
    <n v="1000000049"/>
    <s v="借呗12期"/>
    <n v="1"/>
    <n v="18000.03"/>
    <s v="借呗"/>
    <x v="0"/>
    <x v="0"/>
    <x v="5"/>
    <s v="一组"/>
    <s v="合肥一组"/>
    <s v="普通员工"/>
    <n v="18000.03"/>
    <n v="2020"/>
    <x v="0"/>
  </r>
  <r>
    <x v="5"/>
    <n v="1000000028"/>
    <s v="借呗18期"/>
    <n v="1"/>
    <n v="15000.25"/>
    <s v="借呗"/>
    <x v="2"/>
    <x v="0"/>
    <x v="0"/>
    <s v="二组"/>
    <s v="杭州二组"/>
    <s v="普通员工"/>
    <n v="15000.25"/>
    <n v="2020"/>
    <x v="0"/>
  </r>
  <r>
    <x v="5"/>
    <n v="1000000039"/>
    <s v="借呗12期"/>
    <n v="1"/>
    <n v="10000.709999999999"/>
    <s v="借呗"/>
    <x v="0"/>
    <x v="0"/>
    <x v="1"/>
    <s v="二组"/>
    <s v="苏州二组"/>
    <s v="管理人员"/>
    <n v="10000.709999999999"/>
    <n v="2020"/>
    <x v="0"/>
  </r>
  <r>
    <x v="5"/>
    <n v="1000000566"/>
    <s v="借呗12期"/>
    <n v="1"/>
    <n v="10000.69"/>
    <s v="借呗"/>
    <x v="0"/>
    <x v="2"/>
    <x v="6"/>
    <s v="三组"/>
    <s v="广州三组"/>
    <s v="普通员工"/>
    <n v="10000.69"/>
    <n v="2020"/>
    <x v="0"/>
  </r>
  <r>
    <x v="5"/>
    <n v="1000000034"/>
    <s v="借呗12期"/>
    <n v="1"/>
    <n v="10000.52"/>
    <s v="借呗"/>
    <x v="0"/>
    <x v="0"/>
    <x v="1"/>
    <s v="一组"/>
    <s v="苏州一组"/>
    <s v="普通员工"/>
    <n v="10000.52"/>
    <n v="2020"/>
    <x v="0"/>
  </r>
  <r>
    <x v="5"/>
    <n v="1000000043"/>
    <s v="借呗12期"/>
    <n v="1"/>
    <n v="10000.27"/>
    <s v="借呗"/>
    <x v="0"/>
    <x v="1"/>
    <x v="4"/>
    <s v="一组"/>
    <s v="成都一组"/>
    <s v="普通员工"/>
    <n v="10000.27"/>
    <n v="2020"/>
    <x v="0"/>
  </r>
  <r>
    <x v="5"/>
    <n v="1000000576"/>
    <s v="借呗12期"/>
    <n v="1"/>
    <n v="10000.18"/>
    <s v="借呗"/>
    <x v="0"/>
    <x v="0"/>
    <x v="1"/>
    <s v="三组"/>
    <s v="苏州三组"/>
    <s v="普通员工"/>
    <n v="10000.18"/>
    <n v="2020"/>
    <x v="0"/>
  </r>
  <r>
    <x v="5"/>
    <n v="1000000043"/>
    <s v="借呗6期"/>
    <n v="1"/>
    <n v="8000.27"/>
    <s v="借呗"/>
    <x v="1"/>
    <x v="1"/>
    <x v="4"/>
    <s v="一组"/>
    <s v="成都一组"/>
    <s v="普通员工"/>
    <n v="8000.27"/>
    <n v="2020"/>
    <x v="0"/>
  </r>
  <r>
    <x v="5"/>
    <n v="1000000036"/>
    <s v="借呗6期"/>
    <n v="1"/>
    <n v="5000.37"/>
    <s v="借呗"/>
    <x v="1"/>
    <x v="2"/>
    <x v="6"/>
    <s v="三组"/>
    <s v="广州三组"/>
    <s v="管理人员"/>
    <n v="5000.37"/>
    <n v="2020"/>
    <x v="0"/>
  </r>
  <r>
    <x v="5"/>
    <n v="1000000044"/>
    <s v="花呗6期"/>
    <n v="1"/>
    <n v="439.62"/>
    <s v="花呗"/>
    <x v="1"/>
    <x v="1"/>
    <x v="2"/>
    <s v="三组"/>
    <s v="北京三组"/>
    <s v="管理人员"/>
    <n v="439.62"/>
    <n v="2020"/>
    <x v="0"/>
  </r>
  <r>
    <x v="6"/>
    <n v="1000000576"/>
    <s v="借呗18期"/>
    <n v="2"/>
    <n v="37000.879999999997"/>
    <s v="借呗"/>
    <x v="2"/>
    <x v="0"/>
    <x v="1"/>
    <s v="三组"/>
    <s v="苏州三组"/>
    <s v="普通员工"/>
    <n v="18500.439999999999"/>
    <n v="2020"/>
    <x v="0"/>
  </r>
  <r>
    <x v="6"/>
    <n v="1000000576"/>
    <s v="借呗12期"/>
    <n v="1"/>
    <n v="22000.65"/>
    <s v="借呗"/>
    <x v="0"/>
    <x v="0"/>
    <x v="1"/>
    <s v="三组"/>
    <s v="苏州三组"/>
    <s v="普通员工"/>
    <n v="22000.65"/>
    <n v="2020"/>
    <x v="0"/>
  </r>
  <r>
    <x v="6"/>
    <n v="1000000041"/>
    <s v="借呗18期"/>
    <n v="1"/>
    <n v="22000.52"/>
    <s v="借呗"/>
    <x v="2"/>
    <x v="1"/>
    <x v="2"/>
    <s v="四组"/>
    <s v="北京四组"/>
    <s v="普通员工"/>
    <n v="22000.52"/>
    <n v="2020"/>
    <x v="0"/>
  </r>
  <r>
    <x v="6"/>
    <n v="1000000057"/>
    <s v="借呗12期"/>
    <n v="1"/>
    <n v="20000.7"/>
    <s v="借呗"/>
    <x v="0"/>
    <x v="0"/>
    <x v="3"/>
    <s v="二组"/>
    <s v="上海二组"/>
    <s v="普通员工"/>
    <n v="20000.7"/>
    <n v="2020"/>
    <x v="0"/>
  </r>
  <r>
    <x v="6"/>
    <n v="1000000044"/>
    <s v="借呗18期"/>
    <n v="1"/>
    <n v="20000.57"/>
    <s v="借呗"/>
    <x v="2"/>
    <x v="1"/>
    <x v="2"/>
    <s v="三组"/>
    <s v="北京三组"/>
    <s v="管理人员"/>
    <n v="20000.57"/>
    <n v="2020"/>
    <x v="0"/>
  </r>
  <r>
    <x v="6"/>
    <n v="1000000036"/>
    <s v="借呗18期"/>
    <n v="1"/>
    <n v="20000.490000000002"/>
    <s v="借呗"/>
    <x v="2"/>
    <x v="2"/>
    <x v="6"/>
    <s v="三组"/>
    <s v="广州三组"/>
    <s v="管理人员"/>
    <n v="20000.490000000002"/>
    <n v="2020"/>
    <x v="0"/>
  </r>
  <r>
    <x v="6"/>
    <n v="1000000068"/>
    <s v="借呗18期"/>
    <n v="1"/>
    <n v="20000.48"/>
    <s v="借呗"/>
    <x v="2"/>
    <x v="1"/>
    <x v="7"/>
    <s v="一组"/>
    <s v="重庆一组"/>
    <s v="管理人员"/>
    <n v="20000.48"/>
    <n v="2020"/>
    <x v="0"/>
  </r>
  <r>
    <x v="6"/>
    <n v="1000000031"/>
    <s v="借呗18期"/>
    <n v="1"/>
    <n v="20000.12"/>
    <s v="借呗"/>
    <x v="2"/>
    <x v="0"/>
    <x v="0"/>
    <s v="一组"/>
    <s v="杭州一组"/>
    <s v="管理人员"/>
    <n v="20000.12"/>
    <n v="2020"/>
    <x v="0"/>
  </r>
  <r>
    <x v="6"/>
    <n v="1000000039"/>
    <s v="借呗18期"/>
    <n v="1"/>
    <n v="19999.939999999999"/>
    <s v="借呗"/>
    <x v="2"/>
    <x v="0"/>
    <x v="1"/>
    <s v="二组"/>
    <s v="苏州二组"/>
    <s v="管理人员"/>
    <n v="19999.939999999999"/>
    <n v="2020"/>
    <x v="0"/>
  </r>
  <r>
    <x v="6"/>
    <n v="1000000034"/>
    <s v="借呗12期"/>
    <n v="1"/>
    <n v="18000.55"/>
    <s v="借呗"/>
    <x v="0"/>
    <x v="0"/>
    <x v="1"/>
    <s v="一组"/>
    <s v="苏州一组"/>
    <s v="普通员工"/>
    <n v="18000.55"/>
    <n v="2020"/>
    <x v="0"/>
  </r>
  <r>
    <x v="6"/>
    <n v="1000000030"/>
    <s v="借呗6期"/>
    <n v="1"/>
    <n v="18000.150000000001"/>
    <s v="借呗"/>
    <x v="1"/>
    <x v="2"/>
    <x v="6"/>
    <s v="三组"/>
    <s v="广州三组"/>
    <s v="普通员工"/>
    <n v="18000.150000000001"/>
    <n v="2020"/>
    <x v="0"/>
  </r>
  <r>
    <x v="6"/>
    <n v="1000000049"/>
    <s v="借呗6期"/>
    <n v="2"/>
    <n v="15000.189999999999"/>
    <s v="借呗"/>
    <x v="1"/>
    <x v="0"/>
    <x v="5"/>
    <s v="一组"/>
    <s v="合肥一组"/>
    <s v="普通员工"/>
    <n v="7500.0950000000003"/>
    <n v="2020"/>
    <x v="0"/>
  </r>
  <r>
    <x v="6"/>
    <n v="1000000049"/>
    <s v="借呗12期"/>
    <n v="1"/>
    <n v="10000.1"/>
    <s v="借呗"/>
    <x v="0"/>
    <x v="0"/>
    <x v="5"/>
    <s v="一组"/>
    <s v="合肥一组"/>
    <s v="普通员工"/>
    <n v="10000.1"/>
    <n v="2020"/>
    <x v="0"/>
  </r>
  <r>
    <x v="6"/>
    <n v="1000000576"/>
    <s v="借呗6期"/>
    <n v="1"/>
    <n v="5000.62"/>
    <s v="借呗"/>
    <x v="1"/>
    <x v="0"/>
    <x v="1"/>
    <s v="三组"/>
    <s v="苏州三组"/>
    <s v="普通员工"/>
    <n v="5000.62"/>
    <n v="2020"/>
    <x v="0"/>
  </r>
  <r>
    <x v="6"/>
    <n v="1000000046"/>
    <s v="借呗6期"/>
    <n v="1"/>
    <n v="5000.43"/>
    <s v="借呗"/>
    <x v="1"/>
    <x v="1"/>
    <x v="4"/>
    <s v="一组"/>
    <s v="成都一组"/>
    <s v="普通员工"/>
    <n v="5000.43"/>
    <n v="2020"/>
    <x v="0"/>
  </r>
  <r>
    <x v="6"/>
    <n v="1000000046"/>
    <s v="借呗12期"/>
    <n v="1"/>
    <n v="5000.43"/>
    <s v="借呗"/>
    <x v="0"/>
    <x v="1"/>
    <x v="4"/>
    <s v="一组"/>
    <s v="成都一组"/>
    <s v="普通员工"/>
    <n v="5000.43"/>
    <n v="2020"/>
    <x v="0"/>
  </r>
  <r>
    <x v="6"/>
    <n v="1000000052"/>
    <s v="借呗6期"/>
    <n v="1"/>
    <n v="5000.3599999999997"/>
    <s v="借呗"/>
    <x v="1"/>
    <x v="0"/>
    <x v="3"/>
    <s v="二组"/>
    <s v="上海二组"/>
    <s v="普通员工"/>
    <n v="5000.3599999999997"/>
    <n v="2020"/>
    <x v="0"/>
  </r>
  <r>
    <x v="6"/>
    <n v="1000000051"/>
    <s v="借呗12期"/>
    <n v="1"/>
    <n v="1999.97"/>
    <s v="借呗"/>
    <x v="0"/>
    <x v="0"/>
    <x v="3"/>
    <s v="二组"/>
    <s v="上海二组"/>
    <s v="普通员工"/>
    <n v="1999.97"/>
    <n v="2020"/>
    <x v="0"/>
  </r>
  <r>
    <x v="6"/>
    <n v="1000000036"/>
    <s v="借呗6期"/>
    <n v="1"/>
    <n v="1500.49"/>
    <s v="借呗"/>
    <x v="1"/>
    <x v="2"/>
    <x v="6"/>
    <s v="三组"/>
    <s v="广州三组"/>
    <s v="管理人员"/>
    <n v="1500.49"/>
    <n v="2020"/>
    <x v="0"/>
  </r>
  <r>
    <x v="7"/>
    <n v="1000000044"/>
    <s v="借呗12期"/>
    <n v="3"/>
    <n v="60000.91"/>
    <s v="借呗"/>
    <x v="0"/>
    <x v="1"/>
    <x v="2"/>
    <s v="三组"/>
    <s v="北京三组"/>
    <s v="管理人员"/>
    <n v="20000.303333333333"/>
    <n v="2020"/>
    <x v="0"/>
  </r>
  <r>
    <x v="7"/>
    <n v="1000000039"/>
    <s v="借呗6期"/>
    <n v="2"/>
    <n v="42000.11"/>
    <s v="借呗"/>
    <x v="1"/>
    <x v="0"/>
    <x v="1"/>
    <s v="二组"/>
    <s v="苏州二组"/>
    <s v="管理人员"/>
    <n v="21000.055"/>
    <n v="2020"/>
    <x v="0"/>
  </r>
  <r>
    <x v="7"/>
    <n v="1000000576"/>
    <s v="借呗18期"/>
    <n v="3"/>
    <n v="41001.450000000004"/>
    <s v="借呗"/>
    <x v="2"/>
    <x v="0"/>
    <x v="1"/>
    <s v="三组"/>
    <s v="苏州三组"/>
    <s v="普通员工"/>
    <n v="13667.15"/>
    <n v="2020"/>
    <x v="0"/>
  </r>
  <r>
    <x v="7"/>
    <n v="1000000047"/>
    <s v="借呗18期"/>
    <n v="2"/>
    <n v="38001.35"/>
    <s v="借呗"/>
    <x v="2"/>
    <x v="2"/>
    <x v="6"/>
    <s v="一组"/>
    <s v="广州一组"/>
    <s v="普通员工"/>
    <n v="19000.674999999999"/>
    <n v="2020"/>
    <x v="0"/>
  </r>
  <r>
    <x v="7"/>
    <n v="1000000050"/>
    <s v="借呗18期"/>
    <n v="2"/>
    <n v="36000.789999999994"/>
    <s v="借呗"/>
    <x v="2"/>
    <x v="0"/>
    <x v="5"/>
    <s v="一组"/>
    <s v="合肥一组"/>
    <s v="普通员工"/>
    <n v="18000.394999999997"/>
    <n v="2020"/>
    <x v="0"/>
  </r>
  <r>
    <x v="7"/>
    <n v="1000000046"/>
    <s v="借呗12期"/>
    <n v="4"/>
    <n v="23002.140000000003"/>
    <s v="借呗"/>
    <x v="0"/>
    <x v="1"/>
    <x v="4"/>
    <s v="一组"/>
    <s v="成都一组"/>
    <s v="普通员工"/>
    <n v="5750.5350000000008"/>
    <n v="2020"/>
    <x v="0"/>
  </r>
  <r>
    <x v="7"/>
    <n v="1000000068"/>
    <s v="借呗6期"/>
    <n v="1"/>
    <n v="22000.51"/>
    <s v="借呗"/>
    <x v="1"/>
    <x v="1"/>
    <x v="7"/>
    <s v="一组"/>
    <s v="重庆一组"/>
    <s v="管理人员"/>
    <n v="22000.51"/>
    <n v="2020"/>
    <x v="0"/>
  </r>
  <r>
    <x v="7"/>
    <n v="1000000040"/>
    <s v="借呗6期"/>
    <n v="2"/>
    <n v="21001.119999999999"/>
    <s v="借呗"/>
    <x v="1"/>
    <x v="1"/>
    <x v="2"/>
    <s v="四组"/>
    <s v="北京四组"/>
    <s v="管理人员"/>
    <n v="10500.56"/>
    <n v="2020"/>
    <x v="0"/>
  </r>
  <r>
    <x v="7"/>
    <n v="1000000049"/>
    <s v="借呗12期"/>
    <n v="1"/>
    <n v="20000.55"/>
    <s v="借呗"/>
    <x v="0"/>
    <x v="0"/>
    <x v="5"/>
    <s v="一组"/>
    <s v="合肥一组"/>
    <s v="普通员工"/>
    <n v="20000.55"/>
    <n v="2020"/>
    <x v="0"/>
  </r>
  <r>
    <x v="7"/>
    <n v="1000000029"/>
    <s v="借呗6期"/>
    <n v="2"/>
    <n v="18000.52"/>
    <s v="借呗"/>
    <x v="1"/>
    <x v="0"/>
    <x v="0"/>
    <s v="二组"/>
    <s v="杭州二组"/>
    <s v="普通员工"/>
    <n v="9000.26"/>
    <n v="2020"/>
    <x v="0"/>
  </r>
  <r>
    <x v="7"/>
    <n v="1000000049"/>
    <s v="借呗18期"/>
    <n v="1"/>
    <n v="18000.419999999998"/>
    <s v="借呗"/>
    <x v="2"/>
    <x v="0"/>
    <x v="5"/>
    <s v="一组"/>
    <s v="合肥一组"/>
    <s v="普通员工"/>
    <n v="18000.419999999998"/>
    <n v="2020"/>
    <x v="0"/>
  </r>
  <r>
    <x v="7"/>
    <n v="1000000057"/>
    <s v="借呗12期"/>
    <n v="1"/>
    <n v="18000.05"/>
    <s v="借呗"/>
    <x v="0"/>
    <x v="0"/>
    <x v="3"/>
    <s v="二组"/>
    <s v="上海二组"/>
    <s v="普通员工"/>
    <n v="18000.05"/>
    <n v="2020"/>
    <x v="0"/>
  </r>
  <r>
    <x v="7"/>
    <n v="1000000928"/>
    <s v="借呗18期"/>
    <n v="1"/>
    <n v="15000.6"/>
    <s v="借呗"/>
    <x v="2"/>
    <x v="1"/>
    <x v="8"/>
    <s v="一组"/>
    <s v="西安一组"/>
    <s v="普通员工"/>
    <n v="15000.6"/>
    <n v="2020"/>
    <x v="0"/>
  </r>
  <r>
    <x v="7"/>
    <n v="1000000068"/>
    <s v="借呗12期"/>
    <n v="1"/>
    <n v="15000.5"/>
    <s v="借呗"/>
    <x v="0"/>
    <x v="1"/>
    <x v="7"/>
    <s v="一组"/>
    <s v="重庆一组"/>
    <s v="管理人员"/>
    <n v="15000.5"/>
    <n v="2020"/>
    <x v="0"/>
  </r>
  <r>
    <x v="7"/>
    <n v="1000000037"/>
    <s v="借呗6期"/>
    <n v="1"/>
    <n v="15000.12"/>
    <s v="借呗"/>
    <x v="1"/>
    <x v="0"/>
    <x v="0"/>
    <s v="二组"/>
    <s v="杭州二组"/>
    <s v="普通员工"/>
    <n v="15000.12"/>
    <n v="2020"/>
    <x v="0"/>
  </r>
  <r>
    <x v="7"/>
    <n v="1000000036"/>
    <s v="借呗6期"/>
    <n v="2"/>
    <n v="15000.08"/>
    <s v="借呗"/>
    <x v="1"/>
    <x v="2"/>
    <x v="6"/>
    <s v="三组"/>
    <s v="广州三组"/>
    <s v="管理人员"/>
    <n v="7500.04"/>
    <n v="2020"/>
    <x v="0"/>
  </r>
  <r>
    <x v="7"/>
    <n v="1000000043"/>
    <s v="借呗6期"/>
    <n v="2"/>
    <n v="13001.06"/>
    <s v="借呗"/>
    <x v="1"/>
    <x v="1"/>
    <x v="4"/>
    <s v="一组"/>
    <s v="成都一组"/>
    <s v="普通员工"/>
    <n v="6500.53"/>
    <n v="2020"/>
    <x v="0"/>
  </r>
  <r>
    <x v="7"/>
    <n v="1000000043"/>
    <s v="借呗12期"/>
    <n v="2"/>
    <n v="10000.790000000001"/>
    <s v="借呗"/>
    <x v="0"/>
    <x v="1"/>
    <x v="4"/>
    <s v="一组"/>
    <s v="成都一组"/>
    <s v="普通员工"/>
    <n v="5000.3950000000004"/>
    <n v="2020"/>
    <x v="0"/>
  </r>
  <r>
    <x v="7"/>
    <n v="1000000057"/>
    <s v="借呗18期"/>
    <n v="1"/>
    <n v="10000.39"/>
    <s v="借呗"/>
    <x v="2"/>
    <x v="0"/>
    <x v="3"/>
    <s v="二组"/>
    <s v="上海二组"/>
    <s v="普通员工"/>
    <n v="10000.39"/>
    <n v="2020"/>
    <x v="0"/>
  </r>
  <r>
    <x v="7"/>
    <n v="1000000041"/>
    <s v="借呗12期"/>
    <n v="1"/>
    <n v="10000.33"/>
    <s v="借呗"/>
    <x v="0"/>
    <x v="1"/>
    <x v="2"/>
    <s v="四组"/>
    <s v="北京四组"/>
    <s v="普通员工"/>
    <n v="10000.33"/>
    <n v="2020"/>
    <x v="0"/>
  </r>
  <r>
    <x v="7"/>
    <n v="1000000045"/>
    <s v="借呗12期"/>
    <n v="1"/>
    <n v="10000.200000000001"/>
    <s v="借呗"/>
    <x v="0"/>
    <x v="2"/>
    <x v="9"/>
    <s v="一组"/>
    <s v="深圳一组"/>
    <s v="普通员工"/>
    <n v="10000.200000000001"/>
    <n v="2020"/>
    <x v="0"/>
  </r>
  <r>
    <x v="7"/>
    <n v="1000000041"/>
    <s v="借呗6期"/>
    <n v="1"/>
    <n v="10000.06"/>
    <s v="借呗"/>
    <x v="1"/>
    <x v="1"/>
    <x v="2"/>
    <s v="四组"/>
    <s v="北京四组"/>
    <s v="普通员工"/>
    <n v="10000.06"/>
    <n v="2020"/>
    <x v="0"/>
  </r>
  <r>
    <x v="7"/>
    <n v="1000000928"/>
    <s v="借呗6期"/>
    <n v="1"/>
    <n v="8000.74"/>
    <s v="借呗"/>
    <x v="1"/>
    <x v="1"/>
    <x v="8"/>
    <s v="一组"/>
    <s v="西安一组"/>
    <s v="普通员工"/>
    <n v="8000.74"/>
    <n v="2020"/>
    <x v="0"/>
  </r>
  <r>
    <x v="7"/>
    <n v="1000000045"/>
    <s v="借呗6期"/>
    <n v="1"/>
    <n v="8000.58"/>
    <s v="借呗"/>
    <x v="1"/>
    <x v="2"/>
    <x v="9"/>
    <s v="一组"/>
    <s v="深圳一组"/>
    <s v="普通员工"/>
    <n v="8000.58"/>
    <n v="2020"/>
    <x v="0"/>
  </r>
  <r>
    <x v="7"/>
    <n v="1000000056"/>
    <s v="借呗6期"/>
    <n v="1"/>
    <n v="8000.11"/>
    <s v="借呗"/>
    <x v="1"/>
    <x v="0"/>
    <x v="3"/>
    <s v="一组"/>
    <s v="上海一组"/>
    <s v="管理人员"/>
    <n v="8000.11"/>
    <n v="2020"/>
    <x v="0"/>
  </r>
  <r>
    <x v="7"/>
    <n v="1000000029"/>
    <s v="借呗12期"/>
    <n v="1"/>
    <n v="5000.03"/>
    <s v="借呗"/>
    <x v="0"/>
    <x v="0"/>
    <x v="0"/>
    <s v="二组"/>
    <s v="杭州二组"/>
    <s v="普通员工"/>
    <n v="5000.03"/>
    <n v="2020"/>
    <x v="0"/>
  </r>
  <r>
    <x v="7"/>
    <n v="1000000067"/>
    <s v="借呗6期"/>
    <n v="1"/>
    <n v="5000.03"/>
    <s v="借呗"/>
    <x v="1"/>
    <x v="0"/>
    <x v="1"/>
    <s v="二组"/>
    <s v="苏州二组"/>
    <s v="普通员工"/>
    <n v="5000.03"/>
    <n v="2020"/>
    <x v="0"/>
  </r>
  <r>
    <x v="8"/>
    <n v="1000000030"/>
    <s v="借呗12期"/>
    <n v="2"/>
    <n v="37000.58"/>
    <s v="借呗"/>
    <x v="0"/>
    <x v="2"/>
    <x v="6"/>
    <s v="三组"/>
    <s v="广州三组"/>
    <s v="普通员工"/>
    <n v="18500.29"/>
    <n v="2020"/>
    <x v="0"/>
  </r>
  <r>
    <x v="8"/>
    <n v="1000000029"/>
    <s v="借呗12期"/>
    <n v="2"/>
    <n v="32001.040000000001"/>
    <s v="借呗"/>
    <x v="0"/>
    <x v="0"/>
    <x v="0"/>
    <s v="二组"/>
    <s v="杭州二组"/>
    <s v="普通员工"/>
    <n v="16000.52"/>
    <n v="2020"/>
    <x v="0"/>
  </r>
  <r>
    <x v="8"/>
    <n v="1000000031"/>
    <s v="借呗12期"/>
    <n v="2"/>
    <n v="25000.31"/>
    <s v="借呗"/>
    <x v="0"/>
    <x v="0"/>
    <x v="0"/>
    <s v="一组"/>
    <s v="杭州一组"/>
    <s v="管理人员"/>
    <n v="12500.155000000001"/>
    <n v="2020"/>
    <x v="0"/>
  </r>
  <r>
    <x v="8"/>
    <n v="1000000068"/>
    <s v="借呗6期"/>
    <n v="1"/>
    <n v="22000.02"/>
    <s v="借呗"/>
    <x v="1"/>
    <x v="1"/>
    <x v="7"/>
    <s v="一组"/>
    <s v="重庆一组"/>
    <s v="管理人员"/>
    <n v="22000.02"/>
    <n v="2020"/>
    <x v="0"/>
  </r>
  <r>
    <x v="8"/>
    <n v="1000000067"/>
    <s v="借呗12期"/>
    <n v="1"/>
    <n v="21499.95"/>
    <s v="借呗"/>
    <x v="0"/>
    <x v="0"/>
    <x v="1"/>
    <s v="二组"/>
    <s v="苏州二组"/>
    <s v="普通员工"/>
    <n v="21499.95"/>
    <n v="2020"/>
    <x v="0"/>
  </r>
  <r>
    <x v="8"/>
    <n v="1000000237"/>
    <s v="借呗18期"/>
    <n v="1"/>
    <n v="20000.7"/>
    <s v="借呗"/>
    <x v="2"/>
    <x v="0"/>
    <x v="5"/>
    <s v="一组"/>
    <s v="合肥一组"/>
    <s v="普通员工"/>
    <n v="20000.7"/>
    <n v="2020"/>
    <x v="0"/>
  </r>
  <r>
    <x v="8"/>
    <n v="1000000056"/>
    <s v="借呗12期"/>
    <n v="1"/>
    <n v="20000.64"/>
    <s v="借呗"/>
    <x v="0"/>
    <x v="0"/>
    <x v="3"/>
    <s v="一组"/>
    <s v="上海一组"/>
    <s v="管理人员"/>
    <n v="20000.64"/>
    <n v="2020"/>
    <x v="0"/>
  </r>
  <r>
    <x v="8"/>
    <n v="1000000037"/>
    <s v="借呗12期"/>
    <n v="1"/>
    <n v="20000.46"/>
    <s v="借呗"/>
    <x v="0"/>
    <x v="0"/>
    <x v="0"/>
    <s v="二组"/>
    <s v="杭州二组"/>
    <s v="普通员工"/>
    <n v="20000.46"/>
    <n v="2020"/>
    <x v="0"/>
  </r>
  <r>
    <x v="8"/>
    <n v="1000000028"/>
    <s v="借呗6期"/>
    <n v="1"/>
    <n v="20000.400000000001"/>
    <s v="借呗"/>
    <x v="1"/>
    <x v="0"/>
    <x v="0"/>
    <s v="二组"/>
    <s v="杭州二组"/>
    <s v="普通员工"/>
    <n v="20000.400000000001"/>
    <n v="2020"/>
    <x v="0"/>
  </r>
  <r>
    <x v="8"/>
    <n v="1000000028"/>
    <s v="借呗18期"/>
    <n v="1"/>
    <n v="20000.169999999998"/>
    <s v="借呗"/>
    <x v="2"/>
    <x v="0"/>
    <x v="0"/>
    <s v="二组"/>
    <s v="杭州二组"/>
    <s v="普通员工"/>
    <n v="20000.169999999998"/>
    <n v="2020"/>
    <x v="0"/>
  </r>
  <r>
    <x v="8"/>
    <n v="1000000928"/>
    <s v="借呗12期"/>
    <n v="1"/>
    <n v="20000.009999999998"/>
    <s v="借呗"/>
    <x v="0"/>
    <x v="1"/>
    <x v="8"/>
    <s v="一组"/>
    <s v="西安一组"/>
    <s v="普通员工"/>
    <n v="20000.009999999998"/>
    <n v="2020"/>
    <x v="0"/>
  </r>
  <r>
    <x v="8"/>
    <n v="1000000040"/>
    <s v="借呗6期"/>
    <n v="1"/>
    <n v="18000.560000000001"/>
    <s v="借呗"/>
    <x v="1"/>
    <x v="1"/>
    <x v="2"/>
    <s v="四组"/>
    <s v="北京四组"/>
    <s v="管理人员"/>
    <n v="18000.560000000001"/>
    <n v="2020"/>
    <x v="0"/>
  </r>
  <r>
    <x v="8"/>
    <n v="1000000047"/>
    <s v="借呗12期"/>
    <n v="2"/>
    <n v="18000.25"/>
    <s v="借呗"/>
    <x v="0"/>
    <x v="2"/>
    <x v="6"/>
    <s v="一组"/>
    <s v="广州一组"/>
    <s v="普通员工"/>
    <n v="9000.125"/>
    <n v="2020"/>
    <x v="0"/>
  </r>
  <r>
    <x v="8"/>
    <n v="1000000033"/>
    <s v="借呗6期"/>
    <n v="1"/>
    <n v="17999.939999999999"/>
    <s v="借呗"/>
    <x v="1"/>
    <x v="0"/>
    <x v="1"/>
    <s v="一组"/>
    <s v="苏州一组"/>
    <s v="普通员工"/>
    <n v="17999.939999999999"/>
    <n v="2020"/>
    <x v="0"/>
  </r>
  <r>
    <x v="8"/>
    <n v="1000000566"/>
    <s v="借呗6期"/>
    <n v="1"/>
    <n v="15000.73"/>
    <s v="借呗"/>
    <x v="1"/>
    <x v="2"/>
    <x v="6"/>
    <s v="三组"/>
    <s v="广州三组"/>
    <s v="普通员工"/>
    <n v="15000.73"/>
    <n v="2020"/>
    <x v="0"/>
  </r>
  <r>
    <x v="8"/>
    <n v="1000000043"/>
    <s v="借呗12期"/>
    <n v="1"/>
    <n v="10000.66"/>
    <s v="借呗"/>
    <x v="0"/>
    <x v="1"/>
    <x v="4"/>
    <s v="一组"/>
    <s v="成都一组"/>
    <s v="普通员工"/>
    <n v="10000.66"/>
    <n v="2020"/>
    <x v="0"/>
  </r>
  <r>
    <x v="8"/>
    <n v="1000000040"/>
    <s v="借呗12期"/>
    <n v="1"/>
    <n v="10000.58"/>
    <s v="借呗"/>
    <x v="0"/>
    <x v="1"/>
    <x v="2"/>
    <s v="四组"/>
    <s v="北京四组"/>
    <s v="管理人员"/>
    <n v="10000.58"/>
    <n v="2020"/>
    <x v="0"/>
  </r>
  <r>
    <x v="8"/>
    <n v="1000000044"/>
    <s v="借呗6期"/>
    <n v="1"/>
    <n v="10000.36"/>
    <s v="借呗"/>
    <x v="1"/>
    <x v="1"/>
    <x v="2"/>
    <s v="三组"/>
    <s v="北京三组"/>
    <s v="管理人员"/>
    <n v="10000.36"/>
    <n v="2020"/>
    <x v="0"/>
  </r>
  <r>
    <x v="8"/>
    <n v="1000000049"/>
    <s v="借呗18期"/>
    <n v="1"/>
    <n v="10000.129999999999"/>
    <s v="借呗"/>
    <x v="2"/>
    <x v="0"/>
    <x v="5"/>
    <s v="一组"/>
    <s v="合肥一组"/>
    <s v="普通员工"/>
    <n v="10000.129999999999"/>
    <n v="2020"/>
    <x v="0"/>
  </r>
  <r>
    <x v="8"/>
    <n v="1000000041"/>
    <s v="借呗18期"/>
    <n v="1"/>
    <n v="10000.09"/>
    <s v="借呗"/>
    <x v="2"/>
    <x v="1"/>
    <x v="2"/>
    <s v="四组"/>
    <s v="北京四组"/>
    <s v="普通员工"/>
    <n v="10000.09"/>
    <n v="2020"/>
    <x v="0"/>
  </r>
  <r>
    <x v="8"/>
    <n v="1000000576"/>
    <s v="借呗12期"/>
    <n v="1"/>
    <n v="8000.59"/>
    <s v="借呗"/>
    <x v="0"/>
    <x v="0"/>
    <x v="1"/>
    <s v="三组"/>
    <s v="苏州三组"/>
    <s v="普通员工"/>
    <n v="8000.59"/>
    <n v="2020"/>
    <x v="0"/>
  </r>
  <r>
    <x v="8"/>
    <n v="1000000052"/>
    <s v="借呗6期"/>
    <n v="1"/>
    <n v="8000.4"/>
    <s v="借呗"/>
    <x v="1"/>
    <x v="0"/>
    <x v="3"/>
    <s v="二组"/>
    <s v="上海二组"/>
    <s v="普通员工"/>
    <n v="8000.4"/>
    <n v="2020"/>
    <x v="0"/>
  </r>
  <r>
    <x v="8"/>
    <n v="1000000054"/>
    <s v="借呗12期"/>
    <n v="1"/>
    <n v="5000.04"/>
    <s v="借呗"/>
    <x v="0"/>
    <x v="0"/>
    <x v="3"/>
    <s v="一组"/>
    <s v="上海一组"/>
    <s v="普通员工"/>
    <n v="5000.04"/>
    <n v="2020"/>
    <x v="0"/>
  </r>
  <r>
    <x v="8"/>
    <n v="1000000067"/>
    <s v="借呗6期"/>
    <n v="2"/>
    <n v="2499.9699999999998"/>
    <s v="借呗"/>
    <x v="1"/>
    <x v="0"/>
    <x v="1"/>
    <s v="二组"/>
    <s v="苏州二组"/>
    <s v="普通员工"/>
    <n v="1249.9849999999999"/>
    <n v="2020"/>
    <x v="0"/>
  </r>
  <r>
    <x v="8"/>
    <n v="1000000031"/>
    <s v="借呗6期"/>
    <n v="1"/>
    <n v="2000.1"/>
    <s v="借呗"/>
    <x v="1"/>
    <x v="0"/>
    <x v="0"/>
    <s v="一组"/>
    <s v="杭州一组"/>
    <s v="管理人员"/>
    <n v="2000.1"/>
    <n v="2020"/>
    <x v="0"/>
  </r>
  <r>
    <x v="8"/>
    <n v="1000000043"/>
    <s v="借呗6期"/>
    <n v="1"/>
    <n v="2000.07"/>
    <s v="借呗"/>
    <x v="1"/>
    <x v="1"/>
    <x v="4"/>
    <s v="一组"/>
    <s v="成都一组"/>
    <s v="普通员工"/>
    <n v="2000.07"/>
    <n v="2020"/>
    <x v="0"/>
  </r>
  <r>
    <x v="9"/>
    <n v="1000000576"/>
    <s v="借呗18期"/>
    <n v="2"/>
    <n v="42000.86"/>
    <s v="借呗"/>
    <x v="2"/>
    <x v="0"/>
    <x v="1"/>
    <s v="三组"/>
    <s v="苏州三组"/>
    <s v="普通员工"/>
    <n v="21000.43"/>
    <n v="2020"/>
    <x v="0"/>
  </r>
  <r>
    <x v="9"/>
    <n v="1000000237"/>
    <s v="借呗18期"/>
    <n v="2"/>
    <n v="38000.639999999999"/>
    <s v="借呗"/>
    <x v="2"/>
    <x v="0"/>
    <x v="5"/>
    <s v="一组"/>
    <s v="合肥一组"/>
    <s v="普通员工"/>
    <n v="19000.32"/>
    <n v="2020"/>
    <x v="0"/>
  </r>
  <r>
    <x v="9"/>
    <n v="1000000044"/>
    <s v="借呗12期"/>
    <n v="3"/>
    <n v="38000.120000000003"/>
    <s v="借呗"/>
    <x v="0"/>
    <x v="1"/>
    <x v="2"/>
    <s v="三组"/>
    <s v="北京三组"/>
    <s v="管理人员"/>
    <n v="12666.706666666669"/>
    <n v="2020"/>
    <x v="0"/>
  </r>
  <r>
    <x v="9"/>
    <n v="1000000049"/>
    <s v="借呗18期"/>
    <n v="3"/>
    <n v="33000.57"/>
    <s v="借呗"/>
    <x v="2"/>
    <x v="0"/>
    <x v="5"/>
    <s v="一组"/>
    <s v="合肥一组"/>
    <s v="普通员工"/>
    <n v="11000.19"/>
    <n v="2020"/>
    <x v="0"/>
  </r>
  <r>
    <x v="9"/>
    <n v="1000000057"/>
    <s v="借呗12期"/>
    <n v="2"/>
    <n v="28000.78"/>
    <s v="借呗"/>
    <x v="0"/>
    <x v="0"/>
    <x v="3"/>
    <s v="二组"/>
    <s v="上海二组"/>
    <s v="普通员工"/>
    <n v="14000.39"/>
    <n v="2020"/>
    <x v="0"/>
  </r>
  <r>
    <x v="9"/>
    <n v="1000000566"/>
    <s v="借呗18期"/>
    <n v="2"/>
    <n v="27000.6"/>
    <s v="借呗"/>
    <x v="2"/>
    <x v="2"/>
    <x v="6"/>
    <s v="三组"/>
    <s v="广州三组"/>
    <s v="普通员工"/>
    <n v="13500.3"/>
    <n v="2020"/>
    <x v="0"/>
  </r>
  <r>
    <x v="9"/>
    <n v="1000001513"/>
    <s v="借呗18期"/>
    <n v="1"/>
    <n v="22000.34"/>
    <s v="借呗"/>
    <x v="2"/>
    <x v="0"/>
    <x v="3"/>
    <s v="二组"/>
    <s v="上海二组"/>
    <s v="普通员工"/>
    <n v="22000.34"/>
    <n v="2020"/>
    <x v="0"/>
  </r>
  <r>
    <x v="9"/>
    <n v="1000000035"/>
    <s v="借呗6期"/>
    <n v="1"/>
    <n v="22000.32"/>
    <s v="借呗"/>
    <x v="1"/>
    <x v="0"/>
    <x v="1"/>
    <s v="三组"/>
    <s v="苏州三组"/>
    <s v="普通员工"/>
    <n v="22000.32"/>
    <n v="2020"/>
    <x v="0"/>
  </r>
  <r>
    <x v="9"/>
    <n v="1000000040"/>
    <s v="借呗6期"/>
    <n v="1"/>
    <n v="20001.260000000002"/>
    <s v="借呗"/>
    <x v="1"/>
    <x v="1"/>
    <x v="2"/>
    <s v="四组"/>
    <s v="北京四组"/>
    <s v="管理人员"/>
    <n v="20001.259999999998"/>
    <n v="2020"/>
    <x v="0"/>
  </r>
  <r>
    <x v="9"/>
    <n v="1000000041"/>
    <s v="借呗12期"/>
    <n v="1"/>
    <n v="20000.54"/>
    <s v="借呗"/>
    <x v="0"/>
    <x v="1"/>
    <x v="2"/>
    <s v="四组"/>
    <s v="北京四组"/>
    <s v="普通员工"/>
    <n v="20000.54"/>
    <n v="2020"/>
    <x v="0"/>
  </r>
  <r>
    <x v="9"/>
    <n v="1000000029"/>
    <s v="借呗6期"/>
    <n v="1"/>
    <n v="15000.61"/>
    <s v="借呗"/>
    <x v="1"/>
    <x v="0"/>
    <x v="0"/>
    <s v="二组"/>
    <s v="杭州二组"/>
    <s v="普通员工"/>
    <n v="15000.61"/>
    <n v="2020"/>
    <x v="0"/>
  </r>
  <r>
    <x v="9"/>
    <n v="1000000068"/>
    <s v="借呗12期"/>
    <n v="1"/>
    <n v="15000.33"/>
    <s v="借呗"/>
    <x v="0"/>
    <x v="1"/>
    <x v="7"/>
    <s v="一组"/>
    <s v="重庆一组"/>
    <s v="管理人员"/>
    <n v="15000.33"/>
    <n v="2020"/>
    <x v="0"/>
  </r>
  <r>
    <x v="9"/>
    <n v="1000000058"/>
    <s v="借呗12期"/>
    <n v="1"/>
    <n v="10000.719999999999"/>
    <s v="借呗"/>
    <x v="0"/>
    <x v="0"/>
    <x v="3"/>
    <s v="二组"/>
    <s v="上海二组"/>
    <s v="普通员工"/>
    <n v="10000.719999999999"/>
    <n v="2020"/>
    <x v="0"/>
  </r>
  <r>
    <x v="9"/>
    <n v="1000000036"/>
    <s v="借呗12期"/>
    <n v="1"/>
    <n v="10000.26"/>
    <s v="借呗"/>
    <x v="0"/>
    <x v="2"/>
    <x v="6"/>
    <s v="三组"/>
    <s v="广州三组"/>
    <s v="管理人员"/>
    <n v="10000.26"/>
    <n v="2020"/>
    <x v="0"/>
  </r>
  <r>
    <x v="9"/>
    <n v="1000000031"/>
    <s v="借呗12期"/>
    <n v="1"/>
    <n v="10000.23"/>
    <s v="借呗"/>
    <x v="0"/>
    <x v="0"/>
    <x v="0"/>
    <s v="一组"/>
    <s v="杭州一组"/>
    <s v="管理人员"/>
    <n v="10000.23"/>
    <n v="2020"/>
    <x v="0"/>
  </r>
  <r>
    <x v="9"/>
    <n v="1000000032"/>
    <s v="借呗12期"/>
    <n v="1"/>
    <n v="10000.1"/>
    <s v="借呗"/>
    <x v="0"/>
    <x v="0"/>
    <x v="1"/>
    <s v="一组"/>
    <s v="苏州一组"/>
    <s v="管理人员"/>
    <n v="10000.1"/>
    <n v="2020"/>
    <x v="0"/>
  </r>
  <r>
    <x v="9"/>
    <n v="1000000049"/>
    <s v="借呗6期"/>
    <n v="1"/>
    <n v="10000.09"/>
    <s v="借呗"/>
    <x v="1"/>
    <x v="0"/>
    <x v="5"/>
    <s v="一组"/>
    <s v="合肥一组"/>
    <s v="普通员工"/>
    <n v="10000.09"/>
    <n v="2020"/>
    <x v="0"/>
  </r>
  <r>
    <x v="9"/>
    <n v="1000000043"/>
    <s v="借呗18期"/>
    <n v="1"/>
    <n v="9999.98"/>
    <s v="借呗"/>
    <x v="2"/>
    <x v="1"/>
    <x v="4"/>
    <s v="一组"/>
    <s v="成都一组"/>
    <s v="普通员工"/>
    <n v="9999.98"/>
    <n v="2020"/>
    <x v="0"/>
  </r>
  <r>
    <x v="9"/>
    <n v="1000000237"/>
    <s v="借呗12期"/>
    <n v="1"/>
    <n v="8000.27"/>
    <s v="借呗"/>
    <x v="0"/>
    <x v="0"/>
    <x v="5"/>
    <s v="一组"/>
    <s v="合肥一组"/>
    <s v="普通员工"/>
    <n v="8000.27"/>
    <n v="2020"/>
    <x v="0"/>
  </r>
  <r>
    <x v="9"/>
    <n v="1000000034"/>
    <s v="借呗6期"/>
    <n v="1"/>
    <n v="5000.59"/>
    <s v="借呗"/>
    <x v="1"/>
    <x v="0"/>
    <x v="1"/>
    <s v="一组"/>
    <s v="苏州一组"/>
    <s v="普通员工"/>
    <n v="5000.59"/>
    <n v="2020"/>
    <x v="0"/>
  </r>
  <r>
    <x v="9"/>
    <n v="1000000566"/>
    <s v="借呗12期"/>
    <n v="1"/>
    <n v="5000.2299999999996"/>
    <s v="借呗"/>
    <x v="0"/>
    <x v="2"/>
    <x v="6"/>
    <s v="三组"/>
    <s v="广州三组"/>
    <s v="普通员工"/>
    <n v="5000.2299999999996"/>
    <n v="2020"/>
    <x v="0"/>
  </r>
  <r>
    <x v="10"/>
    <n v="1000000040"/>
    <s v="借呗12期"/>
    <n v="3"/>
    <n v="52001.440000000002"/>
    <s v="借呗"/>
    <x v="0"/>
    <x v="1"/>
    <x v="2"/>
    <s v="四组"/>
    <s v="北京四组"/>
    <s v="管理人员"/>
    <n v="17333.813333333335"/>
    <n v="2020"/>
    <x v="0"/>
  </r>
  <r>
    <x v="10"/>
    <n v="1000000029"/>
    <s v="借呗6期"/>
    <n v="2"/>
    <n v="42001.19"/>
    <s v="借呗"/>
    <x v="1"/>
    <x v="0"/>
    <x v="0"/>
    <s v="二组"/>
    <s v="杭州二组"/>
    <s v="普通员工"/>
    <n v="21000.595000000001"/>
    <n v="2020"/>
    <x v="0"/>
  </r>
  <r>
    <x v="10"/>
    <n v="1000000067"/>
    <s v="借呗12期"/>
    <n v="3"/>
    <n v="40001.21"/>
    <s v="借呗"/>
    <x v="0"/>
    <x v="0"/>
    <x v="1"/>
    <s v="二组"/>
    <s v="苏州二组"/>
    <s v="普通员工"/>
    <n v="13333.736666666666"/>
    <n v="2020"/>
    <x v="0"/>
  </r>
  <r>
    <x v="10"/>
    <n v="1000001513"/>
    <s v="借呗12期"/>
    <n v="3"/>
    <n v="38000.92"/>
    <s v="借呗"/>
    <x v="0"/>
    <x v="0"/>
    <x v="3"/>
    <s v="二组"/>
    <s v="上海二组"/>
    <s v="普通员工"/>
    <n v="12666.973333333332"/>
    <n v="2020"/>
    <x v="0"/>
  </r>
  <r>
    <x v="10"/>
    <n v="1000000036"/>
    <s v="借呗12期"/>
    <n v="2"/>
    <n v="25001.239999999998"/>
    <s v="借呗"/>
    <x v="0"/>
    <x v="2"/>
    <x v="6"/>
    <s v="三组"/>
    <s v="广州三组"/>
    <s v="管理人员"/>
    <n v="12500.62"/>
    <n v="2020"/>
    <x v="0"/>
  </r>
  <r>
    <x v="10"/>
    <n v="1000000031"/>
    <s v="借呗12期"/>
    <n v="2"/>
    <n v="25000.720000000001"/>
    <s v="借呗"/>
    <x v="0"/>
    <x v="0"/>
    <x v="0"/>
    <s v="一组"/>
    <s v="杭州一组"/>
    <s v="管理人员"/>
    <n v="12500.36"/>
    <n v="2020"/>
    <x v="0"/>
  </r>
  <r>
    <x v="10"/>
    <n v="1000000056"/>
    <s v="借呗12期"/>
    <n v="1"/>
    <n v="22000.62"/>
    <s v="借呗"/>
    <x v="0"/>
    <x v="0"/>
    <x v="3"/>
    <s v="一组"/>
    <s v="上海一组"/>
    <s v="管理人员"/>
    <n v="22000.62"/>
    <n v="2020"/>
    <x v="0"/>
  </r>
  <r>
    <x v="10"/>
    <n v="1000000031"/>
    <s v="借呗6期"/>
    <n v="1"/>
    <n v="20000.169999999998"/>
    <s v="借呗"/>
    <x v="1"/>
    <x v="0"/>
    <x v="0"/>
    <s v="一组"/>
    <s v="杭州一组"/>
    <s v="管理人员"/>
    <n v="20000.169999999998"/>
    <n v="2020"/>
    <x v="0"/>
  </r>
  <r>
    <x v="10"/>
    <n v="1000000054"/>
    <s v="借呗12期"/>
    <n v="1"/>
    <n v="20000.150000000001"/>
    <s v="借呗"/>
    <x v="0"/>
    <x v="0"/>
    <x v="3"/>
    <s v="一组"/>
    <s v="上海一组"/>
    <s v="普通员工"/>
    <n v="20000.150000000001"/>
    <n v="2020"/>
    <x v="0"/>
  </r>
  <r>
    <x v="10"/>
    <n v="1000000237"/>
    <s v="借呗18期"/>
    <n v="1"/>
    <n v="20000.11"/>
    <s v="借呗"/>
    <x v="2"/>
    <x v="0"/>
    <x v="5"/>
    <s v="一组"/>
    <s v="合肥一组"/>
    <s v="普通员工"/>
    <n v="20000.11"/>
    <n v="2020"/>
    <x v="0"/>
  </r>
  <r>
    <x v="10"/>
    <n v="1000000566"/>
    <s v="借呗18期"/>
    <n v="2"/>
    <n v="18000.68"/>
    <s v="借呗"/>
    <x v="2"/>
    <x v="2"/>
    <x v="6"/>
    <s v="三组"/>
    <s v="广州三组"/>
    <s v="普通员工"/>
    <n v="9000.34"/>
    <n v="2020"/>
    <x v="0"/>
  </r>
  <r>
    <x v="10"/>
    <n v="1000000030"/>
    <s v="借呗18期"/>
    <n v="1"/>
    <n v="18000.580000000002"/>
    <s v="借呗"/>
    <x v="2"/>
    <x v="2"/>
    <x v="6"/>
    <s v="三组"/>
    <s v="广州三组"/>
    <s v="普通员工"/>
    <n v="18000.580000000002"/>
    <n v="2020"/>
    <x v="0"/>
  </r>
  <r>
    <x v="10"/>
    <n v="1000000035"/>
    <s v="借呗12期"/>
    <n v="1"/>
    <n v="18000.3"/>
    <s v="借呗"/>
    <x v="0"/>
    <x v="0"/>
    <x v="1"/>
    <s v="三组"/>
    <s v="苏州三组"/>
    <s v="普通员工"/>
    <n v="18000.3"/>
    <n v="2020"/>
    <x v="0"/>
  </r>
  <r>
    <x v="10"/>
    <n v="1000000047"/>
    <s v="借呗18期"/>
    <n v="1"/>
    <n v="18000.21"/>
    <s v="借呗"/>
    <x v="2"/>
    <x v="2"/>
    <x v="6"/>
    <s v="一组"/>
    <s v="广州一组"/>
    <s v="普通员工"/>
    <n v="18000.21"/>
    <n v="2020"/>
    <x v="0"/>
  </r>
  <r>
    <x v="10"/>
    <n v="1000000034"/>
    <s v="借呗6期"/>
    <n v="1"/>
    <n v="15000.64"/>
    <s v="借呗"/>
    <x v="1"/>
    <x v="0"/>
    <x v="1"/>
    <s v="一组"/>
    <s v="苏州一组"/>
    <s v="普通员工"/>
    <n v="15000.64"/>
    <n v="2020"/>
    <x v="0"/>
  </r>
  <r>
    <x v="10"/>
    <n v="1000000034"/>
    <s v="借呗12期"/>
    <n v="1"/>
    <n v="15000.46"/>
    <s v="借呗"/>
    <x v="0"/>
    <x v="0"/>
    <x v="1"/>
    <s v="一组"/>
    <s v="苏州一组"/>
    <s v="普通员工"/>
    <n v="15000.46"/>
    <n v="2020"/>
    <x v="0"/>
  </r>
  <r>
    <x v="10"/>
    <n v="1000000036"/>
    <s v="借呗6期"/>
    <n v="1"/>
    <n v="15000.09"/>
    <s v="借呗"/>
    <x v="1"/>
    <x v="2"/>
    <x v="6"/>
    <s v="三组"/>
    <s v="广州三组"/>
    <s v="管理人员"/>
    <n v="15000.09"/>
    <n v="2020"/>
    <x v="0"/>
  </r>
  <r>
    <x v="10"/>
    <n v="1000000052"/>
    <s v="借呗12期"/>
    <n v="1"/>
    <n v="14999.99"/>
    <s v="借呗"/>
    <x v="0"/>
    <x v="0"/>
    <x v="3"/>
    <s v="二组"/>
    <s v="上海二组"/>
    <s v="普通员工"/>
    <n v="14999.99"/>
    <n v="2020"/>
    <x v="0"/>
  </r>
  <r>
    <x v="10"/>
    <n v="1000000052"/>
    <s v="借呗6期"/>
    <n v="1"/>
    <n v="10000.709999999999"/>
    <s v="借呗"/>
    <x v="1"/>
    <x v="0"/>
    <x v="3"/>
    <s v="二组"/>
    <s v="上海二组"/>
    <s v="普通员工"/>
    <n v="10000.709999999999"/>
    <n v="2020"/>
    <x v="0"/>
  </r>
  <r>
    <x v="10"/>
    <n v="1000000576"/>
    <s v="借呗18期"/>
    <n v="1"/>
    <n v="10000.540000000001"/>
    <s v="借呗"/>
    <x v="2"/>
    <x v="0"/>
    <x v="1"/>
    <s v="三组"/>
    <s v="苏州三组"/>
    <s v="普通员工"/>
    <n v="10000.540000000001"/>
    <n v="2020"/>
    <x v="0"/>
  </r>
  <r>
    <x v="10"/>
    <n v="1000000576"/>
    <s v="借呗12期"/>
    <n v="1"/>
    <n v="10000.39"/>
    <s v="借呗"/>
    <x v="0"/>
    <x v="0"/>
    <x v="1"/>
    <s v="三组"/>
    <s v="苏州三组"/>
    <s v="普通员工"/>
    <n v="10000.39"/>
    <n v="2020"/>
    <x v="0"/>
  </r>
  <r>
    <x v="10"/>
    <n v="1000000044"/>
    <s v="借呗12期"/>
    <n v="1"/>
    <n v="10000.16"/>
    <s v="借呗"/>
    <x v="0"/>
    <x v="1"/>
    <x v="2"/>
    <s v="三组"/>
    <s v="北京三组"/>
    <s v="管理人员"/>
    <n v="10000.16"/>
    <n v="2020"/>
    <x v="0"/>
  </r>
  <r>
    <x v="10"/>
    <n v="1000000049"/>
    <s v="借呗18期"/>
    <n v="1"/>
    <n v="10000.07"/>
    <s v="借呗"/>
    <x v="2"/>
    <x v="0"/>
    <x v="5"/>
    <s v="一组"/>
    <s v="合肥一组"/>
    <s v="普通员工"/>
    <n v="10000.07"/>
    <n v="2020"/>
    <x v="0"/>
  </r>
  <r>
    <x v="10"/>
    <n v="1000000035"/>
    <s v="借呗6期"/>
    <n v="1"/>
    <n v="7999.98"/>
    <s v="借呗"/>
    <x v="1"/>
    <x v="0"/>
    <x v="1"/>
    <s v="三组"/>
    <s v="苏州三组"/>
    <s v="普通员工"/>
    <n v="7999.98"/>
    <n v="2020"/>
    <x v="0"/>
  </r>
  <r>
    <x v="10"/>
    <n v="1000000067"/>
    <s v="借呗6期"/>
    <n v="2"/>
    <n v="5500.62"/>
    <s v="借呗"/>
    <x v="1"/>
    <x v="0"/>
    <x v="1"/>
    <s v="二组"/>
    <s v="苏州二组"/>
    <s v="普通员工"/>
    <n v="2750.31"/>
    <n v="2020"/>
    <x v="0"/>
  </r>
  <r>
    <x v="10"/>
    <n v="1000000047"/>
    <s v="借呗12期"/>
    <n v="1"/>
    <n v="5000.7299999999996"/>
    <s v="借呗"/>
    <x v="0"/>
    <x v="2"/>
    <x v="6"/>
    <s v="一组"/>
    <s v="广州一组"/>
    <s v="普通员工"/>
    <n v="5000.7299999999996"/>
    <n v="2020"/>
    <x v="0"/>
  </r>
  <r>
    <x v="10"/>
    <n v="1000000068"/>
    <s v="借呗6期"/>
    <n v="2"/>
    <n v="4000.81"/>
    <s v="借呗"/>
    <x v="1"/>
    <x v="1"/>
    <x v="7"/>
    <s v="一组"/>
    <s v="重庆一组"/>
    <s v="管理人员"/>
    <n v="2000.405"/>
    <n v="2020"/>
    <x v="0"/>
  </r>
  <r>
    <x v="10"/>
    <n v="1000000036"/>
    <s v="花呗6期"/>
    <n v="1"/>
    <n v="339.44"/>
    <s v="花呗"/>
    <x v="1"/>
    <x v="2"/>
    <x v="6"/>
    <s v="三组"/>
    <s v="广州三组"/>
    <s v="管理人员"/>
    <n v="339.44"/>
    <n v="2020"/>
    <x v="0"/>
  </r>
  <r>
    <x v="11"/>
    <n v="1000000067"/>
    <s v="借呗12期"/>
    <n v="3"/>
    <n v="56001.540000000008"/>
    <s v="借呗"/>
    <x v="0"/>
    <x v="0"/>
    <x v="1"/>
    <s v="二组"/>
    <s v="苏州二组"/>
    <s v="普通员工"/>
    <n v="18667.180000000004"/>
    <n v="2020"/>
    <x v="0"/>
  </r>
  <r>
    <x v="11"/>
    <n v="1000000237"/>
    <s v="借呗12期"/>
    <n v="3"/>
    <n v="50001.51"/>
    <s v="借呗"/>
    <x v="0"/>
    <x v="0"/>
    <x v="5"/>
    <s v="一组"/>
    <s v="合肥一组"/>
    <s v="普通员工"/>
    <n v="16667.170000000002"/>
    <n v="2020"/>
    <x v="0"/>
  </r>
  <r>
    <x v="11"/>
    <n v="1000000237"/>
    <s v="借呗18期"/>
    <n v="2"/>
    <n v="45000.130000000005"/>
    <s v="借呗"/>
    <x v="2"/>
    <x v="0"/>
    <x v="5"/>
    <s v="一组"/>
    <s v="合肥一组"/>
    <s v="普通员工"/>
    <n v="22500.064999999999"/>
    <n v="2020"/>
    <x v="0"/>
  </r>
  <r>
    <x v="11"/>
    <n v="1000000029"/>
    <s v="借呗12期"/>
    <n v="2"/>
    <n v="38000.229999999996"/>
    <s v="借呗"/>
    <x v="0"/>
    <x v="0"/>
    <x v="0"/>
    <s v="二组"/>
    <s v="杭州二组"/>
    <s v="普通员工"/>
    <n v="19000.115000000002"/>
    <n v="2020"/>
    <x v="0"/>
  </r>
  <r>
    <x v="11"/>
    <n v="1000000049"/>
    <s v="借呗18期"/>
    <n v="3"/>
    <n v="35001.15"/>
    <s v="借呗"/>
    <x v="2"/>
    <x v="0"/>
    <x v="5"/>
    <s v="一组"/>
    <s v="合肥一组"/>
    <s v="普通员工"/>
    <n v="11667.05"/>
    <n v="2020"/>
    <x v="0"/>
  </r>
  <r>
    <x v="11"/>
    <n v="1000001513"/>
    <s v="借呗12期"/>
    <n v="2"/>
    <n v="30000.86"/>
    <s v="借呗"/>
    <x v="0"/>
    <x v="0"/>
    <x v="3"/>
    <s v="二组"/>
    <s v="上海二组"/>
    <s v="普通员工"/>
    <n v="15000.43"/>
    <n v="2020"/>
    <x v="0"/>
  </r>
  <r>
    <x v="11"/>
    <n v="1000000028"/>
    <s v="借呗18期"/>
    <n v="2"/>
    <n v="28000.82"/>
    <s v="借呗"/>
    <x v="2"/>
    <x v="0"/>
    <x v="0"/>
    <s v="二组"/>
    <s v="杭州二组"/>
    <s v="普通员工"/>
    <n v="14000.41"/>
    <n v="2020"/>
    <x v="0"/>
  </r>
  <r>
    <x v="11"/>
    <n v="1000000928"/>
    <s v="借呗12期"/>
    <n v="2"/>
    <n v="25000.440000000002"/>
    <s v="借呗"/>
    <x v="0"/>
    <x v="1"/>
    <x v="8"/>
    <s v="一组"/>
    <s v="西安一组"/>
    <s v="普通员工"/>
    <n v="12500.22"/>
    <n v="2020"/>
    <x v="0"/>
  </r>
  <r>
    <x v="11"/>
    <n v="1000000043"/>
    <s v="借呗6期"/>
    <n v="1"/>
    <n v="24999.98"/>
    <s v="借呗"/>
    <x v="1"/>
    <x v="1"/>
    <x v="4"/>
    <s v="一组"/>
    <s v="成都一组"/>
    <s v="普通员工"/>
    <n v="24999.98"/>
    <n v="2020"/>
    <x v="0"/>
  </r>
  <r>
    <x v="11"/>
    <n v="1000000576"/>
    <s v="借呗6期"/>
    <n v="1"/>
    <n v="22000.7"/>
    <s v="借呗"/>
    <x v="1"/>
    <x v="0"/>
    <x v="1"/>
    <s v="三组"/>
    <s v="苏州三组"/>
    <s v="普通员工"/>
    <n v="22000.7"/>
    <n v="2020"/>
    <x v="0"/>
  </r>
  <r>
    <x v="11"/>
    <n v="1000000040"/>
    <s v="借呗12期"/>
    <n v="1"/>
    <n v="22000.46"/>
    <s v="借呗"/>
    <x v="0"/>
    <x v="1"/>
    <x v="2"/>
    <s v="四组"/>
    <s v="北京四组"/>
    <s v="管理人员"/>
    <n v="22000.46"/>
    <n v="2020"/>
    <x v="0"/>
  </r>
  <r>
    <x v="11"/>
    <n v="1000000067"/>
    <s v="借呗18期"/>
    <n v="1"/>
    <n v="22000.02"/>
    <s v="借呗"/>
    <x v="2"/>
    <x v="0"/>
    <x v="1"/>
    <s v="二组"/>
    <s v="苏州二组"/>
    <s v="普通员工"/>
    <n v="22000.02"/>
    <n v="2020"/>
    <x v="0"/>
  </r>
  <r>
    <x v="11"/>
    <n v="1000000050"/>
    <s v="借呗18期"/>
    <n v="2"/>
    <n v="20000.75"/>
    <s v="借呗"/>
    <x v="2"/>
    <x v="0"/>
    <x v="5"/>
    <s v="一组"/>
    <s v="合肥一组"/>
    <s v="普通员工"/>
    <n v="10000.375"/>
    <n v="2020"/>
    <x v="0"/>
  </r>
  <r>
    <x v="11"/>
    <n v="1000000056"/>
    <s v="借呗6期"/>
    <n v="1"/>
    <n v="19999.95"/>
    <s v="借呗"/>
    <x v="1"/>
    <x v="0"/>
    <x v="3"/>
    <s v="一组"/>
    <s v="上海一组"/>
    <s v="管理人员"/>
    <n v="19999.95"/>
    <n v="2020"/>
    <x v="0"/>
  </r>
  <r>
    <x v="11"/>
    <n v="1000000036"/>
    <s v="借呗6期"/>
    <n v="2"/>
    <n v="18000.940000000002"/>
    <s v="借呗"/>
    <x v="1"/>
    <x v="2"/>
    <x v="6"/>
    <s v="三组"/>
    <s v="广州三组"/>
    <s v="管理人员"/>
    <n v="9000.4700000000012"/>
    <n v="2020"/>
    <x v="0"/>
  </r>
  <r>
    <x v="11"/>
    <n v="1000000031"/>
    <s v="借呗6期"/>
    <n v="2"/>
    <n v="17000.84"/>
    <s v="借呗"/>
    <x v="1"/>
    <x v="0"/>
    <x v="0"/>
    <s v="一组"/>
    <s v="杭州一组"/>
    <s v="管理人员"/>
    <n v="8500.42"/>
    <n v="2020"/>
    <x v="0"/>
  </r>
  <r>
    <x v="11"/>
    <n v="1000000035"/>
    <s v="借呗12期"/>
    <n v="1"/>
    <n v="15000.12"/>
    <s v="借呗"/>
    <x v="0"/>
    <x v="0"/>
    <x v="1"/>
    <s v="三组"/>
    <s v="苏州三组"/>
    <s v="普通员工"/>
    <n v="15000.12"/>
    <n v="2020"/>
    <x v="0"/>
  </r>
  <r>
    <x v="11"/>
    <n v="1000000036"/>
    <s v="借呗12期"/>
    <n v="2"/>
    <n v="13001.02"/>
    <s v="借呗"/>
    <x v="0"/>
    <x v="2"/>
    <x v="6"/>
    <s v="三组"/>
    <s v="广州三组"/>
    <s v="管理人员"/>
    <n v="6500.51"/>
    <n v="2020"/>
    <x v="0"/>
  </r>
  <r>
    <x v="11"/>
    <n v="1000000040"/>
    <s v="借呗6期"/>
    <n v="1"/>
    <n v="12000.42"/>
    <s v="借呗"/>
    <x v="1"/>
    <x v="1"/>
    <x v="2"/>
    <s v="四组"/>
    <s v="北京四组"/>
    <s v="管理人员"/>
    <n v="12000.42"/>
    <n v="2020"/>
    <x v="0"/>
  </r>
  <r>
    <x v="11"/>
    <n v="1000000052"/>
    <s v="借呗6期"/>
    <n v="1"/>
    <n v="10000.75"/>
    <s v="借呗"/>
    <x v="1"/>
    <x v="0"/>
    <x v="3"/>
    <s v="二组"/>
    <s v="上海二组"/>
    <s v="普通员工"/>
    <n v="10000.75"/>
    <n v="2020"/>
    <x v="0"/>
  </r>
  <r>
    <x v="11"/>
    <n v="1000000057"/>
    <s v="借呗12期"/>
    <n v="1"/>
    <n v="10000.629999999999"/>
    <s v="借呗"/>
    <x v="0"/>
    <x v="0"/>
    <x v="3"/>
    <s v="二组"/>
    <s v="上海二组"/>
    <s v="普通员工"/>
    <n v="10000.629999999999"/>
    <n v="2020"/>
    <x v="0"/>
  </r>
  <r>
    <x v="11"/>
    <n v="1000000044"/>
    <s v="借呗6期"/>
    <n v="1"/>
    <n v="10000.59"/>
    <s v="借呗"/>
    <x v="1"/>
    <x v="1"/>
    <x v="2"/>
    <s v="三组"/>
    <s v="北京三组"/>
    <s v="管理人员"/>
    <n v="10000.59"/>
    <n v="2020"/>
    <x v="0"/>
  </r>
  <r>
    <x v="11"/>
    <n v="1000000029"/>
    <s v="借呗6期"/>
    <n v="1"/>
    <n v="10000.57"/>
    <s v="借呗"/>
    <x v="1"/>
    <x v="0"/>
    <x v="0"/>
    <s v="二组"/>
    <s v="杭州二组"/>
    <s v="普通员工"/>
    <n v="10000.57"/>
    <n v="2020"/>
    <x v="0"/>
  </r>
  <r>
    <x v="11"/>
    <n v="1000000041"/>
    <s v="借呗12期"/>
    <n v="1"/>
    <n v="10000.42"/>
    <s v="借呗"/>
    <x v="0"/>
    <x v="1"/>
    <x v="2"/>
    <s v="四组"/>
    <s v="北京四组"/>
    <s v="普通员工"/>
    <n v="10000.42"/>
    <n v="2020"/>
    <x v="0"/>
  </r>
  <r>
    <x v="11"/>
    <n v="1000000566"/>
    <s v="借呗12期"/>
    <n v="1"/>
    <n v="10000.379999999999"/>
    <s v="借呗"/>
    <x v="0"/>
    <x v="2"/>
    <x v="6"/>
    <s v="三组"/>
    <s v="广州三组"/>
    <s v="普通员工"/>
    <n v="10000.379999999999"/>
    <n v="2020"/>
    <x v="0"/>
  </r>
  <r>
    <x v="11"/>
    <n v="1000000041"/>
    <s v="借呗6期"/>
    <n v="1"/>
    <n v="9999.94"/>
    <s v="借呗"/>
    <x v="1"/>
    <x v="1"/>
    <x v="2"/>
    <s v="四组"/>
    <s v="北京四组"/>
    <s v="普通员工"/>
    <n v="9999.94"/>
    <n v="2020"/>
    <x v="0"/>
  </r>
  <r>
    <x v="11"/>
    <n v="1000000033"/>
    <s v="借呗12期"/>
    <n v="1"/>
    <n v="8000.66"/>
    <s v="借呗"/>
    <x v="0"/>
    <x v="0"/>
    <x v="1"/>
    <s v="一组"/>
    <s v="苏州一组"/>
    <s v="普通员工"/>
    <n v="8000.66"/>
    <n v="2020"/>
    <x v="0"/>
  </r>
  <r>
    <x v="11"/>
    <n v="1000000032"/>
    <s v="借呗12期"/>
    <n v="1"/>
    <n v="8000.57"/>
    <s v="借呗"/>
    <x v="0"/>
    <x v="0"/>
    <x v="1"/>
    <s v="一组"/>
    <s v="苏州一组"/>
    <s v="管理人员"/>
    <n v="8000.57"/>
    <n v="2020"/>
    <x v="0"/>
  </r>
  <r>
    <x v="12"/>
    <n v="1000000237"/>
    <s v="借呗18期"/>
    <n v="3"/>
    <n v="52001.5"/>
    <s v="借呗"/>
    <x v="2"/>
    <x v="0"/>
    <x v="5"/>
    <s v="一组"/>
    <s v="合肥一组"/>
    <s v="普通员工"/>
    <n v="17333.833333333332"/>
    <n v="2020"/>
    <x v="0"/>
  </r>
  <r>
    <x v="12"/>
    <n v="1000000566"/>
    <s v="借呗18期"/>
    <n v="2"/>
    <n v="25000.550000000003"/>
    <s v="借呗"/>
    <x v="2"/>
    <x v="2"/>
    <x v="6"/>
    <s v="三组"/>
    <s v="广州三组"/>
    <s v="普通员工"/>
    <n v="12500.275"/>
    <n v="2020"/>
    <x v="0"/>
  </r>
  <r>
    <x v="12"/>
    <n v="1000000028"/>
    <s v="借呗6期"/>
    <n v="1"/>
    <n v="22000.09"/>
    <s v="借呗"/>
    <x v="1"/>
    <x v="0"/>
    <x v="0"/>
    <s v="二组"/>
    <s v="杭州二组"/>
    <s v="普通员工"/>
    <n v="22000.09"/>
    <n v="2020"/>
    <x v="0"/>
  </r>
  <r>
    <x v="12"/>
    <n v="1000000057"/>
    <s v="借呗18期"/>
    <n v="1"/>
    <n v="20000.12"/>
    <s v="借呗"/>
    <x v="2"/>
    <x v="0"/>
    <x v="3"/>
    <s v="二组"/>
    <s v="上海二组"/>
    <s v="普通员工"/>
    <n v="20000.12"/>
    <n v="2020"/>
    <x v="0"/>
  </r>
  <r>
    <x v="12"/>
    <n v="1000000566"/>
    <s v="借呗12期"/>
    <n v="1"/>
    <n v="18000.150000000001"/>
    <s v="借呗"/>
    <x v="0"/>
    <x v="2"/>
    <x v="6"/>
    <s v="三组"/>
    <s v="广州三组"/>
    <s v="普通员工"/>
    <n v="18000.150000000001"/>
    <n v="2020"/>
    <x v="0"/>
  </r>
  <r>
    <x v="12"/>
    <n v="1000000029"/>
    <s v="借呗6期"/>
    <n v="1"/>
    <n v="15000.72"/>
    <s v="借呗"/>
    <x v="1"/>
    <x v="0"/>
    <x v="0"/>
    <s v="二组"/>
    <s v="杭州二组"/>
    <s v="普通员工"/>
    <n v="15000.72"/>
    <n v="2020"/>
    <x v="0"/>
  </r>
  <r>
    <x v="12"/>
    <n v="1000000028"/>
    <s v="借呗12期"/>
    <n v="1"/>
    <n v="15000.28"/>
    <s v="借呗"/>
    <x v="0"/>
    <x v="0"/>
    <x v="0"/>
    <s v="二组"/>
    <s v="杭州二组"/>
    <s v="普通员工"/>
    <n v="15000.28"/>
    <n v="2020"/>
    <x v="0"/>
  </r>
  <r>
    <x v="12"/>
    <n v="1000000057"/>
    <s v="借呗12期"/>
    <n v="1"/>
    <n v="15000.19"/>
    <s v="借呗"/>
    <x v="0"/>
    <x v="0"/>
    <x v="3"/>
    <s v="二组"/>
    <s v="上海二组"/>
    <s v="普通员工"/>
    <n v="15000.19"/>
    <n v="2020"/>
    <x v="0"/>
  </r>
  <r>
    <x v="12"/>
    <n v="1000000031"/>
    <s v="借呗12期"/>
    <n v="1"/>
    <n v="10000.69"/>
    <s v="借呗"/>
    <x v="0"/>
    <x v="0"/>
    <x v="0"/>
    <s v="一组"/>
    <s v="杭州一组"/>
    <s v="管理人员"/>
    <n v="10000.69"/>
    <n v="2020"/>
    <x v="0"/>
  </r>
  <r>
    <x v="12"/>
    <n v="1000000045"/>
    <s v="借呗12期"/>
    <n v="1"/>
    <n v="7999.95"/>
    <s v="借呗"/>
    <x v="0"/>
    <x v="2"/>
    <x v="9"/>
    <s v="一组"/>
    <s v="深圳一组"/>
    <s v="普通员工"/>
    <n v="7999.95"/>
    <n v="2020"/>
    <x v="0"/>
  </r>
  <r>
    <x v="12"/>
    <n v="1000000068"/>
    <s v="花呗6期"/>
    <n v="1"/>
    <n v="7788.74"/>
    <s v="花呗"/>
    <x v="1"/>
    <x v="1"/>
    <x v="7"/>
    <s v="一组"/>
    <s v="重庆一组"/>
    <s v="管理人员"/>
    <n v="7788.74"/>
    <n v="2020"/>
    <x v="0"/>
  </r>
  <r>
    <x v="12"/>
    <n v="1000000052"/>
    <s v="借呗6期"/>
    <n v="1"/>
    <n v="5000.4399999999996"/>
    <s v="借呗"/>
    <x v="1"/>
    <x v="0"/>
    <x v="3"/>
    <s v="二组"/>
    <s v="上海二组"/>
    <s v="普通员工"/>
    <n v="5000.4399999999996"/>
    <n v="2020"/>
    <x v="0"/>
  </r>
  <r>
    <x v="12"/>
    <n v="1000000237"/>
    <s v="借呗12期"/>
    <n v="1"/>
    <n v="5000.2299999999996"/>
    <s v="借呗"/>
    <x v="0"/>
    <x v="0"/>
    <x v="5"/>
    <s v="一组"/>
    <s v="合肥一组"/>
    <s v="普通员工"/>
    <n v="5000.2299999999996"/>
    <n v="2020"/>
    <x v="0"/>
  </r>
  <r>
    <x v="12"/>
    <n v="1000000052"/>
    <s v="借呗12期"/>
    <n v="1"/>
    <n v="5000.21"/>
    <s v="借呗"/>
    <x v="0"/>
    <x v="0"/>
    <x v="3"/>
    <s v="二组"/>
    <s v="上海二组"/>
    <s v="普通员工"/>
    <n v="5000.21"/>
    <n v="2020"/>
    <x v="0"/>
  </r>
  <r>
    <x v="12"/>
    <n v="1000000034"/>
    <s v="借呗6期"/>
    <n v="1"/>
    <n v="1499.98"/>
    <s v="借呗"/>
    <x v="1"/>
    <x v="0"/>
    <x v="1"/>
    <s v="一组"/>
    <s v="苏州一组"/>
    <s v="普通员工"/>
    <n v="1499.98"/>
    <n v="2020"/>
    <x v="0"/>
  </r>
  <r>
    <x v="13"/>
    <n v="1000000040"/>
    <s v="借呗6期"/>
    <n v="2"/>
    <n v="30000.9"/>
    <s v="借呗"/>
    <x v="1"/>
    <x v="1"/>
    <x v="2"/>
    <s v="四组"/>
    <s v="北京四组"/>
    <s v="管理人员"/>
    <n v="15000.45"/>
    <n v="2020"/>
    <x v="0"/>
  </r>
  <r>
    <x v="13"/>
    <n v="1000000040"/>
    <s v="借呗12期"/>
    <n v="1"/>
    <n v="22000.21"/>
    <s v="借呗"/>
    <x v="0"/>
    <x v="1"/>
    <x v="2"/>
    <s v="四组"/>
    <s v="北京四组"/>
    <s v="管理人员"/>
    <n v="22000.21"/>
    <n v="2020"/>
    <x v="0"/>
  </r>
  <r>
    <x v="13"/>
    <n v="1000000928"/>
    <s v="借呗6期"/>
    <n v="1"/>
    <n v="20000.52"/>
    <s v="借呗"/>
    <x v="1"/>
    <x v="1"/>
    <x v="8"/>
    <s v="一组"/>
    <s v="西安一组"/>
    <s v="普通员工"/>
    <n v="20000.52"/>
    <n v="2020"/>
    <x v="0"/>
  </r>
  <r>
    <x v="13"/>
    <n v="1000001513"/>
    <s v="借呗12期"/>
    <n v="1"/>
    <n v="20000.009999999998"/>
    <s v="借呗"/>
    <x v="0"/>
    <x v="0"/>
    <x v="3"/>
    <s v="二组"/>
    <s v="上海二组"/>
    <s v="普通员工"/>
    <n v="20000.009999999998"/>
    <n v="2020"/>
    <x v="0"/>
  </r>
  <r>
    <x v="13"/>
    <n v="1000000032"/>
    <s v="借呗6期"/>
    <n v="2"/>
    <n v="15001.149999999998"/>
    <s v="借呗"/>
    <x v="1"/>
    <x v="0"/>
    <x v="1"/>
    <s v="一组"/>
    <s v="苏州一组"/>
    <s v="管理人员"/>
    <n v="7500.574999999998"/>
    <n v="2020"/>
    <x v="0"/>
  </r>
  <r>
    <x v="13"/>
    <n v="1000000034"/>
    <s v="借呗6期"/>
    <n v="1"/>
    <n v="9999.94"/>
    <s v="借呗"/>
    <x v="1"/>
    <x v="0"/>
    <x v="1"/>
    <s v="一组"/>
    <s v="苏州一组"/>
    <s v="普通员工"/>
    <n v="9999.94"/>
    <n v="2020"/>
    <x v="0"/>
  </r>
  <r>
    <x v="13"/>
    <n v="1000000044"/>
    <s v="借呗6期"/>
    <n v="1"/>
    <n v="9999.94"/>
    <s v="借呗"/>
    <x v="1"/>
    <x v="1"/>
    <x v="2"/>
    <s v="三组"/>
    <s v="北京三组"/>
    <s v="管理人员"/>
    <n v="9999.94"/>
    <n v="2020"/>
    <x v="0"/>
  </r>
  <r>
    <x v="13"/>
    <n v="1000000050"/>
    <s v="借呗6期"/>
    <n v="1"/>
    <n v="8000.47"/>
    <s v="借呗"/>
    <x v="1"/>
    <x v="0"/>
    <x v="5"/>
    <s v="一组"/>
    <s v="合肥一组"/>
    <s v="普通员工"/>
    <n v="8000.47"/>
    <n v="2020"/>
    <x v="0"/>
  </r>
  <r>
    <x v="13"/>
    <n v="1000000057"/>
    <s v="借呗6期"/>
    <n v="1"/>
    <n v="8000.36"/>
    <s v="借呗"/>
    <x v="1"/>
    <x v="0"/>
    <x v="3"/>
    <s v="二组"/>
    <s v="上海二组"/>
    <s v="普通员工"/>
    <n v="8000.36"/>
    <n v="2020"/>
    <x v="0"/>
  </r>
  <r>
    <x v="13"/>
    <n v="1000000031"/>
    <s v="借呗6期"/>
    <n v="1"/>
    <n v="5999.97"/>
    <s v="借呗"/>
    <x v="1"/>
    <x v="0"/>
    <x v="0"/>
    <s v="一组"/>
    <s v="杭州一组"/>
    <s v="管理人员"/>
    <n v="5999.97"/>
    <n v="2020"/>
    <x v="0"/>
  </r>
  <r>
    <x v="13"/>
    <n v="1000000044"/>
    <s v="借呗12期"/>
    <n v="1"/>
    <n v="5000.7299999999996"/>
    <s v="借呗"/>
    <x v="0"/>
    <x v="1"/>
    <x v="2"/>
    <s v="三组"/>
    <s v="北京三组"/>
    <s v="管理人员"/>
    <n v="5000.7299999999996"/>
    <n v="2020"/>
    <x v="0"/>
  </r>
  <r>
    <x v="13"/>
    <n v="1000000067"/>
    <s v="借呗6期"/>
    <n v="1"/>
    <n v="5000.49"/>
    <s v="借呗"/>
    <x v="1"/>
    <x v="0"/>
    <x v="1"/>
    <s v="二组"/>
    <s v="苏州二组"/>
    <s v="普通员工"/>
    <n v="5000.49"/>
    <n v="2020"/>
    <x v="0"/>
  </r>
  <r>
    <x v="13"/>
    <n v="1000000576"/>
    <s v="借呗18期"/>
    <n v="1"/>
    <n v="5000.49"/>
    <s v="借呗"/>
    <x v="2"/>
    <x v="0"/>
    <x v="1"/>
    <s v="三组"/>
    <s v="苏州三组"/>
    <s v="普通员工"/>
    <n v="5000.49"/>
    <n v="2020"/>
    <x v="0"/>
  </r>
  <r>
    <x v="13"/>
    <n v="1000000032"/>
    <s v="借呗12期"/>
    <n v="1"/>
    <n v="5000.1499999999996"/>
    <s v="借呗"/>
    <x v="0"/>
    <x v="0"/>
    <x v="1"/>
    <s v="一组"/>
    <s v="苏州一组"/>
    <s v="管理人员"/>
    <n v="5000.1499999999996"/>
    <n v="2020"/>
    <x v="0"/>
  </r>
  <r>
    <x v="13"/>
    <n v="1000001513"/>
    <s v="借呗18期"/>
    <n v="1"/>
    <n v="5000.1400000000003"/>
    <s v="借呗"/>
    <x v="2"/>
    <x v="0"/>
    <x v="3"/>
    <s v="二组"/>
    <s v="上海二组"/>
    <s v="普通员工"/>
    <n v="5000.1400000000003"/>
    <n v="2020"/>
    <x v="0"/>
  </r>
  <r>
    <x v="14"/>
    <n v="1000000237"/>
    <s v="借呗18期"/>
    <n v="3"/>
    <n v="54000.63"/>
    <s v="借呗"/>
    <x v="2"/>
    <x v="0"/>
    <x v="5"/>
    <s v="一组"/>
    <s v="合肥一组"/>
    <s v="普通员工"/>
    <n v="18000.21"/>
    <n v="2020"/>
    <x v="0"/>
  </r>
  <r>
    <x v="14"/>
    <n v="1000000035"/>
    <s v="借呗12期"/>
    <n v="2"/>
    <n v="42000.44"/>
    <s v="借呗"/>
    <x v="0"/>
    <x v="0"/>
    <x v="1"/>
    <s v="三组"/>
    <s v="苏州三组"/>
    <s v="普通员工"/>
    <n v="21000.22"/>
    <n v="2020"/>
    <x v="0"/>
  </r>
  <r>
    <x v="14"/>
    <n v="1000000034"/>
    <s v="借呗12期"/>
    <n v="2"/>
    <n v="40000.03"/>
    <s v="借呗"/>
    <x v="0"/>
    <x v="0"/>
    <x v="1"/>
    <s v="一组"/>
    <s v="苏州一组"/>
    <s v="普通员工"/>
    <n v="20000.014999999999"/>
    <n v="2020"/>
    <x v="0"/>
  </r>
  <r>
    <x v="14"/>
    <n v="1000000576"/>
    <s v="借呗18期"/>
    <n v="2"/>
    <n v="35000.43"/>
    <s v="借呗"/>
    <x v="2"/>
    <x v="0"/>
    <x v="1"/>
    <s v="三组"/>
    <s v="苏州三组"/>
    <s v="普通员工"/>
    <n v="17500.215"/>
    <n v="2020"/>
    <x v="0"/>
  </r>
  <r>
    <x v="14"/>
    <n v="1000000057"/>
    <s v="借呗6期"/>
    <n v="3"/>
    <n v="30000.110000000004"/>
    <s v="借呗"/>
    <x v="1"/>
    <x v="0"/>
    <x v="3"/>
    <s v="二组"/>
    <s v="上海二组"/>
    <s v="普通员工"/>
    <n v="10000.036666666669"/>
    <n v="2020"/>
    <x v="0"/>
  </r>
  <r>
    <x v="14"/>
    <n v="1000000566"/>
    <s v="借呗18期"/>
    <n v="2"/>
    <n v="29999.949999999997"/>
    <s v="借呗"/>
    <x v="2"/>
    <x v="2"/>
    <x v="6"/>
    <s v="三组"/>
    <s v="广州三组"/>
    <s v="普通员工"/>
    <n v="14999.975"/>
    <n v="2020"/>
    <x v="0"/>
  </r>
  <r>
    <x v="14"/>
    <n v="1000000031"/>
    <s v="借呗12期"/>
    <n v="2"/>
    <n v="23500.23"/>
    <s v="借呗"/>
    <x v="0"/>
    <x v="0"/>
    <x v="0"/>
    <s v="一组"/>
    <s v="杭州一组"/>
    <s v="管理人员"/>
    <n v="11750.115"/>
    <n v="2020"/>
    <x v="0"/>
  </r>
  <r>
    <x v="14"/>
    <n v="1000000052"/>
    <s v="借呗18期"/>
    <n v="1"/>
    <n v="22000.74"/>
    <s v="借呗"/>
    <x v="2"/>
    <x v="0"/>
    <x v="3"/>
    <s v="二组"/>
    <s v="上海二组"/>
    <s v="普通员工"/>
    <n v="22000.74"/>
    <n v="2020"/>
    <x v="0"/>
  </r>
  <r>
    <x v="14"/>
    <n v="1000000051"/>
    <s v="借呗12期"/>
    <n v="1"/>
    <n v="22000.5"/>
    <s v="借呗"/>
    <x v="0"/>
    <x v="0"/>
    <x v="3"/>
    <s v="二组"/>
    <s v="上海二组"/>
    <s v="普通员工"/>
    <n v="22000.5"/>
    <n v="2020"/>
    <x v="0"/>
  </r>
  <r>
    <x v="14"/>
    <n v="1000000046"/>
    <s v="借呗12期"/>
    <n v="1"/>
    <n v="20000.72"/>
    <s v="借呗"/>
    <x v="0"/>
    <x v="1"/>
    <x v="4"/>
    <s v="一组"/>
    <s v="成都一组"/>
    <s v="普通员工"/>
    <n v="20000.72"/>
    <n v="2020"/>
    <x v="0"/>
  </r>
  <r>
    <x v="14"/>
    <n v="1000000067"/>
    <s v="借呗12期"/>
    <n v="1"/>
    <n v="20000.47"/>
    <s v="借呗"/>
    <x v="0"/>
    <x v="0"/>
    <x v="1"/>
    <s v="二组"/>
    <s v="苏州二组"/>
    <s v="普通员工"/>
    <n v="20000.47"/>
    <n v="2020"/>
    <x v="0"/>
  </r>
  <r>
    <x v="14"/>
    <n v="1000000043"/>
    <s v="借呗12期"/>
    <n v="1"/>
    <n v="20000.13"/>
    <s v="借呗"/>
    <x v="0"/>
    <x v="1"/>
    <x v="4"/>
    <s v="一组"/>
    <s v="成都一组"/>
    <s v="普通员工"/>
    <n v="20000.13"/>
    <n v="2020"/>
    <x v="0"/>
  </r>
  <r>
    <x v="14"/>
    <n v="1000000928"/>
    <s v="借呗12期"/>
    <n v="1"/>
    <n v="20000.12"/>
    <s v="借呗"/>
    <x v="0"/>
    <x v="1"/>
    <x v="8"/>
    <s v="一组"/>
    <s v="西安一组"/>
    <s v="普通员工"/>
    <n v="20000.12"/>
    <n v="2020"/>
    <x v="0"/>
  </r>
  <r>
    <x v="14"/>
    <n v="1000000029"/>
    <s v="借呗12期"/>
    <n v="1"/>
    <n v="20000.02"/>
    <s v="借呗"/>
    <x v="0"/>
    <x v="0"/>
    <x v="0"/>
    <s v="二组"/>
    <s v="杭州二组"/>
    <s v="普通员工"/>
    <n v="20000.02"/>
    <n v="2020"/>
    <x v="0"/>
  </r>
  <r>
    <x v="14"/>
    <n v="1000000056"/>
    <s v="借呗12期"/>
    <n v="2"/>
    <n v="18000.509999999998"/>
    <s v="借呗"/>
    <x v="0"/>
    <x v="0"/>
    <x v="3"/>
    <s v="一组"/>
    <s v="上海一组"/>
    <s v="管理人员"/>
    <n v="9000.2549999999992"/>
    <n v="2020"/>
    <x v="0"/>
  </r>
  <r>
    <x v="14"/>
    <n v="1000000033"/>
    <s v="借呗6期"/>
    <n v="1"/>
    <n v="15000.67"/>
    <s v="借呗"/>
    <x v="1"/>
    <x v="0"/>
    <x v="1"/>
    <s v="一组"/>
    <s v="苏州一组"/>
    <s v="普通员工"/>
    <n v="15000.67"/>
    <n v="2020"/>
    <x v="0"/>
  </r>
  <r>
    <x v="14"/>
    <n v="1000000034"/>
    <s v="借呗6期"/>
    <n v="1"/>
    <n v="15000.48"/>
    <s v="借呗"/>
    <x v="1"/>
    <x v="0"/>
    <x v="1"/>
    <s v="一组"/>
    <s v="苏州一组"/>
    <s v="普通员工"/>
    <n v="15000.48"/>
    <n v="2020"/>
    <x v="0"/>
  </r>
  <r>
    <x v="14"/>
    <n v="1000000028"/>
    <s v="借呗12期"/>
    <n v="1"/>
    <n v="15000.42"/>
    <s v="借呗"/>
    <x v="0"/>
    <x v="0"/>
    <x v="0"/>
    <s v="二组"/>
    <s v="杭州二组"/>
    <s v="普通员工"/>
    <n v="15000.42"/>
    <n v="2020"/>
    <x v="0"/>
  </r>
  <r>
    <x v="14"/>
    <n v="1000000049"/>
    <s v="借呗18期"/>
    <n v="1"/>
    <n v="15000.01"/>
    <s v="借呗"/>
    <x v="2"/>
    <x v="0"/>
    <x v="5"/>
    <s v="一组"/>
    <s v="合肥一组"/>
    <s v="普通员工"/>
    <n v="15000.01"/>
    <n v="2020"/>
    <x v="0"/>
  </r>
  <r>
    <x v="14"/>
    <n v="1000000036"/>
    <s v="借呗6期"/>
    <n v="1"/>
    <n v="10000.58"/>
    <s v="借呗"/>
    <x v="1"/>
    <x v="2"/>
    <x v="6"/>
    <s v="三组"/>
    <s v="广州三组"/>
    <s v="管理人员"/>
    <n v="10000.58"/>
    <n v="2020"/>
    <x v="0"/>
  </r>
  <r>
    <x v="14"/>
    <n v="1000000067"/>
    <s v="借呗18期"/>
    <n v="1"/>
    <n v="10000.34"/>
    <s v="借呗"/>
    <x v="2"/>
    <x v="0"/>
    <x v="1"/>
    <s v="二组"/>
    <s v="苏州二组"/>
    <s v="普通员工"/>
    <n v="10000.34"/>
    <n v="2020"/>
    <x v="0"/>
  </r>
  <r>
    <x v="14"/>
    <n v="1000000052"/>
    <s v="借呗6期"/>
    <n v="1"/>
    <n v="10000.26"/>
    <s v="借呗"/>
    <x v="1"/>
    <x v="0"/>
    <x v="3"/>
    <s v="二组"/>
    <s v="上海二组"/>
    <s v="普通员工"/>
    <n v="10000.26"/>
    <n v="2020"/>
    <x v="0"/>
  </r>
  <r>
    <x v="14"/>
    <n v="1000000032"/>
    <s v="借呗12期"/>
    <n v="1"/>
    <n v="10000.200000000001"/>
    <s v="借呗"/>
    <x v="0"/>
    <x v="0"/>
    <x v="1"/>
    <s v="一组"/>
    <s v="苏州一组"/>
    <s v="管理人员"/>
    <n v="10000.200000000001"/>
    <n v="2020"/>
    <x v="0"/>
  </r>
  <r>
    <x v="14"/>
    <n v="1000000039"/>
    <s v="借呗12期"/>
    <n v="1"/>
    <n v="10000.09"/>
    <s v="借呗"/>
    <x v="0"/>
    <x v="0"/>
    <x v="1"/>
    <s v="二组"/>
    <s v="苏州二组"/>
    <s v="管理人员"/>
    <n v="10000.09"/>
    <n v="2020"/>
    <x v="0"/>
  </r>
  <r>
    <x v="14"/>
    <n v="1000000044"/>
    <s v="借呗6期"/>
    <n v="1"/>
    <n v="10000.06"/>
    <s v="借呗"/>
    <x v="1"/>
    <x v="1"/>
    <x v="2"/>
    <s v="三组"/>
    <s v="北京三组"/>
    <s v="管理人员"/>
    <n v="10000.06"/>
    <n v="2020"/>
    <x v="0"/>
  </r>
  <r>
    <x v="14"/>
    <n v="1000000068"/>
    <s v="借呗6期"/>
    <n v="1"/>
    <n v="10000.030000000001"/>
    <s v="借呗"/>
    <x v="1"/>
    <x v="1"/>
    <x v="7"/>
    <s v="一组"/>
    <s v="重庆一组"/>
    <s v="管理人员"/>
    <n v="10000.030000000001"/>
    <n v="2020"/>
    <x v="0"/>
  </r>
  <r>
    <x v="14"/>
    <n v="1000000928"/>
    <s v="借呗6期"/>
    <n v="1"/>
    <n v="10000"/>
    <s v="借呗"/>
    <x v="1"/>
    <x v="1"/>
    <x v="8"/>
    <s v="一组"/>
    <s v="西安一组"/>
    <s v="普通员工"/>
    <n v="10000"/>
    <n v="2020"/>
    <x v="0"/>
  </r>
  <r>
    <x v="14"/>
    <n v="1000000044"/>
    <s v="借呗12期"/>
    <n v="1"/>
    <n v="9999.99"/>
    <s v="借呗"/>
    <x v="0"/>
    <x v="1"/>
    <x v="2"/>
    <s v="三组"/>
    <s v="北京三组"/>
    <s v="管理人员"/>
    <n v="9999.99"/>
    <n v="2020"/>
    <x v="0"/>
  </r>
  <r>
    <x v="14"/>
    <n v="1000000028"/>
    <s v="借呗18期"/>
    <n v="1"/>
    <n v="8000.24"/>
    <s v="借呗"/>
    <x v="2"/>
    <x v="0"/>
    <x v="0"/>
    <s v="二组"/>
    <s v="杭州二组"/>
    <s v="普通员工"/>
    <n v="8000.24"/>
    <n v="2020"/>
    <x v="0"/>
  </r>
  <r>
    <x v="14"/>
    <n v="1000000047"/>
    <s v="借呗18期"/>
    <n v="1"/>
    <n v="5000.2700000000004"/>
    <s v="借呗"/>
    <x v="2"/>
    <x v="2"/>
    <x v="6"/>
    <s v="一组"/>
    <s v="广州一组"/>
    <s v="普通员工"/>
    <n v="5000.2700000000004"/>
    <n v="2020"/>
    <x v="0"/>
  </r>
  <r>
    <x v="14"/>
    <n v="1000000030"/>
    <s v="借呗6期"/>
    <n v="1"/>
    <n v="3400.7"/>
    <s v="借呗"/>
    <x v="1"/>
    <x v="2"/>
    <x v="6"/>
    <s v="三组"/>
    <s v="广州三组"/>
    <s v="普通员工"/>
    <n v="3400.7"/>
    <n v="2020"/>
    <x v="0"/>
  </r>
  <r>
    <x v="14"/>
    <n v="1000000067"/>
    <s v="借呗6期"/>
    <n v="1"/>
    <n v="500.39"/>
    <s v="借呗"/>
    <x v="1"/>
    <x v="0"/>
    <x v="1"/>
    <s v="二组"/>
    <s v="苏州二组"/>
    <s v="普通员工"/>
    <n v="500.39"/>
    <n v="2020"/>
    <x v="0"/>
  </r>
  <r>
    <x v="15"/>
    <n v="1000000576"/>
    <s v="借呗12期"/>
    <n v="4"/>
    <n v="70001.17"/>
    <s v="借呗"/>
    <x v="0"/>
    <x v="0"/>
    <x v="1"/>
    <s v="三组"/>
    <s v="苏州三组"/>
    <s v="普通员工"/>
    <n v="17500.2925"/>
    <n v="2020"/>
    <x v="0"/>
  </r>
  <r>
    <x v="15"/>
    <n v="1000000928"/>
    <s v="借呗12期"/>
    <n v="2"/>
    <n v="40000.839999999997"/>
    <s v="借呗"/>
    <x v="0"/>
    <x v="1"/>
    <x v="8"/>
    <s v="一组"/>
    <s v="西安一组"/>
    <s v="普通员工"/>
    <n v="20000.419999999998"/>
    <n v="2020"/>
    <x v="0"/>
  </r>
  <r>
    <x v="15"/>
    <n v="1000000029"/>
    <s v="借呗12期"/>
    <n v="2"/>
    <n v="32000.400000000001"/>
    <s v="借呗"/>
    <x v="0"/>
    <x v="0"/>
    <x v="0"/>
    <s v="二组"/>
    <s v="杭州二组"/>
    <s v="普通员工"/>
    <n v="16000.2"/>
    <n v="2020"/>
    <x v="0"/>
  </r>
  <r>
    <x v="15"/>
    <n v="1000000031"/>
    <s v="借呗12期"/>
    <n v="2"/>
    <n v="25000.870000000003"/>
    <s v="借呗"/>
    <x v="0"/>
    <x v="0"/>
    <x v="0"/>
    <s v="一组"/>
    <s v="杭州一组"/>
    <s v="管理人员"/>
    <n v="12500.434999999999"/>
    <n v="2020"/>
    <x v="0"/>
  </r>
  <r>
    <x v="15"/>
    <n v="1000000028"/>
    <s v="借呗12期"/>
    <n v="1"/>
    <n v="25000.21"/>
    <s v="借呗"/>
    <x v="0"/>
    <x v="0"/>
    <x v="0"/>
    <s v="二组"/>
    <s v="杭州二组"/>
    <s v="普通员工"/>
    <n v="25000.21"/>
    <n v="2020"/>
    <x v="0"/>
  </r>
  <r>
    <x v="15"/>
    <n v="1000001513"/>
    <s v="借呗12期"/>
    <n v="2"/>
    <n v="23000.22"/>
    <s v="借呗"/>
    <x v="0"/>
    <x v="0"/>
    <x v="3"/>
    <s v="二组"/>
    <s v="上海二组"/>
    <s v="普通员工"/>
    <n v="11500.11"/>
    <n v="2020"/>
    <x v="0"/>
  </r>
  <r>
    <x v="15"/>
    <n v="1000000046"/>
    <s v="借呗12期"/>
    <n v="1"/>
    <n v="22000.560000000001"/>
    <s v="借呗"/>
    <x v="0"/>
    <x v="1"/>
    <x v="4"/>
    <s v="一组"/>
    <s v="成都一组"/>
    <s v="普通员工"/>
    <n v="22000.560000000001"/>
    <n v="2020"/>
    <x v="0"/>
  </r>
  <r>
    <x v="15"/>
    <n v="1000000035"/>
    <s v="借呗12期"/>
    <n v="1"/>
    <n v="20000.68"/>
    <s v="借呗"/>
    <x v="0"/>
    <x v="0"/>
    <x v="1"/>
    <s v="三组"/>
    <s v="苏州三组"/>
    <s v="普通员工"/>
    <n v="20000.68"/>
    <n v="2020"/>
    <x v="0"/>
  </r>
  <r>
    <x v="15"/>
    <n v="1000000057"/>
    <s v="借呗12期"/>
    <n v="2"/>
    <n v="20000.559999999998"/>
    <s v="借呗"/>
    <x v="0"/>
    <x v="0"/>
    <x v="3"/>
    <s v="二组"/>
    <s v="上海二组"/>
    <s v="普通员工"/>
    <n v="10000.280000000001"/>
    <n v="2020"/>
    <x v="0"/>
  </r>
  <r>
    <x v="15"/>
    <n v="1000000045"/>
    <s v="借呗12期"/>
    <n v="1"/>
    <n v="20000.419999999998"/>
    <s v="借呗"/>
    <x v="0"/>
    <x v="2"/>
    <x v="9"/>
    <s v="一组"/>
    <s v="深圳一组"/>
    <s v="普通员工"/>
    <n v="20000.419999999998"/>
    <n v="2020"/>
    <x v="0"/>
  </r>
  <r>
    <x v="15"/>
    <n v="1000001513"/>
    <s v="借呗18期"/>
    <n v="1"/>
    <n v="20000.310000000001"/>
    <s v="借呗"/>
    <x v="2"/>
    <x v="0"/>
    <x v="3"/>
    <s v="二组"/>
    <s v="上海二组"/>
    <s v="普通员工"/>
    <n v="20000.310000000001"/>
    <n v="2020"/>
    <x v="0"/>
  </r>
  <r>
    <x v="15"/>
    <n v="1000000047"/>
    <s v="借呗12期"/>
    <n v="1"/>
    <n v="15000.14"/>
    <s v="借呗"/>
    <x v="0"/>
    <x v="2"/>
    <x v="6"/>
    <s v="一组"/>
    <s v="广州一组"/>
    <s v="普通员工"/>
    <n v="15000.14"/>
    <n v="2020"/>
    <x v="0"/>
  </r>
  <r>
    <x v="15"/>
    <n v="1000000050"/>
    <s v="借呗12期"/>
    <n v="2"/>
    <n v="13000.69"/>
    <s v="借呗"/>
    <x v="0"/>
    <x v="0"/>
    <x v="5"/>
    <s v="一组"/>
    <s v="合肥一组"/>
    <s v="普通员工"/>
    <n v="6500.3450000000003"/>
    <n v="2020"/>
    <x v="0"/>
  </r>
  <r>
    <x v="15"/>
    <n v="1000000044"/>
    <s v="借呗12期"/>
    <n v="1"/>
    <n v="10000.620000000001"/>
    <s v="借呗"/>
    <x v="0"/>
    <x v="1"/>
    <x v="2"/>
    <s v="三组"/>
    <s v="北京三组"/>
    <s v="管理人员"/>
    <n v="10000.620000000001"/>
    <n v="2020"/>
    <x v="0"/>
  </r>
  <r>
    <x v="15"/>
    <n v="1000000928"/>
    <s v="借呗6期"/>
    <n v="1"/>
    <n v="10000.6"/>
    <s v="借呗"/>
    <x v="1"/>
    <x v="1"/>
    <x v="8"/>
    <s v="一组"/>
    <s v="西安一组"/>
    <s v="普通员工"/>
    <n v="10000.6"/>
    <n v="2020"/>
    <x v="0"/>
  </r>
  <r>
    <x v="15"/>
    <n v="1000000039"/>
    <s v="借呗6期"/>
    <n v="1"/>
    <n v="10000.209999999999"/>
    <s v="借呗"/>
    <x v="1"/>
    <x v="0"/>
    <x v="1"/>
    <s v="二组"/>
    <s v="苏州二组"/>
    <s v="管理人员"/>
    <n v="10000.209999999999"/>
    <n v="2020"/>
    <x v="0"/>
  </r>
  <r>
    <x v="15"/>
    <n v="1000001513"/>
    <s v="借呗6期"/>
    <n v="1"/>
    <n v="10000.15"/>
    <s v="借呗"/>
    <x v="1"/>
    <x v="0"/>
    <x v="3"/>
    <s v="二组"/>
    <s v="上海二组"/>
    <s v="普通员工"/>
    <n v="10000.15"/>
    <n v="2020"/>
    <x v="0"/>
  </r>
  <r>
    <x v="15"/>
    <n v="1000000028"/>
    <s v="借呗6期"/>
    <n v="2"/>
    <n v="8782.59"/>
    <s v="借呗"/>
    <x v="1"/>
    <x v="0"/>
    <x v="0"/>
    <s v="二组"/>
    <s v="杭州二组"/>
    <s v="普通员工"/>
    <n v="4391.2950000000001"/>
    <n v="2020"/>
    <x v="0"/>
  </r>
  <r>
    <x v="15"/>
    <n v="1000000052"/>
    <s v="借呗6期"/>
    <n v="1"/>
    <n v="8000.62"/>
    <s v="借呗"/>
    <x v="1"/>
    <x v="0"/>
    <x v="3"/>
    <s v="二组"/>
    <s v="上海二组"/>
    <s v="普通员工"/>
    <n v="8000.62"/>
    <n v="2020"/>
    <x v="0"/>
  </r>
  <r>
    <x v="15"/>
    <n v="1000000047"/>
    <s v="借呗18期"/>
    <n v="1"/>
    <n v="8000.32"/>
    <s v="借呗"/>
    <x v="2"/>
    <x v="2"/>
    <x v="6"/>
    <s v="一组"/>
    <s v="广州一组"/>
    <s v="普通员工"/>
    <n v="8000.32"/>
    <n v="2020"/>
    <x v="0"/>
  </r>
  <r>
    <x v="15"/>
    <n v="1000000031"/>
    <s v="借呗6期"/>
    <n v="1"/>
    <n v="7999.95"/>
    <s v="借呗"/>
    <x v="1"/>
    <x v="0"/>
    <x v="0"/>
    <s v="一组"/>
    <s v="杭州一组"/>
    <s v="管理人员"/>
    <n v="7999.95"/>
    <n v="2020"/>
    <x v="0"/>
  </r>
  <r>
    <x v="15"/>
    <n v="1000000030"/>
    <s v="借呗6期"/>
    <n v="1"/>
    <n v="5000.13"/>
    <s v="借呗"/>
    <x v="1"/>
    <x v="2"/>
    <x v="6"/>
    <s v="三组"/>
    <s v="广州三组"/>
    <s v="普通员工"/>
    <n v="5000.13"/>
    <n v="2020"/>
    <x v="0"/>
  </r>
  <r>
    <x v="15"/>
    <n v="1000000034"/>
    <s v="借呗6期"/>
    <n v="1"/>
    <n v="4000.05"/>
    <s v="借呗"/>
    <x v="1"/>
    <x v="0"/>
    <x v="1"/>
    <s v="一组"/>
    <s v="苏州一组"/>
    <s v="普通员工"/>
    <n v="4000.05"/>
    <n v="2020"/>
    <x v="0"/>
  </r>
  <r>
    <x v="15"/>
    <n v="1000000054"/>
    <s v="借呗6期"/>
    <n v="1"/>
    <n v="1000.19"/>
    <s v="借呗"/>
    <x v="1"/>
    <x v="0"/>
    <x v="3"/>
    <s v="一组"/>
    <s v="上海一组"/>
    <s v="普通员工"/>
    <n v="1000.19"/>
    <n v="2020"/>
    <x v="0"/>
  </r>
  <r>
    <x v="16"/>
    <n v="1000000029"/>
    <s v="借呗12期"/>
    <n v="2"/>
    <n v="42000.81"/>
    <s v="借呗"/>
    <x v="0"/>
    <x v="0"/>
    <x v="0"/>
    <s v="二组"/>
    <s v="杭州二组"/>
    <s v="普通员工"/>
    <n v="21000.404999999999"/>
    <n v="2020"/>
    <x v="0"/>
  </r>
  <r>
    <x v="16"/>
    <n v="1000000056"/>
    <s v="借呗18期"/>
    <n v="2"/>
    <n v="40000.949999999997"/>
    <s v="借呗"/>
    <x v="2"/>
    <x v="0"/>
    <x v="3"/>
    <s v="一组"/>
    <s v="上海一组"/>
    <s v="管理人员"/>
    <n v="20000.474999999999"/>
    <n v="2020"/>
    <x v="0"/>
  </r>
  <r>
    <x v="16"/>
    <n v="1000001513"/>
    <s v="借呗12期"/>
    <n v="2"/>
    <n v="31000.71"/>
    <s v="借呗"/>
    <x v="0"/>
    <x v="0"/>
    <x v="3"/>
    <s v="二组"/>
    <s v="上海二组"/>
    <s v="普通员工"/>
    <n v="15500.355"/>
    <n v="2020"/>
    <x v="0"/>
  </r>
  <r>
    <x v="16"/>
    <n v="1000000928"/>
    <s v="借呗12期"/>
    <n v="2"/>
    <n v="30000.89"/>
    <s v="借呗"/>
    <x v="0"/>
    <x v="1"/>
    <x v="8"/>
    <s v="一组"/>
    <s v="西安一组"/>
    <s v="普通员工"/>
    <n v="15000.445"/>
    <n v="2020"/>
    <x v="0"/>
  </r>
  <r>
    <x v="16"/>
    <n v="1000000237"/>
    <s v="借呗18期"/>
    <n v="3"/>
    <n v="28000.639999999999"/>
    <s v="借呗"/>
    <x v="2"/>
    <x v="0"/>
    <x v="5"/>
    <s v="一组"/>
    <s v="合肥一组"/>
    <s v="普通员工"/>
    <n v="9333.5466666666671"/>
    <n v="2020"/>
    <x v="0"/>
  </r>
  <r>
    <x v="16"/>
    <n v="1000000034"/>
    <s v="借呗12期"/>
    <n v="1"/>
    <n v="25000.74"/>
    <s v="借呗"/>
    <x v="0"/>
    <x v="0"/>
    <x v="1"/>
    <s v="一组"/>
    <s v="苏州一组"/>
    <s v="普通员工"/>
    <n v="25000.74"/>
    <n v="2020"/>
    <x v="0"/>
  </r>
  <r>
    <x v="16"/>
    <n v="1000000028"/>
    <s v="借呗18期"/>
    <n v="1"/>
    <n v="25000.62"/>
    <s v="借呗"/>
    <x v="2"/>
    <x v="0"/>
    <x v="0"/>
    <s v="二组"/>
    <s v="杭州二组"/>
    <s v="普通员工"/>
    <n v="25000.62"/>
    <n v="2020"/>
    <x v="0"/>
  </r>
  <r>
    <x v="16"/>
    <n v="1000000034"/>
    <s v="借呗6期"/>
    <n v="2"/>
    <n v="22000.800000000003"/>
    <s v="借呗"/>
    <x v="1"/>
    <x v="0"/>
    <x v="1"/>
    <s v="一组"/>
    <s v="苏州一组"/>
    <s v="普通员工"/>
    <n v="11000.4"/>
    <n v="2020"/>
    <x v="0"/>
  </r>
  <r>
    <x v="16"/>
    <n v="1000000043"/>
    <s v="借呗18期"/>
    <n v="1"/>
    <n v="22000.75"/>
    <s v="借呗"/>
    <x v="2"/>
    <x v="1"/>
    <x v="4"/>
    <s v="一组"/>
    <s v="成都一组"/>
    <s v="普通员工"/>
    <n v="22000.75"/>
    <n v="2020"/>
    <x v="0"/>
  </r>
  <r>
    <x v="16"/>
    <n v="1000000056"/>
    <s v="借呗12期"/>
    <n v="1"/>
    <n v="22000.48"/>
    <s v="借呗"/>
    <x v="0"/>
    <x v="0"/>
    <x v="3"/>
    <s v="一组"/>
    <s v="上海一组"/>
    <s v="管理人员"/>
    <n v="22000.48"/>
    <n v="2020"/>
    <x v="0"/>
  </r>
  <r>
    <x v="16"/>
    <n v="1000000045"/>
    <s v="借呗6期"/>
    <n v="1"/>
    <n v="22000.43"/>
    <s v="借呗"/>
    <x v="1"/>
    <x v="2"/>
    <x v="9"/>
    <s v="一组"/>
    <s v="深圳一组"/>
    <s v="普通员工"/>
    <n v="22000.43"/>
    <n v="2020"/>
    <x v="0"/>
  </r>
  <r>
    <x v="16"/>
    <n v="1000000037"/>
    <s v="借呗18期"/>
    <n v="1"/>
    <n v="21999.95"/>
    <s v="借呗"/>
    <x v="2"/>
    <x v="0"/>
    <x v="0"/>
    <s v="二组"/>
    <s v="杭州二组"/>
    <s v="普通员工"/>
    <n v="21999.95"/>
    <n v="2020"/>
    <x v="0"/>
  </r>
  <r>
    <x v="16"/>
    <n v="1000000030"/>
    <s v="借呗6期"/>
    <n v="1"/>
    <n v="20000.73"/>
    <s v="借呗"/>
    <x v="1"/>
    <x v="2"/>
    <x v="6"/>
    <s v="三组"/>
    <s v="广州三组"/>
    <s v="普通员工"/>
    <n v="20000.73"/>
    <n v="2020"/>
    <x v="0"/>
  </r>
  <r>
    <x v="16"/>
    <n v="1000000045"/>
    <s v="借呗12期"/>
    <n v="2"/>
    <n v="20000.690000000002"/>
    <s v="借呗"/>
    <x v="0"/>
    <x v="2"/>
    <x v="9"/>
    <s v="一组"/>
    <s v="深圳一组"/>
    <s v="普通员工"/>
    <n v="10000.344999999999"/>
    <n v="2020"/>
    <x v="0"/>
  </r>
  <r>
    <x v="16"/>
    <n v="1000000044"/>
    <s v="借呗6期"/>
    <n v="1"/>
    <n v="20000.419999999998"/>
    <s v="借呗"/>
    <x v="1"/>
    <x v="1"/>
    <x v="2"/>
    <s v="三组"/>
    <s v="北京三组"/>
    <s v="管理人员"/>
    <n v="20000.419999999998"/>
    <n v="2020"/>
    <x v="0"/>
  </r>
  <r>
    <x v="16"/>
    <n v="1000000033"/>
    <s v="借呗18期"/>
    <n v="1"/>
    <n v="20000.13"/>
    <s v="借呗"/>
    <x v="2"/>
    <x v="0"/>
    <x v="1"/>
    <s v="一组"/>
    <s v="苏州一组"/>
    <s v="普通员工"/>
    <n v="20000.13"/>
    <n v="2020"/>
    <x v="0"/>
  </r>
  <r>
    <x v="16"/>
    <n v="1000000566"/>
    <s v="借呗6期"/>
    <n v="1"/>
    <n v="20000"/>
    <s v="借呗"/>
    <x v="1"/>
    <x v="2"/>
    <x v="6"/>
    <s v="三组"/>
    <s v="广州三组"/>
    <s v="普通员工"/>
    <n v="20000"/>
    <n v="2020"/>
    <x v="0"/>
  </r>
  <r>
    <x v="16"/>
    <n v="1000000031"/>
    <s v="借呗12期"/>
    <n v="2"/>
    <n v="19500.86"/>
    <s v="借呗"/>
    <x v="0"/>
    <x v="0"/>
    <x v="0"/>
    <s v="一组"/>
    <s v="杭州一组"/>
    <s v="管理人员"/>
    <n v="9750.43"/>
    <n v="2020"/>
    <x v="0"/>
  </r>
  <r>
    <x v="16"/>
    <n v="1000000033"/>
    <s v="借呗6期"/>
    <n v="2"/>
    <n v="18000.629999999997"/>
    <s v="借呗"/>
    <x v="1"/>
    <x v="0"/>
    <x v="1"/>
    <s v="一组"/>
    <s v="苏州一组"/>
    <s v="普通员工"/>
    <n v="9000.3149999999987"/>
    <n v="2020"/>
    <x v="0"/>
  </r>
  <r>
    <x v="16"/>
    <n v="1000000030"/>
    <s v="借呗12期"/>
    <n v="1"/>
    <n v="18000.25"/>
    <s v="借呗"/>
    <x v="0"/>
    <x v="2"/>
    <x v="6"/>
    <s v="三组"/>
    <s v="广州三组"/>
    <s v="普通员工"/>
    <n v="18000.25"/>
    <n v="2020"/>
    <x v="0"/>
  </r>
  <r>
    <x v="16"/>
    <n v="1000000068"/>
    <s v="借呗6期"/>
    <n v="1"/>
    <n v="15000.66"/>
    <s v="借呗"/>
    <x v="1"/>
    <x v="1"/>
    <x v="7"/>
    <s v="一组"/>
    <s v="重庆一组"/>
    <s v="管理人员"/>
    <n v="15000.66"/>
    <n v="2020"/>
    <x v="0"/>
  </r>
  <r>
    <x v="16"/>
    <n v="1000000046"/>
    <s v="借呗12期"/>
    <n v="1"/>
    <n v="14999.94"/>
    <s v="借呗"/>
    <x v="0"/>
    <x v="1"/>
    <x v="4"/>
    <s v="一组"/>
    <s v="成都一组"/>
    <s v="普通员工"/>
    <n v="14999.94"/>
    <n v="2020"/>
    <x v="0"/>
  </r>
  <r>
    <x v="16"/>
    <n v="1000000049"/>
    <s v="借呗6期"/>
    <n v="1"/>
    <n v="10000.549999999999"/>
    <s v="借呗"/>
    <x v="1"/>
    <x v="0"/>
    <x v="5"/>
    <s v="一组"/>
    <s v="合肥一组"/>
    <s v="普通员工"/>
    <n v="10000.549999999999"/>
    <n v="2020"/>
    <x v="0"/>
  </r>
  <r>
    <x v="16"/>
    <n v="1000000034"/>
    <s v="借呗18期"/>
    <n v="1"/>
    <n v="10000.459999999999"/>
    <s v="借呗"/>
    <x v="2"/>
    <x v="0"/>
    <x v="1"/>
    <s v="一组"/>
    <s v="苏州一组"/>
    <s v="普通员工"/>
    <n v="10000.459999999999"/>
    <n v="2020"/>
    <x v="0"/>
  </r>
  <r>
    <x v="16"/>
    <n v="1000000028"/>
    <s v="借呗6期"/>
    <n v="1"/>
    <n v="10000.27"/>
    <s v="借呗"/>
    <x v="1"/>
    <x v="0"/>
    <x v="0"/>
    <s v="二组"/>
    <s v="杭州二组"/>
    <s v="普通员工"/>
    <n v="10000.27"/>
    <n v="2020"/>
    <x v="0"/>
  </r>
  <r>
    <x v="16"/>
    <n v="1000000047"/>
    <s v="借呗12期"/>
    <n v="1"/>
    <n v="10000.23"/>
    <s v="借呗"/>
    <x v="0"/>
    <x v="2"/>
    <x v="6"/>
    <s v="一组"/>
    <s v="广州一组"/>
    <s v="普通员工"/>
    <n v="10000.23"/>
    <n v="2020"/>
    <x v="0"/>
  </r>
  <r>
    <x v="16"/>
    <n v="1000000040"/>
    <s v="借呗6期"/>
    <n v="1"/>
    <n v="10000.200000000001"/>
    <s v="借呗"/>
    <x v="1"/>
    <x v="1"/>
    <x v="2"/>
    <s v="四组"/>
    <s v="北京四组"/>
    <s v="管理人员"/>
    <n v="10000.200000000001"/>
    <n v="2020"/>
    <x v="0"/>
  </r>
  <r>
    <x v="16"/>
    <n v="1000000039"/>
    <s v="借呗18期"/>
    <n v="1"/>
    <n v="10000"/>
    <s v="借呗"/>
    <x v="2"/>
    <x v="0"/>
    <x v="1"/>
    <s v="二组"/>
    <s v="苏州二组"/>
    <s v="管理人员"/>
    <n v="10000"/>
    <n v="2020"/>
    <x v="0"/>
  </r>
  <r>
    <x v="16"/>
    <n v="1000000036"/>
    <s v="借呗12期"/>
    <n v="1"/>
    <n v="9999.98"/>
    <s v="借呗"/>
    <x v="0"/>
    <x v="2"/>
    <x v="6"/>
    <s v="三组"/>
    <s v="广州三组"/>
    <s v="管理人员"/>
    <n v="9999.98"/>
    <n v="2020"/>
    <x v="0"/>
  </r>
  <r>
    <x v="16"/>
    <n v="1000000041"/>
    <s v="借呗6期"/>
    <n v="1"/>
    <n v="8000.46"/>
    <s v="借呗"/>
    <x v="1"/>
    <x v="1"/>
    <x v="2"/>
    <s v="四组"/>
    <s v="北京四组"/>
    <s v="普通员工"/>
    <n v="8000.46"/>
    <n v="2020"/>
    <x v="0"/>
  </r>
  <r>
    <x v="16"/>
    <n v="1000000050"/>
    <s v="借呗18期"/>
    <n v="1"/>
    <n v="8000.07"/>
    <s v="借呗"/>
    <x v="2"/>
    <x v="0"/>
    <x v="5"/>
    <s v="一组"/>
    <s v="合肥一组"/>
    <s v="普通员工"/>
    <n v="8000.07"/>
    <n v="2020"/>
    <x v="0"/>
  </r>
  <r>
    <x v="16"/>
    <n v="1000000237"/>
    <s v="借呗6期"/>
    <n v="1"/>
    <n v="5000.29"/>
    <s v="借呗"/>
    <x v="1"/>
    <x v="0"/>
    <x v="5"/>
    <s v="一组"/>
    <s v="合肥一组"/>
    <s v="普通员工"/>
    <n v="5000.29"/>
    <n v="2020"/>
    <x v="0"/>
  </r>
  <r>
    <x v="16"/>
    <n v="1000000043"/>
    <s v="借呗12期"/>
    <n v="1"/>
    <n v="3500.74"/>
    <s v="借呗"/>
    <x v="0"/>
    <x v="1"/>
    <x v="4"/>
    <s v="一组"/>
    <s v="成都一组"/>
    <s v="普通员工"/>
    <n v="3500.74"/>
    <n v="2020"/>
    <x v="0"/>
  </r>
  <r>
    <x v="16"/>
    <n v="1000000036"/>
    <s v="借呗6期"/>
    <n v="1"/>
    <n v="2000.74"/>
    <s v="借呗"/>
    <x v="1"/>
    <x v="2"/>
    <x v="6"/>
    <s v="三组"/>
    <s v="广州三组"/>
    <s v="管理人员"/>
    <n v="2000.74"/>
    <n v="2020"/>
    <x v="0"/>
  </r>
  <r>
    <x v="16"/>
    <n v="1000000041"/>
    <s v="借呗12期"/>
    <n v="1"/>
    <n v="731.74"/>
    <s v="借呗"/>
    <x v="0"/>
    <x v="1"/>
    <x v="2"/>
    <s v="四组"/>
    <s v="北京四组"/>
    <s v="普通员工"/>
    <n v="731.74"/>
    <n v="2020"/>
    <x v="0"/>
  </r>
  <r>
    <x v="17"/>
    <n v="1000000031"/>
    <s v="借呗12期"/>
    <n v="2"/>
    <n v="42000.97"/>
    <s v="借呗"/>
    <x v="0"/>
    <x v="0"/>
    <x v="0"/>
    <s v="一组"/>
    <s v="杭州一组"/>
    <s v="管理人员"/>
    <n v="21000.485000000001"/>
    <n v="2020"/>
    <x v="0"/>
  </r>
  <r>
    <x v="17"/>
    <n v="1000000576"/>
    <s v="借呗12期"/>
    <n v="2"/>
    <n v="33000.71"/>
    <s v="借呗"/>
    <x v="0"/>
    <x v="0"/>
    <x v="1"/>
    <s v="三组"/>
    <s v="苏州三组"/>
    <s v="普通员工"/>
    <n v="16500.355"/>
    <n v="2020"/>
    <x v="0"/>
  </r>
  <r>
    <x v="17"/>
    <n v="1000000928"/>
    <s v="借呗12期"/>
    <n v="2"/>
    <n v="30000.629999999997"/>
    <s v="借呗"/>
    <x v="0"/>
    <x v="1"/>
    <x v="8"/>
    <s v="一组"/>
    <s v="西安一组"/>
    <s v="普通员工"/>
    <n v="15000.315000000001"/>
    <n v="2020"/>
    <x v="0"/>
  </r>
  <r>
    <x v="17"/>
    <n v="1000000044"/>
    <s v="借呗6期"/>
    <n v="2"/>
    <n v="30000.43"/>
    <s v="借呗"/>
    <x v="1"/>
    <x v="1"/>
    <x v="2"/>
    <s v="三组"/>
    <s v="北京三组"/>
    <s v="管理人员"/>
    <n v="15000.215"/>
    <n v="2020"/>
    <x v="0"/>
  </r>
  <r>
    <x v="17"/>
    <n v="1000001513"/>
    <s v="借呗6期"/>
    <n v="2"/>
    <n v="29000.590000000004"/>
    <s v="借呗"/>
    <x v="1"/>
    <x v="0"/>
    <x v="3"/>
    <s v="二组"/>
    <s v="上海二组"/>
    <s v="普通员工"/>
    <n v="14500.295000000002"/>
    <n v="2020"/>
    <x v="0"/>
  </r>
  <r>
    <x v="17"/>
    <n v="1000000054"/>
    <s v="借呗12期"/>
    <n v="2"/>
    <n v="28000.91"/>
    <s v="借呗"/>
    <x v="0"/>
    <x v="0"/>
    <x v="3"/>
    <s v="一组"/>
    <s v="上海一组"/>
    <s v="普通员工"/>
    <n v="14000.455"/>
    <n v="2020"/>
    <x v="0"/>
  </r>
  <r>
    <x v="17"/>
    <n v="1000000029"/>
    <s v="借呗12期"/>
    <n v="2"/>
    <n v="26001.27"/>
    <s v="借呗"/>
    <x v="0"/>
    <x v="0"/>
    <x v="0"/>
    <s v="二组"/>
    <s v="杭州二组"/>
    <s v="普通员工"/>
    <n v="13000.635"/>
    <n v="2020"/>
    <x v="0"/>
  </r>
  <r>
    <x v="17"/>
    <n v="1000000041"/>
    <s v="借呗12期"/>
    <n v="1"/>
    <n v="20000.75"/>
    <s v="借呗"/>
    <x v="0"/>
    <x v="1"/>
    <x v="2"/>
    <s v="四组"/>
    <s v="北京四组"/>
    <s v="普通员工"/>
    <n v="20000.75"/>
    <n v="2020"/>
    <x v="0"/>
  </r>
  <r>
    <x v="17"/>
    <n v="1000000040"/>
    <s v="借呗12期"/>
    <n v="1"/>
    <n v="20000.63"/>
    <s v="借呗"/>
    <x v="0"/>
    <x v="1"/>
    <x v="2"/>
    <s v="四组"/>
    <s v="北京四组"/>
    <s v="管理人员"/>
    <n v="20000.63"/>
    <n v="2020"/>
    <x v="0"/>
  </r>
  <r>
    <x v="17"/>
    <n v="1000000237"/>
    <s v="借呗18期"/>
    <n v="1"/>
    <n v="20000.62"/>
    <s v="借呗"/>
    <x v="2"/>
    <x v="0"/>
    <x v="5"/>
    <s v="一组"/>
    <s v="合肥一组"/>
    <s v="普通员工"/>
    <n v="20000.62"/>
    <n v="2020"/>
    <x v="0"/>
  </r>
  <r>
    <x v="17"/>
    <n v="1000000036"/>
    <s v="借呗12期"/>
    <n v="1"/>
    <n v="20000.45"/>
    <s v="借呗"/>
    <x v="0"/>
    <x v="2"/>
    <x v="6"/>
    <s v="三组"/>
    <s v="广州三组"/>
    <s v="管理人员"/>
    <n v="20000.45"/>
    <n v="2020"/>
    <x v="0"/>
  </r>
  <r>
    <x v="17"/>
    <n v="1000000029"/>
    <s v="借呗18期"/>
    <n v="1"/>
    <n v="20000.39"/>
    <s v="借呗"/>
    <x v="2"/>
    <x v="0"/>
    <x v="0"/>
    <s v="二组"/>
    <s v="杭州二组"/>
    <s v="普通员工"/>
    <n v="20000.39"/>
    <n v="2020"/>
    <x v="0"/>
  </r>
  <r>
    <x v="17"/>
    <n v="1000001513"/>
    <s v="借呗12期"/>
    <n v="1"/>
    <n v="20000.05"/>
    <s v="借呗"/>
    <x v="0"/>
    <x v="0"/>
    <x v="3"/>
    <s v="二组"/>
    <s v="上海二组"/>
    <s v="普通员工"/>
    <n v="20000.05"/>
    <n v="2020"/>
    <x v="0"/>
  </r>
  <r>
    <x v="17"/>
    <n v="1000000576"/>
    <s v="借呗6期"/>
    <n v="1"/>
    <n v="20000"/>
    <s v="借呗"/>
    <x v="1"/>
    <x v="0"/>
    <x v="1"/>
    <s v="三组"/>
    <s v="苏州三组"/>
    <s v="普通员工"/>
    <n v="20000"/>
    <n v="2020"/>
    <x v="0"/>
  </r>
  <r>
    <x v="17"/>
    <n v="1000000041"/>
    <s v="借呗18期"/>
    <n v="1"/>
    <n v="18000.740000000002"/>
    <s v="借呗"/>
    <x v="2"/>
    <x v="1"/>
    <x v="2"/>
    <s v="四组"/>
    <s v="北京四组"/>
    <s v="普通员工"/>
    <n v="18000.740000000002"/>
    <n v="2020"/>
    <x v="0"/>
  </r>
  <r>
    <x v="17"/>
    <n v="1000000067"/>
    <s v="借呗12期"/>
    <n v="1"/>
    <n v="18000.439999999999"/>
    <s v="借呗"/>
    <x v="0"/>
    <x v="0"/>
    <x v="1"/>
    <s v="二组"/>
    <s v="苏州二组"/>
    <s v="普通员工"/>
    <n v="18000.439999999999"/>
    <n v="2020"/>
    <x v="0"/>
  </r>
  <r>
    <x v="17"/>
    <n v="1000000045"/>
    <s v="借呗6期"/>
    <n v="1"/>
    <n v="18000.27"/>
    <s v="借呗"/>
    <x v="1"/>
    <x v="2"/>
    <x v="9"/>
    <s v="一组"/>
    <s v="深圳一组"/>
    <s v="普通员工"/>
    <n v="18000.27"/>
    <n v="2020"/>
    <x v="0"/>
  </r>
  <r>
    <x v="17"/>
    <n v="1000000045"/>
    <s v="借呗12期"/>
    <n v="2"/>
    <n v="11000.93"/>
    <s v="借呗"/>
    <x v="0"/>
    <x v="2"/>
    <x v="9"/>
    <s v="一组"/>
    <s v="深圳一组"/>
    <s v="普通员工"/>
    <n v="5500.4650000000001"/>
    <n v="2020"/>
    <x v="0"/>
  </r>
  <r>
    <x v="17"/>
    <n v="1000000057"/>
    <s v="借呗6期"/>
    <n v="2"/>
    <n v="11000.7"/>
    <s v="借呗"/>
    <x v="1"/>
    <x v="0"/>
    <x v="3"/>
    <s v="二组"/>
    <s v="上海二组"/>
    <s v="普通员工"/>
    <n v="5500.35"/>
    <n v="2020"/>
    <x v="0"/>
  </r>
  <r>
    <x v="17"/>
    <n v="1000000040"/>
    <s v="借呗18期"/>
    <n v="1"/>
    <n v="10000.709999999999"/>
    <s v="借呗"/>
    <x v="2"/>
    <x v="1"/>
    <x v="2"/>
    <s v="四组"/>
    <s v="北京四组"/>
    <s v="管理人员"/>
    <n v="10000.709999999999"/>
    <n v="2020"/>
    <x v="0"/>
  </r>
  <r>
    <x v="17"/>
    <n v="1000000030"/>
    <s v="借呗6期"/>
    <n v="1"/>
    <n v="10000.36"/>
    <s v="借呗"/>
    <x v="1"/>
    <x v="2"/>
    <x v="6"/>
    <s v="三组"/>
    <s v="广州三组"/>
    <s v="普通员工"/>
    <n v="10000.36"/>
    <n v="2020"/>
    <x v="0"/>
  </r>
  <r>
    <x v="17"/>
    <n v="1000000043"/>
    <s v="借呗12期"/>
    <n v="1"/>
    <n v="9000.42"/>
    <s v="借呗"/>
    <x v="0"/>
    <x v="1"/>
    <x v="4"/>
    <s v="一组"/>
    <s v="成都一组"/>
    <s v="普通员工"/>
    <n v="9000.42"/>
    <n v="2020"/>
    <x v="0"/>
  </r>
  <r>
    <x v="17"/>
    <n v="1000000031"/>
    <s v="借呗18期"/>
    <n v="1"/>
    <n v="2000"/>
    <s v="借呗"/>
    <x v="2"/>
    <x v="0"/>
    <x v="0"/>
    <s v="一组"/>
    <s v="杭州一组"/>
    <s v="管理人员"/>
    <n v="2000"/>
    <n v="2020"/>
    <x v="0"/>
  </r>
  <r>
    <x v="18"/>
    <n v="1000000237"/>
    <s v="借呗18期"/>
    <n v="3"/>
    <n v="47000.74"/>
    <s v="借呗"/>
    <x v="2"/>
    <x v="0"/>
    <x v="5"/>
    <s v="一组"/>
    <s v="合肥一组"/>
    <s v="普通员工"/>
    <n v="15666.913333333332"/>
    <n v="2020"/>
    <x v="0"/>
  </r>
  <r>
    <x v="18"/>
    <n v="1000000054"/>
    <s v="借呗12期"/>
    <n v="2"/>
    <n v="43001.09"/>
    <s v="借呗"/>
    <x v="0"/>
    <x v="0"/>
    <x v="3"/>
    <s v="一组"/>
    <s v="上海一组"/>
    <s v="普通员工"/>
    <n v="21500.544999999998"/>
    <n v="2020"/>
    <x v="0"/>
  </r>
  <r>
    <x v="18"/>
    <n v="1000001513"/>
    <s v="借呗6期"/>
    <n v="1"/>
    <n v="25000.42"/>
    <s v="借呗"/>
    <x v="1"/>
    <x v="0"/>
    <x v="3"/>
    <s v="二组"/>
    <s v="上海二组"/>
    <s v="普通员工"/>
    <n v="25000.42"/>
    <n v="2020"/>
    <x v="0"/>
  </r>
  <r>
    <x v="18"/>
    <n v="1000000029"/>
    <s v="借呗12期"/>
    <n v="2"/>
    <n v="24000.769999999997"/>
    <s v="借呗"/>
    <x v="0"/>
    <x v="0"/>
    <x v="0"/>
    <s v="二组"/>
    <s v="杭州二组"/>
    <s v="普通员工"/>
    <n v="12000.384999999998"/>
    <n v="2020"/>
    <x v="0"/>
  </r>
  <r>
    <x v="18"/>
    <n v="1000000041"/>
    <s v="借呗6期"/>
    <n v="2"/>
    <n v="23001.279999999999"/>
    <s v="借呗"/>
    <x v="1"/>
    <x v="1"/>
    <x v="2"/>
    <s v="四组"/>
    <s v="北京四组"/>
    <s v="普通员工"/>
    <n v="11500.64"/>
    <n v="2020"/>
    <x v="0"/>
  </r>
  <r>
    <x v="18"/>
    <n v="1000000057"/>
    <s v="借呗12期"/>
    <n v="3"/>
    <n v="22501.200000000001"/>
    <s v="借呗"/>
    <x v="0"/>
    <x v="0"/>
    <x v="3"/>
    <s v="二组"/>
    <s v="上海二组"/>
    <s v="普通员工"/>
    <n v="7500.4"/>
    <n v="2020"/>
    <x v="0"/>
  </r>
  <r>
    <x v="18"/>
    <n v="1000000044"/>
    <s v="借呗12期"/>
    <n v="1"/>
    <n v="22000.76"/>
    <s v="借呗"/>
    <x v="0"/>
    <x v="1"/>
    <x v="2"/>
    <s v="三组"/>
    <s v="北京三组"/>
    <s v="管理人员"/>
    <n v="22000.76"/>
    <n v="2020"/>
    <x v="0"/>
  </r>
  <r>
    <x v="18"/>
    <n v="1000001513"/>
    <s v="借呗18期"/>
    <n v="1"/>
    <n v="22000.18"/>
    <s v="借呗"/>
    <x v="2"/>
    <x v="0"/>
    <x v="3"/>
    <s v="二组"/>
    <s v="上海二组"/>
    <s v="普通员工"/>
    <n v="22000.18"/>
    <n v="2020"/>
    <x v="0"/>
  </r>
  <r>
    <x v="18"/>
    <n v="1000000031"/>
    <s v="借呗12期"/>
    <n v="2"/>
    <n v="21000.899999999998"/>
    <s v="借呗"/>
    <x v="0"/>
    <x v="0"/>
    <x v="0"/>
    <s v="一组"/>
    <s v="杭州一组"/>
    <s v="管理人员"/>
    <n v="10500.45"/>
    <n v="2020"/>
    <x v="0"/>
  </r>
  <r>
    <x v="18"/>
    <n v="1000000056"/>
    <s v="借呗6期"/>
    <n v="3"/>
    <n v="20501.11"/>
    <s v="借呗"/>
    <x v="1"/>
    <x v="0"/>
    <x v="3"/>
    <s v="一组"/>
    <s v="上海一组"/>
    <s v="管理人员"/>
    <n v="6833.7033333333338"/>
    <n v="2020"/>
    <x v="0"/>
  </r>
  <r>
    <x v="18"/>
    <n v="1000000067"/>
    <s v="借呗12期"/>
    <n v="2"/>
    <n v="15500.77"/>
    <s v="借呗"/>
    <x v="0"/>
    <x v="0"/>
    <x v="1"/>
    <s v="二组"/>
    <s v="苏州二组"/>
    <s v="普通员工"/>
    <n v="7750.3850000000002"/>
    <n v="2020"/>
    <x v="0"/>
  </r>
  <r>
    <x v="18"/>
    <n v="1000000040"/>
    <s v="借呗6期"/>
    <n v="1"/>
    <n v="15000.57"/>
    <s v="借呗"/>
    <x v="1"/>
    <x v="1"/>
    <x v="2"/>
    <s v="四组"/>
    <s v="北京四组"/>
    <s v="管理人员"/>
    <n v="15000.57"/>
    <n v="2020"/>
    <x v="0"/>
  </r>
  <r>
    <x v="18"/>
    <n v="1000000031"/>
    <s v="借呗6期"/>
    <n v="1"/>
    <n v="10000.700000000001"/>
    <s v="借呗"/>
    <x v="1"/>
    <x v="0"/>
    <x v="0"/>
    <s v="一组"/>
    <s v="杭州一组"/>
    <s v="管理人员"/>
    <n v="10000.700000000001"/>
    <n v="2020"/>
    <x v="0"/>
  </r>
  <r>
    <x v="18"/>
    <n v="1000000044"/>
    <s v="借呗6期"/>
    <n v="1"/>
    <n v="10000.51"/>
    <s v="借呗"/>
    <x v="1"/>
    <x v="1"/>
    <x v="2"/>
    <s v="三组"/>
    <s v="北京三组"/>
    <s v="管理人员"/>
    <n v="10000.51"/>
    <n v="2020"/>
    <x v="0"/>
  </r>
  <r>
    <x v="18"/>
    <n v="1000000039"/>
    <s v="借呗18期"/>
    <n v="1"/>
    <n v="10000.44"/>
    <s v="借呗"/>
    <x v="2"/>
    <x v="0"/>
    <x v="1"/>
    <s v="二组"/>
    <s v="苏州二组"/>
    <s v="管理人员"/>
    <n v="10000.44"/>
    <n v="2020"/>
    <x v="0"/>
  </r>
  <r>
    <x v="18"/>
    <n v="1000000052"/>
    <s v="借呗6期"/>
    <n v="1"/>
    <n v="10000.280000000001"/>
    <s v="借呗"/>
    <x v="1"/>
    <x v="0"/>
    <x v="3"/>
    <s v="二组"/>
    <s v="上海二组"/>
    <s v="普通员工"/>
    <n v="10000.280000000001"/>
    <n v="2020"/>
    <x v="0"/>
  </r>
  <r>
    <x v="18"/>
    <n v="1000000039"/>
    <s v="借呗12期"/>
    <n v="1"/>
    <n v="10000.18"/>
    <s v="借呗"/>
    <x v="0"/>
    <x v="0"/>
    <x v="1"/>
    <s v="二组"/>
    <s v="苏州二组"/>
    <s v="管理人员"/>
    <n v="10000.18"/>
    <n v="2020"/>
    <x v="0"/>
  </r>
  <r>
    <x v="18"/>
    <n v="1000000057"/>
    <s v="借呗6期"/>
    <n v="1"/>
    <n v="9000.1"/>
    <s v="借呗"/>
    <x v="1"/>
    <x v="0"/>
    <x v="3"/>
    <s v="二组"/>
    <s v="上海二组"/>
    <s v="普通员工"/>
    <n v="9000.1"/>
    <n v="2020"/>
    <x v="0"/>
  </r>
  <r>
    <x v="18"/>
    <n v="1000000054"/>
    <s v="借呗18期"/>
    <n v="1"/>
    <n v="7999.96"/>
    <s v="借呗"/>
    <x v="2"/>
    <x v="0"/>
    <x v="3"/>
    <s v="一组"/>
    <s v="上海一组"/>
    <s v="普通员工"/>
    <n v="7999.96"/>
    <n v="2020"/>
    <x v="0"/>
  </r>
  <r>
    <x v="18"/>
    <n v="1000000045"/>
    <s v="借呗6期"/>
    <n v="1"/>
    <n v="7500.34"/>
    <s v="借呗"/>
    <x v="1"/>
    <x v="2"/>
    <x v="9"/>
    <s v="一组"/>
    <s v="深圳一组"/>
    <s v="普通员工"/>
    <n v="7500.34"/>
    <n v="2020"/>
    <x v="0"/>
  </r>
  <r>
    <x v="18"/>
    <n v="1000000032"/>
    <s v="借呗12期"/>
    <n v="1"/>
    <n v="6500.66"/>
    <s v="借呗"/>
    <x v="0"/>
    <x v="0"/>
    <x v="1"/>
    <s v="一组"/>
    <s v="苏州一组"/>
    <s v="管理人员"/>
    <n v="6500.66"/>
    <n v="2020"/>
    <x v="0"/>
  </r>
  <r>
    <x v="18"/>
    <n v="1000000039"/>
    <s v="借呗6期"/>
    <n v="1"/>
    <n v="5499.96"/>
    <s v="借呗"/>
    <x v="1"/>
    <x v="0"/>
    <x v="1"/>
    <s v="二组"/>
    <s v="苏州二组"/>
    <s v="管理人员"/>
    <n v="5499.96"/>
    <n v="2020"/>
    <x v="0"/>
  </r>
  <r>
    <x v="18"/>
    <n v="1000000034"/>
    <s v="借呗6期"/>
    <n v="1"/>
    <n v="2000.74"/>
    <s v="借呗"/>
    <x v="1"/>
    <x v="0"/>
    <x v="1"/>
    <s v="一组"/>
    <s v="苏州一组"/>
    <s v="普通员工"/>
    <n v="2000.74"/>
    <n v="2020"/>
    <x v="0"/>
  </r>
  <r>
    <x v="19"/>
    <n v="1000000028"/>
    <s v="借呗12期"/>
    <n v="3"/>
    <n v="67001.100000000006"/>
    <s v="借呗"/>
    <x v="0"/>
    <x v="0"/>
    <x v="0"/>
    <s v="二组"/>
    <s v="杭州二组"/>
    <s v="普通员工"/>
    <n v="22333.7"/>
    <n v="2020"/>
    <x v="0"/>
  </r>
  <r>
    <x v="19"/>
    <n v="1000000067"/>
    <s v="借呗6期"/>
    <n v="2"/>
    <n v="27000.839999999997"/>
    <s v="借呗"/>
    <x v="1"/>
    <x v="0"/>
    <x v="1"/>
    <s v="二组"/>
    <s v="苏州二组"/>
    <s v="普通员工"/>
    <n v="13500.419999999998"/>
    <n v="2020"/>
    <x v="0"/>
  </r>
  <r>
    <x v="19"/>
    <n v="1000000052"/>
    <s v="借呗12期"/>
    <n v="2"/>
    <n v="25000.92"/>
    <s v="借呗"/>
    <x v="0"/>
    <x v="0"/>
    <x v="3"/>
    <s v="二组"/>
    <s v="上海二组"/>
    <s v="普通员工"/>
    <n v="12500.46"/>
    <n v="2020"/>
    <x v="0"/>
  </r>
  <r>
    <x v="19"/>
    <n v="1000000030"/>
    <s v="借呗18期"/>
    <n v="1"/>
    <n v="20000.38"/>
    <s v="借呗"/>
    <x v="2"/>
    <x v="2"/>
    <x v="6"/>
    <s v="三组"/>
    <s v="广州三组"/>
    <s v="普通员工"/>
    <n v="20000.38"/>
    <n v="2020"/>
    <x v="0"/>
  </r>
  <r>
    <x v="19"/>
    <n v="1000000067"/>
    <s v="借呗12期"/>
    <n v="1"/>
    <n v="17000.439999999999"/>
    <s v="借呗"/>
    <x v="0"/>
    <x v="0"/>
    <x v="1"/>
    <s v="二组"/>
    <s v="苏州二组"/>
    <s v="普通员工"/>
    <n v="17000.439999999999"/>
    <n v="2020"/>
    <x v="0"/>
  </r>
  <r>
    <x v="19"/>
    <n v="1000000031"/>
    <s v="借呗6期"/>
    <n v="1"/>
    <n v="16000.3"/>
    <s v="借呗"/>
    <x v="1"/>
    <x v="0"/>
    <x v="0"/>
    <s v="一组"/>
    <s v="杭州一组"/>
    <s v="管理人员"/>
    <n v="16000.3"/>
    <n v="2020"/>
    <x v="0"/>
  </r>
  <r>
    <x v="19"/>
    <n v="1000000052"/>
    <s v="借呗6期"/>
    <n v="1"/>
    <n v="14999.96"/>
    <s v="借呗"/>
    <x v="1"/>
    <x v="0"/>
    <x v="3"/>
    <s v="二组"/>
    <s v="上海二组"/>
    <s v="普通员工"/>
    <n v="14999.96"/>
    <n v="2020"/>
    <x v="0"/>
  </r>
  <r>
    <x v="19"/>
    <n v="1000000047"/>
    <s v="借呗12期"/>
    <n v="1"/>
    <n v="12000.17"/>
    <s v="借呗"/>
    <x v="0"/>
    <x v="2"/>
    <x v="6"/>
    <s v="一组"/>
    <s v="广州一组"/>
    <s v="普通员工"/>
    <n v="12000.17"/>
    <n v="2020"/>
    <x v="0"/>
  </r>
  <r>
    <x v="19"/>
    <n v="1000000036"/>
    <s v="花呗6期"/>
    <n v="1"/>
    <n v="8688.32"/>
    <s v="花呗"/>
    <x v="1"/>
    <x v="2"/>
    <x v="6"/>
    <s v="三组"/>
    <s v="广州三组"/>
    <s v="管理人员"/>
    <n v="8688.32"/>
    <n v="2020"/>
    <x v="0"/>
  </r>
  <r>
    <x v="19"/>
    <n v="1000000049"/>
    <s v="借呗6期"/>
    <n v="1"/>
    <n v="5000.76"/>
    <s v="借呗"/>
    <x v="1"/>
    <x v="0"/>
    <x v="5"/>
    <s v="一组"/>
    <s v="合肥一组"/>
    <s v="普通员工"/>
    <n v="5000.76"/>
    <n v="2020"/>
    <x v="0"/>
  </r>
  <r>
    <x v="19"/>
    <n v="1000000057"/>
    <s v="借呗12期"/>
    <n v="1"/>
    <n v="5000.5200000000004"/>
    <s v="借呗"/>
    <x v="0"/>
    <x v="0"/>
    <x v="3"/>
    <s v="二组"/>
    <s v="上海二组"/>
    <s v="普通员工"/>
    <n v="5000.5200000000004"/>
    <n v="2020"/>
    <x v="0"/>
  </r>
  <r>
    <x v="19"/>
    <n v="1000000056"/>
    <s v="借呗12期"/>
    <n v="1"/>
    <n v="4500.33"/>
    <s v="借呗"/>
    <x v="0"/>
    <x v="0"/>
    <x v="3"/>
    <s v="一组"/>
    <s v="上海一组"/>
    <s v="管理人员"/>
    <n v="4500.33"/>
    <n v="2020"/>
    <x v="0"/>
  </r>
  <r>
    <x v="19"/>
    <n v="1000000032"/>
    <s v="借呗6期"/>
    <n v="1"/>
    <n v="500.71"/>
    <s v="借呗"/>
    <x v="1"/>
    <x v="0"/>
    <x v="1"/>
    <s v="一组"/>
    <s v="苏州一组"/>
    <s v="管理人员"/>
    <n v="500.71"/>
    <n v="2020"/>
    <x v="0"/>
  </r>
  <r>
    <x v="20"/>
    <n v="1000000056"/>
    <s v="借呗6期"/>
    <n v="2"/>
    <n v="27999.68"/>
    <s v="借呗"/>
    <x v="1"/>
    <x v="0"/>
    <x v="3"/>
    <s v="一组"/>
    <s v="上海一组"/>
    <s v="管理人员"/>
    <n v="13999.84"/>
    <n v="2020"/>
    <x v="0"/>
  </r>
  <r>
    <x v="20"/>
    <n v="1000000028"/>
    <s v="借呗18期"/>
    <n v="1"/>
    <n v="14000.58"/>
    <s v="借呗"/>
    <x v="2"/>
    <x v="0"/>
    <x v="0"/>
    <s v="二组"/>
    <s v="杭州二组"/>
    <s v="普通员工"/>
    <n v="14000.58"/>
    <n v="2020"/>
    <x v="0"/>
  </r>
  <r>
    <x v="20"/>
    <n v="1000000031"/>
    <s v="借呗12期"/>
    <n v="2"/>
    <n v="13500.65"/>
    <s v="借呗"/>
    <x v="0"/>
    <x v="0"/>
    <x v="0"/>
    <s v="一组"/>
    <s v="杭州一组"/>
    <s v="管理人员"/>
    <n v="6750.3249999999998"/>
    <n v="2020"/>
    <x v="0"/>
  </r>
  <r>
    <x v="20"/>
    <n v="1000000040"/>
    <s v="借呗12期"/>
    <n v="1"/>
    <n v="10000.379999999999"/>
    <s v="借呗"/>
    <x v="0"/>
    <x v="1"/>
    <x v="2"/>
    <s v="四组"/>
    <s v="北京四组"/>
    <s v="管理人员"/>
    <n v="10000.379999999999"/>
    <n v="2020"/>
    <x v="0"/>
  </r>
  <r>
    <x v="20"/>
    <n v="1000000056"/>
    <s v="借呗18期"/>
    <n v="1"/>
    <n v="7000.7"/>
    <s v="借呗"/>
    <x v="2"/>
    <x v="0"/>
    <x v="3"/>
    <s v="一组"/>
    <s v="上海一组"/>
    <s v="管理人员"/>
    <n v="7000.7"/>
    <n v="2020"/>
    <x v="0"/>
  </r>
  <r>
    <x v="20"/>
    <n v="1000000044"/>
    <s v="借呗6期"/>
    <n v="1"/>
    <n v="4000.62"/>
    <s v="借呗"/>
    <x v="1"/>
    <x v="1"/>
    <x v="2"/>
    <s v="三组"/>
    <s v="北京三组"/>
    <s v="管理人员"/>
    <n v="4000.62"/>
    <n v="2020"/>
    <x v="0"/>
  </r>
  <r>
    <x v="20"/>
    <n v="1000000033"/>
    <s v="借呗18期"/>
    <n v="1"/>
    <n v="2000.37"/>
    <s v="借呗"/>
    <x v="2"/>
    <x v="0"/>
    <x v="1"/>
    <s v="一组"/>
    <s v="苏州一组"/>
    <s v="普通员工"/>
    <n v="2000.37"/>
    <n v="2020"/>
    <x v="0"/>
  </r>
  <r>
    <x v="21"/>
    <n v="1000000237"/>
    <s v="借呗18期"/>
    <n v="2"/>
    <n v="30000.58"/>
    <s v="借呗"/>
    <x v="2"/>
    <x v="0"/>
    <x v="5"/>
    <s v="一组"/>
    <s v="合肥一组"/>
    <s v="普通员工"/>
    <n v="15000.29"/>
    <n v="2020"/>
    <x v="0"/>
  </r>
  <r>
    <x v="21"/>
    <n v="1000000040"/>
    <s v="借呗6期"/>
    <n v="1"/>
    <n v="20000.310000000001"/>
    <s v="借呗"/>
    <x v="1"/>
    <x v="1"/>
    <x v="2"/>
    <s v="四组"/>
    <s v="北京四组"/>
    <s v="管理人员"/>
    <n v="20000.310000000001"/>
    <n v="2020"/>
    <x v="0"/>
  </r>
  <r>
    <x v="21"/>
    <n v="1000000033"/>
    <s v="借呗6期"/>
    <n v="1"/>
    <n v="12999.96"/>
    <s v="借呗"/>
    <x v="1"/>
    <x v="0"/>
    <x v="1"/>
    <s v="一组"/>
    <s v="苏州一组"/>
    <s v="普通员工"/>
    <n v="12999.96"/>
    <n v="2020"/>
    <x v="0"/>
  </r>
  <r>
    <x v="21"/>
    <n v="1000000049"/>
    <s v="借呗12期"/>
    <n v="1"/>
    <n v="10000.27"/>
    <s v="借呗"/>
    <x v="0"/>
    <x v="0"/>
    <x v="5"/>
    <s v="一组"/>
    <s v="合肥一组"/>
    <s v="普通员工"/>
    <n v="10000.27"/>
    <n v="2020"/>
    <x v="0"/>
  </r>
  <r>
    <x v="21"/>
    <n v="1000000029"/>
    <s v="借呗6期"/>
    <n v="1"/>
    <n v="10000.26"/>
    <s v="借呗"/>
    <x v="1"/>
    <x v="0"/>
    <x v="0"/>
    <s v="二组"/>
    <s v="杭州二组"/>
    <s v="普通员工"/>
    <n v="10000.26"/>
    <n v="2020"/>
    <x v="0"/>
  </r>
  <r>
    <x v="21"/>
    <n v="1000000045"/>
    <s v="借呗18期"/>
    <n v="1"/>
    <n v="8000.6"/>
    <s v="借呗"/>
    <x v="2"/>
    <x v="2"/>
    <x v="9"/>
    <s v="一组"/>
    <s v="深圳一组"/>
    <s v="普通员工"/>
    <n v="8000.6"/>
    <n v="2020"/>
    <x v="0"/>
  </r>
  <r>
    <x v="21"/>
    <n v="1000000039"/>
    <s v="借呗12期"/>
    <n v="1"/>
    <n v="6200.52"/>
    <s v="借呗"/>
    <x v="0"/>
    <x v="0"/>
    <x v="1"/>
    <s v="二组"/>
    <s v="苏州二组"/>
    <s v="管理人员"/>
    <n v="6200.52"/>
    <n v="2020"/>
    <x v="0"/>
  </r>
  <r>
    <x v="21"/>
    <n v="1000000056"/>
    <s v="借呗18期"/>
    <n v="1"/>
    <n v="4000.48"/>
    <s v="借呗"/>
    <x v="2"/>
    <x v="0"/>
    <x v="3"/>
    <s v="一组"/>
    <s v="上海一组"/>
    <s v="管理人员"/>
    <n v="4000.48"/>
    <n v="2020"/>
    <x v="0"/>
  </r>
  <r>
    <x v="21"/>
    <n v="1000000057"/>
    <s v="借呗12期"/>
    <n v="1"/>
    <n v="2000.07"/>
    <s v="借呗"/>
    <x v="0"/>
    <x v="0"/>
    <x v="3"/>
    <s v="二组"/>
    <s v="上海二组"/>
    <s v="普通员工"/>
    <n v="2000.07"/>
    <n v="2020"/>
    <x v="0"/>
  </r>
  <r>
    <x v="22"/>
    <n v="1000000044"/>
    <s v="借呗18期"/>
    <n v="1"/>
    <n v="25000.36"/>
    <s v="借呗"/>
    <x v="2"/>
    <x v="1"/>
    <x v="2"/>
    <s v="三组"/>
    <s v="北京三组"/>
    <s v="管理人员"/>
    <n v="25000.36"/>
    <n v="2020"/>
    <x v="0"/>
  </r>
  <r>
    <x v="22"/>
    <n v="1000000028"/>
    <s v="借呗6期"/>
    <n v="1"/>
    <n v="18000.419999999998"/>
    <s v="借呗"/>
    <x v="1"/>
    <x v="0"/>
    <x v="0"/>
    <s v="二组"/>
    <s v="杭州二组"/>
    <s v="普通员工"/>
    <n v="18000.419999999998"/>
    <n v="2020"/>
    <x v="0"/>
  </r>
  <r>
    <x v="22"/>
    <n v="1000000036"/>
    <s v="借呗12期"/>
    <n v="1"/>
    <n v="17000.68"/>
    <s v="借呗"/>
    <x v="0"/>
    <x v="2"/>
    <x v="6"/>
    <s v="三组"/>
    <s v="广州三组"/>
    <s v="管理人员"/>
    <n v="17000.68"/>
    <n v="2020"/>
    <x v="0"/>
  </r>
  <r>
    <x v="22"/>
    <n v="1000000033"/>
    <s v="借呗18期"/>
    <n v="1"/>
    <n v="15000.61"/>
    <s v="借呗"/>
    <x v="2"/>
    <x v="0"/>
    <x v="1"/>
    <s v="一组"/>
    <s v="苏州一组"/>
    <s v="普通员工"/>
    <n v="15000.61"/>
    <n v="2020"/>
    <x v="0"/>
  </r>
  <r>
    <x v="22"/>
    <n v="1000000028"/>
    <s v="借呗18期"/>
    <n v="1"/>
    <n v="13000.31"/>
    <s v="借呗"/>
    <x v="2"/>
    <x v="0"/>
    <x v="0"/>
    <s v="二组"/>
    <s v="杭州二组"/>
    <s v="普通员工"/>
    <n v="13000.31"/>
    <n v="2020"/>
    <x v="0"/>
  </r>
  <r>
    <x v="22"/>
    <n v="1000000052"/>
    <s v="借呗12期"/>
    <n v="1"/>
    <n v="12000.2"/>
    <s v="借呗"/>
    <x v="0"/>
    <x v="0"/>
    <x v="3"/>
    <s v="二组"/>
    <s v="上海二组"/>
    <s v="普通员工"/>
    <n v="12000.2"/>
    <n v="2020"/>
    <x v="0"/>
  </r>
  <r>
    <x v="22"/>
    <n v="1000000029"/>
    <s v="借呗12期"/>
    <n v="1"/>
    <n v="10000.02"/>
    <s v="借呗"/>
    <x v="0"/>
    <x v="0"/>
    <x v="0"/>
    <s v="二组"/>
    <s v="杭州二组"/>
    <s v="普通员工"/>
    <n v="10000.02"/>
    <n v="2020"/>
    <x v="0"/>
  </r>
  <r>
    <x v="23"/>
    <n v="1000000052"/>
    <s v="借呗6期"/>
    <n v="1"/>
    <n v="20000.349999999999"/>
    <s v="借呗"/>
    <x v="1"/>
    <x v="0"/>
    <x v="3"/>
    <s v="二组"/>
    <s v="上海二组"/>
    <s v="普通员工"/>
    <n v="20000.349999999999"/>
    <n v="2020"/>
    <x v="0"/>
  </r>
  <r>
    <x v="23"/>
    <n v="1000000033"/>
    <s v="借呗12期"/>
    <n v="1"/>
    <n v="20000.23"/>
    <s v="借呗"/>
    <x v="0"/>
    <x v="0"/>
    <x v="1"/>
    <s v="一组"/>
    <s v="苏州一组"/>
    <s v="普通员工"/>
    <n v="20000.23"/>
    <n v="2020"/>
    <x v="0"/>
  </r>
  <r>
    <x v="23"/>
    <n v="1000000068"/>
    <s v="借呗6期"/>
    <n v="1"/>
    <n v="16999.96"/>
    <s v="借呗"/>
    <x v="1"/>
    <x v="1"/>
    <x v="7"/>
    <s v="一组"/>
    <s v="重庆一组"/>
    <s v="管理人员"/>
    <n v="16999.96"/>
    <n v="2020"/>
    <x v="0"/>
  </r>
  <r>
    <x v="23"/>
    <n v="1000000046"/>
    <s v="借呗6期"/>
    <n v="1"/>
    <n v="10000.620000000001"/>
    <s v="借呗"/>
    <x v="1"/>
    <x v="1"/>
    <x v="4"/>
    <s v="一组"/>
    <s v="成都一组"/>
    <s v="普通员工"/>
    <n v="10000.620000000001"/>
    <n v="2020"/>
    <x v="0"/>
  </r>
  <r>
    <x v="23"/>
    <n v="1000000566"/>
    <s v="借呗18期"/>
    <n v="1"/>
    <n v="10000.61"/>
    <s v="借呗"/>
    <x v="2"/>
    <x v="2"/>
    <x v="6"/>
    <s v="三组"/>
    <s v="广州三组"/>
    <s v="普通员工"/>
    <n v="10000.61"/>
    <n v="2020"/>
    <x v="0"/>
  </r>
  <r>
    <x v="23"/>
    <n v="1000000029"/>
    <s v="借呗18期"/>
    <n v="1"/>
    <n v="10000.24"/>
    <s v="借呗"/>
    <x v="2"/>
    <x v="0"/>
    <x v="0"/>
    <s v="二组"/>
    <s v="杭州二组"/>
    <s v="普通员工"/>
    <n v="10000.24"/>
    <n v="2020"/>
    <x v="0"/>
  </r>
  <r>
    <x v="23"/>
    <n v="1000000576"/>
    <s v="借呗12期"/>
    <n v="1"/>
    <n v="10000.08"/>
    <s v="借呗"/>
    <x v="0"/>
    <x v="0"/>
    <x v="1"/>
    <s v="三组"/>
    <s v="苏州三组"/>
    <s v="普通员工"/>
    <n v="10000.08"/>
    <n v="2020"/>
    <x v="0"/>
  </r>
  <r>
    <x v="23"/>
    <n v="1000000928"/>
    <s v="借呗6期"/>
    <n v="1"/>
    <n v="10000"/>
    <s v="借呗"/>
    <x v="1"/>
    <x v="1"/>
    <x v="8"/>
    <s v="一组"/>
    <s v="西安一组"/>
    <s v="普通员工"/>
    <n v="10000"/>
    <n v="2020"/>
    <x v="0"/>
  </r>
  <r>
    <x v="23"/>
    <n v="1000000044"/>
    <s v="借呗12期"/>
    <n v="1"/>
    <n v="5000.45"/>
    <s v="借呗"/>
    <x v="0"/>
    <x v="1"/>
    <x v="2"/>
    <s v="三组"/>
    <s v="北京三组"/>
    <s v="管理人员"/>
    <n v="5000.45"/>
    <n v="2020"/>
    <x v="0"/>
  </r>
  <r>
    <x v="23"/>
    <n v="1000000057"/>
    <s v="借呗6期"/>
    <n v="1"/>
    <n v="5000.28"/>
    <s v="借呗"/>
    <x v="1"/>
    <x v="0"/>
    <x v="3"/>
    <s v="二组"/>
    <s v="上海二组"/>
    <s v="普通员工"/>
    <n v="5000.28"/>
    <n v="2020"/>
    <x v="0"/>
  </r>
  <r>
    <x v="23"/>
    <n v="1000000045"/>
    <s v="借呗18期"/>
    <n v="1"/>
    <n v="5000.17"/>
    <s v="借呗"/>
    <x v="2"/>
    <x v="2"/>
    <x v="9"/>
    <s v="一组"/>
    <s v="深圳一组"/>
    <s v="普通员工"/>
    <n v="5000.17"/>
    <n v="2020"/>
    <x v="0"/>
  </r>
  <r>
    <x v="24"/>
    <n v="1000000028"/>
    <s v="借呗18期"/>
    <n v="1"/>
    <n v="20000.330000000002"/>
    <s v="借呗"/>
    <x v="2"/>
    <x v="0"/>
    <x v="0"/>
    <s v="二组"/>
    <s v="杭州二组"/>
    <s v="普通员工"/>
    <n v="20000.330000000002"/>
    <n v="2020"/>
    <x v="0"/>
  </r>
  <r>
    <x v="24"/>
    <n v="1000000031"/>
    <s v="借呗6期"/>
    <n v="2"/>
    <n v="16000.77"/>
    <s v="借呗"/>
    <x v="1"/>
    <x v="0"/>
    <x v="0"/>
    <s v="一组"/>
    <s v="杭州一组"/>
    <s v="管理人员"/>
    <n v="8000.3850000000002"/>
    <n v="2020"/>
    <x v="0"/>
  </r>
  <r>
    <x v="24"/>
    <n v="1000000054"/>
    <s v="借呗18期"/>
    <n v="1"/>
    <n v="10000.74"/>
    <s v="借呗"/>
    <x v="2"/>
    <x v="0"/>
    <x v="3"/>
    <s v="一组"/>
    <s v="上海一组"/>
    <s v="普通员工"/>
    <n v="10000.74"/>
    <n v="2020"/>
    <x v="0"/>
  </r>
  <r>
    <x v="24"/>
    <n v="1000000036"/>
    <s v="借呗6期"/>
    <n v="1"/>
    <n v="8000.32"/>
    <s v="借呗"/>
    <x v="1"/>
    <x v="2"/>
    <x v="6"/>
    <s v="三组"/>
    <s v="广州三组"/>
    <s v="管理人员"/>
    <n v="8000.32"/>
    <n v="2020"/>
    <x v="0"/>
  </r>
  <r>
    <x v="24"/>
    <n v="1000000566"/>
    <s v="借呗12期"/>
    <n v="1"/>
    <n v="3000.12"/>
    <s v="借呗"/>
    <x v="0"/>
    <x v="2"/>
    <x v="6"/>
    <s v="三组"/>
    <s v="广州三组"/>
    <s v="普通员工"/>
    <n v="3000.12"/>
    <n v="2020"/>
    <x v="0"/>
  </r>
  <r>
    <x v="25"/>
    <n v="1000000037"/>
    <s v="借呗18期"/>
    <n v="1"/>
    <n v="21999.97"/>
    <s v="借呗"/>
    <x v="2"/>
    <x v="0"/>
    <x v="0"/>
    <s v="二组"/>
    <s v="杭州二组"/>
    <s v="普通员工"/>
    <n v="21999.97"/>
    <n v="2020"/>
    <x v="0"/>
  </r>
  <r>
    <x v="25"/>
    <n v="1000000032"/>
    <s v="借呗18期"/>
    <n v="1"/>
    <n v="20000.71"/>
    <s v="借呗"/>
    <x v="2"/>
    <x v="0"/>
    <x v="1"/>
    <s v="一组"/>
    <s v="苏州一组"/>
    <s v="管理人员"/>
    <n v="20000.71"/>
    <n v="2020"/>
    <x v="0"/>
  </r>
  <r>
    <x v="25"/>
    <n v="1000000029"/>
    <s v="借呗18期"/>
    <n v="1"/>
    <n v="15000.59"/>
    <s v="借呗"/>
    <x v="2"/>
    <x v="0"/>
    <x v="0"/>
    <s v="二组"/>
    <s v="杭州二组"/>
    <s v="普通员工"/>
    <n v="15000.59"/>
    <n v="2020"/>
    <x v="0"/>
  </r>
  <r>
    <x v="25"/>
    <n v="1000000058"/>
    <s v="借呗6期"/>
    <n v="1"/>
    <n v="10000.24"/>
    <s v="借呗"/>
    <x v="1"/>
    <x v="0"/>
    <x v="3"/>
    <s v="二组"/>
    <s v="上海二组"/>
    <s v="普通员工"/>
    <n v="10000.24"/>
    <n v="2020"/>
    <x v="0"/>
  </r>
  <r>
    <x v="25"/>
    <n v="1000000049"/>
    <s v="借呗18期"/>
    <n v="1"/>
    <n v="10000.11"/>
    <s v="借呗"/>
    <x v="2"/>
    <x v="0"/>
    <x v="5"/>
    <s v="一组"/>
    <s v="合肥一组"/>
    <s v="普通员工"/>
    <n v="10000.11"/>
    <n v="2020"/>
    <x v="0"/>
  </r>
  <r>
    <x v="25"/>
    <n v="1000000029"/>
    <s v="借呗6期"/>
    <n v="1"/>
    <n v="4000.38"/>
    <s v="借呗"/>
    <x v="1"/>
    <x v="0"/>
    <x v="0"/>
    <s v="二组"/>
    <s v="杭州二组"/>
    <s v="普通员工"/>
    <n v="4000.38"/>
    <n v="2020"/>
    <x v="0"/>
  </r>
  <r>
    <x v="25"/>
    <n v="1000000032"/>
    <s v="借呗6期"/>
    <n v="1"/>
    <n v="500.73"/>
    <s v="借呗"/>
    <x v="1"/>
    <x v="0"/>
    <x v="1"/>
    <s v="一组"/>
    <s v="苏州一组"/>
    <s v="管理人员"/>
    <n v="500.73"/>
    <n v="2020"/>
    <x v="0"/>
  </r>
  <r>
    <x v="26"/>
    <n v="1000000047"/>
    <s v="借呗18期"/>
    <n v="1"/>
    <n v="20000.68"/>
    <s v="借呗"/>
    <x v="2"/>
    <x v="2"/>
    <x v="6"/>
    <s v="一组"/>
    <s v="广州一组"/>
    <s v="普通员工"/>
    <n v="20000.68"/>
    <n v="2020"/>
    <x v="0"/>
  </r>
  <r>
    <x v="26"/>
    <n v="1000000028"/>
    <s v="借呗12期"/>
    <n v="1"/>
    <n v="2999.95"/>
    <s v="借呗"/>
    <x v="0"/>
    <x v="0"/>
    <x v="0"/>
    <s v="二组"/>
    <s v="杭州二组"/>
    <s v="普通员工"/>
    <n v="2999.95"/>
    <n v="2020"/>
    <x v="0"/>
  </r>
  <r>
    <x v="26"/>
    <n v="1000000031"/>
    <s v="借呗6期"/>
    <n v="1"/>
    <n v="1000.21"/>
    <s v="借呗"/>
    <x v="1"/>
    <x v="0"/>
    <x v="0"/>
    <s v="一组"/>
    <s v="杭州一组"/>
    <s v="管理人员"/>
    <n v="1000.21"/>
    <n v="2020"/>
    <x v="0"/>
  </r>
  <r>
    <x v="27"/>
    <n v="1000000067"/>
    <s v="借呗12期"/>
    <n v="3"/>
    <n v="40000.78"/>
    <s v="借呗"/>
    <x v="0"/>
    <x v="0"/>
    <x v="1"/>
    <s v="二组"/>
    <s v="苏州二组"/>
    <s v="普通员工"/>
    <n v="13333.593333333332"/>
    <n v="2020"/>
    <x v="0"/>
  </r>
  <r>
    <x v="27"/>
    <n v="1000000237"/>
    <s v="借呗12期"/>
    <n v="1"/>
    <n v="17000.43"/>
    <s v="借呗"/>
    <x v="0"/>
    <x v="0"/>
    <x v="5"/>
    <s v="一组"/>
    <s v="合肥一组"/>
    <s v="普通员工"/>
    <n v="17000.43"/>
    <n v="2020"/>
    <x v="0"/>
  </r>
  <r>
    <x v="27"/>
    <n v="1000000029"/>
    <s v="借呗6期"/>
    <n v="1"/>
    <n v="16000.63"/>
    <s v="借呗"/>
    <x v="1"/>
    <x v="0"/>
    <x v="0"/>
    <s v="二组"/>
    <s v="杭州二组"/>
    <s v="普通员工"/>
    <n v="16000.63"/>
    <n v="2020"/>
    <x v="0"/>
  </r>
  <r>
    <x v="27"/>
    <n v="1000000056"/>
    <s v="借呗6期"/>
    <n v="1"/>
    <n v="15000.22"/>
    <s v="借呗"/>
    <x v="1"/>
    <x v="0"/>
    <x v="3"/>
    <s v="一组"/>
    <s v="上海一组"/>
    <s v="管理人员"/>
    <n v="15000.22"/>
    <n v="2020"/>
    <x v="0"/>
  </r>
  <r>
    <x v="27"/>
    <n v="1000000576"/>
    <s v="借呗18期"/>
    <n v="1"/>
    <n v="14000.35"/>
    <s v="借呗"/>
    <x v="2"/>
    <x v="0"/>
    <x v="1"/>
    <s v="三组"/>
    <s v="苏州三组"/>
    <s v="普通员工"/>
    <n v="14000.35"/>
    <n v="2020"/>
    <x v="0"/>
  </r>
  <r>
    <x v="27"/>
    <n v="1000000237"/>
    <s v="借呗18期"/>
    <n v="1"/>
    <n v="13000.36"/>
    <s v="借呗"/>
    <x v="2"/>
    <x v="0"/>
    <x v="5"/>
    <s v="一组"/>
    <s v="合肥一组"/>
    <s v="普通员工"/>
    <n v="13000.36"/>
    <n v="2020"/>
    <x v="0"/>
  </r>
  <r>
    <x v="27"/>
    <n v="1000000067"/>
    <s v="借呗18期"/>
    <n v="1"/>
    <n v="11000.33"/>
    <s v="借呗"/>
    <x v="2"/>
    <x v="0"/>
    <x v="1"/>
    <s v="二组"/>
    <s v="苏州二组"/>
    <s v="普通员工"/>
    <n v="11000.33"/>
    <n v="2020"/>
    <x v="0"/>
  </r>
  <r>
    <x v="27"/>
    <n v="1000000054"/>
    <s v="借呗6期"/>
    <n v="1"/>
    <n v="10000.19"/>
    <s v="借呗"/>
    <x v="1"/>
    <x v="0"/>
    <x v="3"/>
    <s v="一组"/>
    <s v="上海一组"/>
    <s v="普通员工"/>
    <n v="10000.19"/>
    <n v="2020"/>
    <x v="0"/>
  </r>
  <r>
    <x v="27"/>
    <n v="1000000044"/>
    <s v="借呗12期"/>
    <n v="1"/>
    <n v="10000.15"/>
    <s v="借呗"/>
    <x v="0"/>
    <x v="1"/>
    <x v="2"/>
    <s v="三组"/>
    <s v="北京三组"/>
    <s v="管理人员"/>
    <n v="10000.15"/>
    <n v="2020"/>
    <x v="0"/>
  </r>
  <r>
    <x v="27"/>
    <n v="1000000030"/>
    <s v="借呗12期"/>
    <n v="1"/>
    <n v="5000.3999999999996"/>
    <s v="借呗"/>
    <x v="0"/>
    <x v="2"/>
    <x v="6"/>
    <s v="三组"/>
    <s v="广州三组"/>
    <s v="普通员工"/>
    <n v="5000.3999999999996"/>
    <n v="2020"/>
    <x v="0"/>
  </r>
  <r>
    <x v="27"/>
    <n v="1000000057"/>
    <s v="借呗18期"/>
    <n v="1"/>
    <n v="5000.1400000000003"/>
    <s v="借呗"/>
    <x v="2"/>
    <x v="0"/>
    <x v="3"/>
    <s v="二组"/>
    <s v="上海二组"/>
    <s v="普通员工"/>
    <n v="5000.1400000000003"/>
    <n v="2020"/>
    <x v="0"/>
  </r>
  <r>
    <x v="27"/>
    <n v="1000000043"/>
    <s v="借呗12期"/>
    <n v="1"/>
    <n v="3000.1"/>
    <s v="借呗"/>
    <x v="0"/>
    <x v="1"/>
    <x v="4"/>
    <s v="一组"/>
    <s v="成都一组"/>
    <s v="普通员工"/>
    <n v="3000.1"/>
    <n v="2020"/>
    <x v="0"/>
  </r>
  <r>
    <x v="27"/>
    <n v="1000000028"/>
    <s v="借呗6期"/>
    <n v="1"/>
    <n v="2000.06"/>
    <s v="借呗"/>
    <x v="1"/>
    <x v="0"/>
    <x v="0"/>
    <s v="二组"/>
    <s v="杭州二组"/>
    <s v="普通员工"/>
    <n v="2000.06"/>
    <n v="2020"/>
    <x v="0"/>
  </r>
  <r>
    <x v="27"/>
    <n v="1000000044"/>
    <s v="借呗6期"/>
    <n v="1"/>
    <n v="1572.72"/>
    <s v="借呗"/>
    <x v="1"/>
    <x v="1"/>
    <x v="2"/>
    <s v="三组"/>
    <s v="北京三组"/>
    <s v="管理人员"/>
    <n v="1572.72"/>
    <n v="2020"/>
    <x v="0"/>
  </r>
  <r>
    <x v="28"/>
    <n v="1000000237"/>
    <s v="借呗18期"/>
    <n v="2"/>
    <n v="35001.339999999997"/>
    <s v="借呗"/>
    <x v="2"/>
    <x v="0"/>
    <x v="5"/>
    <s v="一组"/>
    <s v="合肥一组"/>
    <s v="普通员工"/>
    <n v="17500.669999999998"/>
    <n v="2020"/>
    <x v="0"/>
  </r>
  <r>
    <x v="28"/>
    <n v="1000000040"/>
    <s v="借呗12期"/>
    <n v="3"/>
    <n v="33500.199999999997"/>
    <s v="借呗"/>
    <x v="0"/>
    <x v="1"/>
    <x v="2"/>
    <s v="四组"/>
    <s v="北京四组"/>
    <s v="管理人员"/>
    <n v="11166.733333333332"/>
    <n v="2020"/>
    <x v="0"/>
  </r>
  <r>
    <x v="28"/>
    <n v="1000000067"/>
    <s v="借呗18期"/>
    <n v="1"/>
    <n v="23000.15"/>
    <s v="借呗"/>
    <x v="2"/>
    <x v="0"/>
    <x v="1"/>
    <s v="二组"/>
    <s v="苏州二组"/>
    <s v="普通员工"/>
    <n v="23000.15"/>
    <n v="2020"/>
    <x v="0"/>
  </r>
  <r>
    <x v="28"/>
    <n v="1000000052"/>
    <s v="借呗12期"/>
    <n v="2"/>
    <n v="20000.84"/>
    <s v="借呗"/>
    <x v="0"/>
    <x v="0"/>
    <x v="3"/>
    <s v="二组"/>
    <s v="上海二组"/>
    <s v="普通员工"/>
    <n v="10000.42"/>
    <n v="2020"/>
    <x v="0"/>
  </r>
  <r>
    <x v="28"/>
    <n v="1000000044"/>
    <s v="借呗6期"/>
    <n v="2"/>
    <n v="20000.78"/>
    <s v="借呗"/>
    <x v="1"/>
    <x v="1"/>
    <x v="2"/>
    <s v="三组"/>
    <s v="北京三组"/>
    <s v="管理人员"/>
    <n v="10000.39"/>
    <n v="2020"/>
    <x v="0"/>
  </r>
  <r>
    <x v="28"/>
    <n v="1000000046"/>
    <s v="借呗6期"/>
    <n v="1"/>
    <n v="18000.689999999999"/>
    <s v="借呗"/>
    <x v="1"/>
    <x v="1"/>
    <x v="4"/>
    <s v="一组"/>
    <s v="成都一组"/>
    <s v="普通员工"/>
    <n v="18000.689999999999"/>
    <n v="2020"/>
    <x v="0"/>
  </r>
  <r>
    <x v="28"/>
    <n v="1000000039"/>
    <s v="借呗12期"/>
    <n v="1"/>
    <n v="10000.73"/>
    <s v="借呗"/>
    <x v="0"/>
    <x v="0"/>
    <x v="1"/>
    <s v="二组"/>
    <s v="苏州二组"/>
    <s v="管理人员"/>
    <n v="10000.73"/>
    <n v="2020"/>
    <x v="0"/>
  </r>
  <r>
    <x v="28"/>
    <n v="1000000039"/>
    <s v="借呗6期"/>
    <n v="1"/>
    <n v="10000.370000000001"/>
    <s v="借呗"/>
    <x v="1"/>
    <x v="0"/>
    <x v="1"/>
    <s v="二组"/>
    <s v="苏州二组"/>
    <s v="管理人员"/>
    <n v="10000.370000000001"/>
    <n v="2020"/>
    <x v="0"/>
  </r>
  <r>
    <x v="28"/>
    <n v="1000000032"/>
    <s v="借呗12期"/>
    <n v="2"/>
    <n v="8330.4600000000009"/>
    <s v="借呗"/>
    <x v="0"/>
    <x v="0"/>
    <x v="1"/>
    <s v="一组"/>
    <s v="苏州一组"/>
    <s v="管理人员"/>
    <n v="4165.2300000000005"/>
    <n v="2020"/>
    <x v="0"/>
  </r>
  <r>
    <x v="28"/>
    <n v="1000000029"/>
    <s v="借呗12期"/>
    <n v="1"/>
    <n v="7999.97"/>
    <s v="借呗"/>
    <x v="0"/>
    <x v="0"/>
    <x v="0"/>
    <s v="二组"/>
    <s v="杭州二组"/>
    <s v="普通员工"/>
    <n v="7999.97"/>
    <n v="2020"/>
    <x v="0"/>
  </r>
  <r>
    <x v="28"/>
    <n v="1000000030"/>
    <s v="借呗12期"/>
    <n v="1"/>
    <n v="6000.22"/>
    <s v="借呗"/>
    <x v="0"/>
    <x v="2"/>
    <x v="6"/>
    <s v="三组"/>
    <s v="广州三组"/>
    <s v="普通员工"/>
    <n v="6000.22"/>
    <n v="2020"/>
    <x v="0"/>
  </r>
  <r>
    <x v="28"/>
    <n v="1000000031"/>
    <s v="借呗6期"/>
    <n v="1"/>
    <n v="2999.93"/>
    <s v="借呗"/>
    <x v="1"/>
    <x v="0"/>
    <x v="0"/>
    <s v="一组"/>
    <s v="杭州一组"/>
    <s v="管理人员"/>
    <n v="2999.93"/>
    <n v="2020"/>
    <x v="0"/>
  </r>
  <r>
    <x v="28"/>
    <n v="1000000052"/>
    <s v="借呗6期"/>
    <n v="1"/>
    <n v="1257.27"/>
    <s v="借呗"/>
    <x v="1"/>
    <x v="0"/>
    <x v="3"/>
    <s v="二组"/>
    <s v="上海二组"/>
    <s v="普通员工"/>
    <n v="1257.27"/>
    <n v="2020"/>
    <x v="0"/>
  </r>
  <r>
    <x v="29"/>
    <n v="1000000029"/>
    <s v="借呗12期"/>
    <n v="3"/>
    <n v="37000.31"/>
    <s v="借呗"/>
    <x v="0"/>
    <x v="0"/>
    <x v="0"/>
    <s v="二组"/>
    <s v="杭州二组"/>
    <s v="普通员工"/>
    <n v="12333.436666666666"/>
    <n v="2020"/>
    <x v="0"/>
  </r>
  <r>
    <x v="29"/>
    <n v="1000001513"/>
    <s v="借呗6期"/>
    <n v="2"/>
    <n v="31000.959999999999"/>
    <s v="借呗"/>
    <x v="1"/>
    <x v="0"/>
    <x v="3"/>
    <s v="二组"/>
    <s v="上海二组"/>
    <s v="普通员工"/>
    <n v="15500.48"/>
    <n v="2020"/>
    <x v="0"/>
  </r>
  <r>
    <x v="29"/>
    <n v="1000000237"/>
    <s v="借呗18期"/>
    <n v="2"/>
    <n v="30000.65"/>
    <s v="借呗"/>
    <x v="2"/>
    <x v="0"/>
    <x v="5"/>
    <s v="一组"/>
    <s v="合肥一组"/>
    <s v="普通员工"/>
    <n v="15000.325000000001"/>
    <n v="2020"/>
    <x v="0"/>
  </r>
  <r>
    <x v="29"/>
    <n v="1000000237"/>
    <s v="借呗12期"/>
    <n v="2"/>
    <n v="20500.87"/>
    <s v="借呗"/>
    <x v="0"/>
    <x v="0"/>
    <x v="5"/>
    <s v="一组"/>
    <s v="合肥一组"/>
    <s v="普通员工"/>
    <n v="10250.434999999999"/>
    <n v="2020"/>
    <x v="0"/>
  </r>
  <r>
    <x v="29"/>
    <n v="1000000045"/>
    <s v="借呗6期"/>
    <n v="1"/>
    <n v="20000.07"/>
    <s v="借呗"/>
    <x v="1"/>
    <x v="2"/>
    <x v="9"/>
    <s v="一组"/>
    <s v="深圳一组"/>
    <s v="普通员工"/>
    <n v="20000.07"/>
    <n v="2020"/>
    <x v="0"/>
  </r>
  <r>
    <x v="29"/>
    <n v="1000000036"/>
    <s v="借呗12期"/>
    <n v="1"/>
    <n v="18000.03"/>
    <s v="借呗"/>
    <x v="0"/>
    <x v="2"/>
    <x v="6"/>
    <s v="三组"/>
    <s v="广州三组"/>
    <s v="管理人员"/>
    <n v="18000.03"/>
    <n v="2020"/>
    <x v="0"/>
  </r>
  <r>
    <x v="29"/>
    <n v="1000000928"/>
    <s v="借呗12期"/>
    <n v="1"/>
    <n v="17000.48"/>
    <s v="借呗"/>
    <x v="0"/>
    <x v="1"/>
    <x v="8"/>
    <s v="一组"/>
    <s v="西安一组"/>
    <s v="普通员工"/>
    <n v="17000.48"/>
    <n v="2020"/>
    <x v="0"/>
  </r>
  <r>
    <x v="29"/>
    <n v="1000000045"/>
    <s v="借呗12期"/>
    <n v="1"/>
    <n v="12000.38"/>
    <s v="借呗"/>
    <x v="0"/>
    <x v="2"/>
    <x v="9"/>
    <s v="一组"/>
    <s v="深圳一组"/>
    <s v="普通员工"/>
    <n v="12000.38"/>
    <n v="2020"/>
    <x v="0"/>
  </r>
  <r>
    <x v="29"/>
    <n v="1000000050"/>
    <s v="借呗18期"/>
    <n v="1"/>
    <n v="11000.73"/>
    <s v="借呗"/>
    <x v="2"/>
    <x v="0"/>
    <x v="5"/>
    <s v="一组"/>
    <s v="合肥一组"/>
    <s v="普通员工"/>
    <n v="11000.73"/>
    <n v="2020"/>
    <x v="0"/>
  </r>
  <r>
    <x v="29"/>
    <n v="1000000040"/>
    <s v="借呗12期"/>
    <n v="1"/>
    <n v="11000.38"/>
    <s v="借呗"/>
    <x v="0"/>
    <x v="1"/>
    <x v="2"/>
    <s v="四组"/>
    <s v="北京四组"/>
    <s v="管理人员"/>
    <n v="11000.38"/>
    <n v="2020"/>
    <x v="0"/>
  </r>
  <r>
    <x v="29"/>
    <n v="1000000068"/>
    <s v="借呗6期"/>
    <n v="1"/>
    <n v="8000.7"/>
    <s v="借呗"/>
    <x v="1"/>
    <x v="1"/>
    <x v="7"/>
    <s v="一组"/>
    <s v="重庆一组"/>
    <s v="管理人员"/>
    <n v="8000.7"/>
    <n v="2020"/>
    <x v="0"/>
  </r>
  <r>
    <x v="29"/>
    <n v="1000000033"/>
    <s v="借呗12期"/>
    <n v="1"/>
    <n v="8000.54"/>
    <s v="借呗"/>
    <x v="0"/>
    <x v="0"/>
    <x v="1"/>
    <s v="一组"/>
    <s v="苏州一组"/>
    <s v="普通员工"/>
    <n v="8000.54"/>
    <n v="2020"/>
    <x v="0"/>
  </r>
  <r>
    <x v="29"/>
    <n v="1000000050"/>
    <s v="借呗12期"/>
    <n v="1"/>
    <n v="5499.98"/>
    <s v="借呗"/>
    <x v="0"/>
    <x v="0"/>
    <x v="5"/>
    <s v="一组"/>
    <s v="合肥一组"/>
    <s v="普通员工"/>
    <n v="5499.98"/>
    <n v="2020"/>
    <x v="0"/>
  </r>
  <r>
    <x v="29"/>
    <n v="1000000566"/>
    <s v="借呗12期"/>
    <n v="1"/>
    <n v="2000.5"/>
    <s v="借呗"/>
    <x v="0"/>
    <x v="2"/>
    <x v="6"/>
    <s v="三组"/>
    <s v="广州三组"/>
    <s v="普通员工"/>
    <n v="2000.5"/>
    <n v="2020"/>
    <x v="0"/>
  </r>
  <r>
    <x v="29"/>
    <n v="1000000044"/>
    <s v="借呗6期"/>
    <n v="1"/>
    <n v="1000.06"/>
    <s v="借呗"/>
    <x v="1"/>
    <x v="1"/>
    <x v="2"/>
    <s v="三组"/>
    <s v="北京三组"/>
    <s v="管理人员"/>
    <n v="1000.06"/>
    <n v="2020"/>
    <x v="0"/>
  </r>
  <r>
    <x v="30"/>
    <n v="1000000036"/>
    <s v="借呗12期"/>
    <n v="2"/>
    <n v="37500.97"/>
    <s v="借呗"/>
    <x v="0"/>
    <x v="2"/>
    <x v="6"/>
    <s v="三组"/>
    <s v="广州三组"/>
    <s v="管理人员"/>
    <n v="18750.485000000001"/>
    <n v="2020"/>
    <x v="1"/>
  </r>
  <r>
    <x v="30"/>
    <n v="1000000237"/>
    <s v="借呗12期"/>
    <n v="3"/>
    <n v="27999.969999999998"/>
    <s v="借呗"/>
    <x v="0"/>
    <x v="0"/>
    <x v="5"/>
    <s v="一组"/>
    <s v="合肥一组"/>
    <s v="普通员工"/>
    <n v="9333.3233333333319"/>
    <n v="2020"/>
    <x v="1"/>
  </r>
  <r>
    <x v="30"/>
    <n v="1000000035"/>
    <s v="借呗18期"/>
    <n v="1"/>
    <n v="25000.01"/>
    <s v="借呗"/>
    <x v="2"/>
    <x v="0"/>
    <x v="1"/>
    <s v="三组"/>
    <s v="苏州三组"/>
    <s v="普通员工"/>
    <n v="25000.01"/>
    <n v="2020"/>
    <x v="1"/>
  </r>
  <r>
    <x v="30"/>
    <n v="1000003926"/>
    <s v="借呗12期"/>
    <n v="1"/>
    <n v="20400.080000000002"/>
    <s v="借呗"/>
    <x v="0"/>
    <x v="2"/>
    <x v="6"/>
    <s v="一组"/>
    <s v="广州一组"/>
    <s v="管理人员"/>
    <n v="20400.080000000002"/>
    <n v="2020"/>
    <x v="1"/>
  </r>
  <r>
    <x v="30"/>
    <n v="1000000031"/>
    <s v="借呗18期"/>
    <n v="1"/>
    <n v="15000.01"/>
    <s v="借呗"/>
    <x v="2"/>
    <x v="0"/>
    <x v="0"/>
    <s v="一组"/>
    <s v="杭州一组"/>
    <s v="管理人员"/>
    <n v="15000.01"/>
    <n v="2020"/>
    <x v="1"/>
  </r>
  <r>
    <x v="30"/>
    <n v="1000000044"/>
    <s v="借呗12期"/>
    <n v="1"/>
    <n v="14000.75"/>
    <s v="借呗"/>
    <x v="0"/>
    <x v="1"/>
    <x v="2"/>
    <s v="三组"/>
    <s v="北京三组"/>
    <s v="管理人员"/>
    <n v="14000.75"/>
    <n v="2020"/>
    <x v="1"/>
  </r>
  <r>
    <x v="30"/>
    <n v="1000000037"/>
    <s v="借呗6期"/>
    <n v="1"/>
    <n v="10000.25"/>
    <s v="借呗"/>
    <x v="1"/>
    <x v="0"/>
    <x v="0"/>
    <s v="二组"/>
    <s v="杭州二组"/>
    <s v="普通员工"/>
    <n v="10000.25"/>
    <n v="2020"/>
    <x v="1"/>
  </r>
  <r>
    <x v="30"/>
    <n v="1000000031"/>
    <s v="借呗12期"/>
    <n v="1"/>
    <n v="7500.19"/>
    <s v="借呗"/>
    <x v="0"/>
    <x v="0"/>
    <x v="0"/>
    <s v="一组"/>
    <s v="杭州一组"/>
    <s v="管理人员"/>
    <n v="7500.19"/>
    <n v="2020"/>
    <x v="1"/>
  </r>
  <r>
    <x v="30"/>
    <n v="1000000566"/>
    <s v="借呗18期"/>
    <n v="1"/>
    <n v="6500.44"/>
    <s v="借呗"/>
    <x v="2"/>
    <x v="2"/>
    <x v="6"/>
    <s v="三组"/>
    <s v="广州三组"/>
    <s v="普通员工"/>
    <n v="6500.44"/>
    <n v="2020"/>
    <x v="1"/>
  </r>
  <r>
    <x v="30"/>
    <n v="1000000039"/>
    <s v="借呗12期"/>
    <n v="1"/>
    <n v="5500.58"/>
    <s v="借呗"/>
    <x v="0"/>
    <x v="0"/>
    <x v="1"/>
    <s v="二组"/>
    <s v="苏州二组"/>
    <s v="管理人员"/>
    <n v="5500.58"/>
    <n v="2020"/>
    <x v="1"/>
  </r>
  <r>
    <x v="30"/>
    <n v="1000000044"/>
    <s v="借呗6期"/>
    <n v="1"/>
    <n v="5499.94"/>
    <s v="借呗"/>
    <x v="1"/>
    <x v="1"/>
    <x v="2"/>
    <s v="三组"/>
    <s v="北京三组"/>
    <s v="管理人员"/>
    <n v="5499.94"/>
    <n v="2020"/>
    <x v="1"/>
  </r>
  <r>
    <x v="30"/>
    <n v="1000004256"/>
    <s v="借呗12期"/>
    <n v="1"/>
    <n v="5000.7700000000004"/>
    <s v="借呗"/>
    <x v="0"/>
    <x v="0"/>
    <x v="5"/>
    <s v="一组"/>
    <s v="合肥一组"/>
    <s v="普通员工"/>
    <n v="5000.7700000000004"/>
    <n v="2020"/>
    <x v="1"/>
  </r>
  <r>
    <x v="30"/>
    <n v="1000000031"/>
    <s v="借呗6期"/>
    <n v="1"/>
    <n v="5000.3900000000003"/>
    <s v="借呗"/>
    <x v="1"/>
    <x v="0"/>
    <x v="0"/>
    <s v="一组"/>
    <s v="杭州一组"/>
    <s v="管理人员"/>
    <n v="5000.3900000000003"/>
    <n v="2020"/>
    <x v="1"/>
  </r>
  <r>
    <x v="30"/>
    <n v="1000000039"/>
    <s v="借呗6期"/>
    <n v="1"/>
    <n v="3500.4"/>
    <s v="借呗"/>
    <x v="1"/>
    <x v="0"/>
    <x v="1"/>
    <s v="二组"/>
    <s v="苏州二组"/>
    <s v="管理人员"/>
    <n v="3500.4"/>
    <n v="2020"/>
    <x v="1"/>
  </r>
  <r>
    <x v="30"/>
    <n v="1000000030"/>
    <s v="借呗6期"/>
    <n v="1"/>
    <n v="1000.1"/>
    <s v="借呗"/>
    <x v="1"/>
    <x v="2"/>
    <x v="6"/>
    <s v="三组"/>
    <s v="广州三组"/>
    <s v="普通员工"/>
    <n v="1000.1"/>
    <n v="2020"/>
    <x v="1"/>
  </r>
  <r>
    <x v="30"/>
    <n v="1000000043"/>
    <s v="借呗12期"/>
    <n v="1"/>
    <n v="731.3"/>
    <s v="借呗"/>
    <x v="0"/>
    <x v="1"/>
    <x v="4"/>
    <s v="一组"/>
    <s v="成都一组"/>
    <s v="普通员工"/>
    <n v="731.3"/>
    <n v="2020"/>
    <x v="1"/>
  </r>
  <r>
    <x v="31"/>
    <n v="1000000031"/>
    <s v="借呗12期"/>
    <n v="3"/>
    <n v="35000.980000000003"/>
    <s v="借呗"/>
    <x v="0"/>
    <x v="0"/>
    <x v="0"/>
    <s v="一组"/>
    <s v="杭州一组"/>
    <s v="管理人员"/>
    <n v="11666.993333333334"/>
    <n v="2020"/>
    <x v="1"/>
  </r>
  <r>
    <x v="31"/>
    <n v="1000000068"/>
    <s v="借呗12期"/>
    <n v="2"/>
    <n v="21000.93"/>
    <s v="借呗"/>
    <x v="0"/>
    <x v="1"/>
    <x v="7"/>
    <s v="一组"/>
    <s v="重庆一组"/>
    <s v="管理人员"/>
    <n v="10500.465"/>
    <n v="2020"/>
    <x v="1"/>
  </r>
  <r>
    <x v="31"/>
    <n v="1000000044"/>
    <s v="借呗6期"/>
    <n v="1"/>
    <n v="18000.740000000002"/>
    <s v="借呗"/>
    <x v="1"/>
    <x v="1"/>
    <x v="2"/>
    <s v="三组"/>
    <s v="北京三组"/>
    <s v="管理人员"/>
    <n v="18000.740000000002"/>
    <n v="2020"/>
    <x v="1"/>
  </r>
  <r>
    <x v="31"/>
    <n v="1000000034"/>
    <s v="借呗18期"/>
    <n v="1"/>
    <n v="17000.73"/>
    <s v="借呗"/>
    <x v="2"/>
    <x v="0"/>
    <x v="1"/>
    <s v="一组"/>
    <s v="苏州一组"/>
    <s v="普通员工"/>
    <n v="17000.73"/>
    <n v="2020"/>
    <x v="1"/>
  </r>
  <r>
    <x v="31"/>
    <n v="1000000928"/>
    <s v="借呗6期"/>
    <n v="1"/>
    <n v="16000.21"/>
    <s v="借呗"/>
    <x v="1"/>
    <x v="1"/>
    <x v="8"/>
    <s v="一组"/>
    <s v="西安一组"/>
    <s v="普通员工"/>
    <n v="16000.21"/>
    <n v="2020"/>
    <x v="1"/>
  </r>
  <r>
    <x v="31"/>
    <n v="1000000040"/>
    <s v="借呗12期"/>
    <n v="2"/>
    <n v="15000.61"/>
    <s v="借呗"/>
    <x v="0"/>
    <x v="1"/>
    <x v="2"/>
    <s v="四组"/>
    <s v="北京四组"/>
    <s v="管理人员"/>
    <n v="7500.3050000000003"/>
    <n v="2020"/>
    <x v="1"/>
  </r>
  <r>
    <x v="31"/>
    <n v="1000000033"/>
    <s v="借呗6期"/>
    <n v="2"/>
    <n v="14501.02"/>
    <s v="借呗"/>
    <x v="1"/>
    <x v="0"/>
    <x v="1"/>
    <s v="一组"/>
    <s v="苏州一组"/>
    <s v="普通员工"/>
    <n v="7250.51"/>
    <n v="2020"/>
    <x v="1"/>
  </r>
  <r>
    <x v="31"/>
    <n v="1000000036"/>
    <s v="借呗6期"/>
    <n v="1"/>
    <n v="13000.21"/>
    <s v="借呗"/>
    <x v="1"/>
    <x v="2"/>
    <x v="6"/>
    <s v="三组"/>
    <s v="广州三组"/>
    <s v="管理人员"/>
    <n v="13000.21"/>
    <n v="2020"/>
    <x v="1"/>
  </r>
  <r>
    <x v="31"/>
    <n v="1000004256"/>
    <s v="借呗18期"/>
    <n v="1"/>
    <n v="10000.709999999999"/>
    <s v="借呗"/>
    <x v="2"/>
    <x v="0"/>
    <x v="5"/>
    <s v="一组"/>
    <s v="合肥一组"/>
    <s v="普通员工"/>
    <n v="10000.709999999999"/>
    <n v="2020"/>
    <x v="1"/>
  </r>
  <r>
    <x v="31"/>
    <n v="1000000029"/>
    <s v="借呗12期"/>
    <n v="1"/>
    <n v="8000.63"/>
    <s v="借呗"/>
    <x v="0"/>
    <x v="0"/>
    <x v="0"/>
    <s v="二组"/>
    <s v="杭州二组"/>
    <s v="普通员工"/>
    <n v="8000.63"/>
    <n v="2020"/>
    <x v="1"/>
  </r>
  <r>
    <x v="31"/>
    <n v="1000000068"/>
    <s v="借呗6期"/>
    <n v="1"/>
    <n v="8000.57"/>
    <s v="借呗"/>
    <x v="1"/>
    <x v="1"/>
    <x v="7"/>
    <s v="一组"/>
    <s v="重庆一组"/>
    <s v="管理人员"/>
    <n v="8000.57"/>
    <n v="2020"/>
    <x v="1"/>
  </r>
  <r>
    <x v="31"/>
    <n v="1000000237"/>
    <s v="借呗18期"/>
    <n v="1"/>
    <n v="8000.27"/>
    <s v="借呗"/>
    <x v="2"/>
    <x v="0"/>
    <x v="5"/>
    <s v="一组"/>
    <s v="合肥一组"/>
    <s v="普通员工"/>
    <n v="8000.27"/>
    <n v="2020"/>
    <x v="1"/>
  </r>
  <r>
    <x v="31"/>
    <n v="1000000032"/>
    <s v="借呗18期"/>
    <n v="1"/>
    <n v="5000.45"/>
    <s v="借呗"/>
    <x v="2"/>
    <x v="0"/>
    <x v="1"/>
    <s v="一组"/>
    <s v="苏州一组"/>
    <s v="管理人员"/>
    <n v="5000.45"/>
    <n v="2020"/>
    <x v="1"/>
  </r>
  <r>
    <x v="31"/>
    <n v="1000003926"/>
    <s v="借呗12期"/>
    <n v="1"/>
    <n v="5000.42"/>
    <s v="借呗"/>
    <x v="0"/>
    <x v="2"/>
    <x v="6"/>
    <s v="一组"/>
    <s v="广州一组"/>
    <s v="管理人员"/>
    <n v="5000.42"/>
    <n v="2020"/>
    <x v="1"/>
  </r>
  <r>
    <x v="31"/>
    <n v="1000000037"/>
    <s v="借呗12期"/>
    <n v="1"/>
    <n v="3000.71"/>
    <s v="借呗"/>
    <x v="0"/>
    <x v="0"/>
    <x v="0"/>
    <s v="二组"/>
    <s v="杭州二组"/>
    <s v="普通员工"/>
    <n v="3000.71"/>
    <n v="2020"/>
    <x v="1"/>
  </r>
  <r>
    <x v="31"/>
    <n v="1000000039"/>
    <s v="借呗6期"/>
    <n v="1"/>
    <n v="1600.38"/>
    <s v="借呗"/>
    <x v="1"/>
    <x v="0"/>
    <x v="1"/>
    <s v="二组"/>
    <s v="苏州二组"/>
    <s v="管理人员"/>
    <n v="1600.38"/>
    <n v="2020"/>
    <x v="1"/>
  </r>
  <r>
    <x v="31"/>
    <n v="1000000056"/>
    <s v="借呗6期"/>
    <n v="1"/>
    <n v="1000.76"/>
    <s v="借呗"/>
    <x v="1"/>
    <x v="0"/>
    <x v="3"/>
    <s v="一组"/>
    <s v="上海一组"/>
    <s v="管理人员"/>
    <n v="1000.76"/>
    <n v="2020"/>
    <x v="1"/>
  </r>
  <r>
    <x v="31"/>
    <n v="1000000045"/>
    <s v="借呗12期"/>
    <n v="1"/>
    <n v="985"/>
    <s v="借呗"/>
    <x v="0"/>
    <x v="2"/>
    <x v="9"/>
    <s v="一组"/>
    <s v="深圳一组"/>
    <s v="普通员工"/>
    <n v="985"/>
    <n v="2020"/>
    <x v="1"/>
  </r>
  <r>
    <x v="32"/>
    <n v="1000000031"/>
    <s v="借呗6期"/>
    <n v="5"/>
    <n v="42232.900000000009"/>
    <s v="借呗"/>
    <x v="1"/>
    <x v="0"/>
    <x v="0"/>
    <s v="一组"/>
    <s v="杭州一组"/>
    <s v="管理人员"/>
    <n v="8446.5800000000017"/>
    <n v="2020"/>
    <x v="1"/>
  </r>
  <r>
    <x v="32"/>
    <n v="1000000576"/>
    <s v="借呗18期"/>
    <n v="2"/>
    <n v="34000.100000000006"/>
    <s v="借呗"/>
    <x v="2"/>
    <x v="0"/>
    <x v="1"/>
    <s v="三组"/>
    <s v="苏州三组"/>
    <s v="普通员工"/>
    <n v="17000.050000000003"/>
    <n v="2020"/>
    <x v="1"/>
  </r>
  <r>
    <x v="32"/>
    <n v="1000000928"/>
    <s v="借呗12期"/>
    <n v="2"/>
    <n v="33000.57"/>
    <s v="借呗"/>
    <x v="0"/>
    <x v="1"/>
    <x v="8"/>
    <s v="一组"/>
    <s v="西安一组"/>
    <s v="普通员工"/>
    <n v="16500.285"/>
    <n v="2020"/>
    <x v="1"/>
  </r>
  <r>
    <x v="32"/>
    <n v="1000000576"/>
    <s v="借呗12期"/>
    <n v="1"/>
    <n v="20000.310000000001"/>
    <s v="借呗"/>
    <x v="0"/>
    <x v="0"/>
    <x v="1"/>
    <s v="三组"/>
    <s v="苏州三组"/>
    <s v="普通员工"/>
    <n v="20000.310000000001"/>
    <n v="2020"/>
    <x v="1"/>
  </r>
  <r>
    <x v="32"/>
    <n v="1000000030"/>
    <s v="借呗6期"/>
    <n v="1"/>
    <n v="19999.990000000002"/>
    <s v="借呗"/>
    <x v="1"/>
    <x v="2"/>
    <x v="6"/>
    <s v="三组"/>
    <s v="广州三组"/>
    <s v="普通员工"/>
    <n v="19999.990000000002"/>
    <n v="2020"/>
    <x v="1"/>
  </r>
  <r>
    <x v="32"/>
    <n v="1000001513"/>
    <s v="借呗12期"/>
    <n v="1"/>
    <n v="16000.33"/>
    <s v="借呗"/>
    <x v="0"/>
    <x v="0"/>
    <x v="3"/>
    <s v="二组"/>
    <s v="上海二组"/>
    <s v="普通员工"/>
    <n v="16000.33"/>
    <n v="2020"/>
    <x v="1"/>
  </r>
  <r>
    <x v="32"/>
    <n v="1000000068"/>
    <s v="借呗12期"/>
    <n v="2"/>
    <n v="15000.9"/>
    <s v="借呗"/>
    <x v="0"/>
    <x v="1"/>
    <x v="7"/>
    <s v="一组"/>
    <s v="重庆一组"/>
    <s v="管理人员"/>
    <n v="7500.45"/>
    <n v="2020"/>
    <x v="1"/>
  </r>
  <r>
    <x v="32"/>
    <n v="1000000566"/>
    <s v="借呗18期"/>
    <n v="1"/>
    <n v="15000.69"/>
    <s v="借呗"/>
    <x v="2"/>
    <x v="2"/>
    <x v="6"/>
    <s v="三组"/>
    <s v="广州三组"/>
    <s v="普通员工"/>
    <n v="15000.69"/>
    <n v="2020"/>
    <x v="1"/>
  </r>
  <r>
    <x v="32"/>
    <n v="1000000044"/>
    <s v="借呗6期"/>
    <n v="1"/>
    <n v="14000.49"/>
    <s v="借呗"/>
    <x v="1"/>
    <x v="1"/>
    <x v="2"/>
    <s v="三组"/>
    <s v="北京三组"/>
    <s v="管理人员"/>
    <n v="14000.49"/>
    <n v="2020"/>
    <x v="1"/>
  </r>
  <r>
    <x v="32"/>
    <n v="1000000040"/>
    <s v="借呗12期"/>
    <n v="1"/>
    <n v="10000.5"/>
    <s v="借呗"/>
    <x v="0"/>
    <x v="1"/>
    <x v="2"/>
    <s v="四组"/>
    <s v="北京四组"/>
    <s v="管理人员"/>
    <n v="10000.5"/>
    <n v="2020"/>
    <x v="1"/>
  </r>
  <r>
    <x v="32"/>
    <n v="1000000032"/>
    <s v="借呗12期"/>
    <n v="1"/>
    <n v="9177.49"/>
    <s v="借呗"/>
    <x v="0"/>
    <x v="0"/>
    <x v="1"/>
    <s v="一组"/>
    <s v="苏州一组"/>
    <s v="管理人员"/>
    <n v="9177.49"/>
    <n v="2020"/>
    <x v="1"/>
  </r>
  <r>
    <x v="32"/>
    <n v="1000000067"/>
    <s v="借呗12期"/>
    <n v="1"/>
    <n v="8000.34"/>
    <s v="借呗"/>
    <x v="0"/>
    <x v="0"/>
    <x v="1"/>
    <s v="二组"/>
    <s v="苏州二组"/>
    <s v="普通员工"/>
    <n v="8000.34"/>
    <n v="2020"/>
    <x v="1"/>
  </r>
  <r>
    <x v="32"/>
    <n v="1000004256"/>
    <s v="借呗18期"/>
    <n v="1"/>
    <n v="6500.32"/>
    <s v="借呗"/>
    <x v="2"/>
    <x v="0"/>
    <x v="5"/>
    <s v="一组"/>
    <s v="合肥一组"/>
    <s v="普通员工"/>
    <n v="6500.32"/>
    <n v="2020"/>
    <x v="1"/>
  </r>
  <r>
    <x v="32"/>
    <n v="1000003926"/>
    <s v="借呗6期"/>
    <n v="1"/>
    <n v="6000.06"/>
    <s v="借呗"/>
    <x v="1"/>
    <x v="2"/>
    <x v="6"/>
    <s v="一组"/>
    <s v="广州一组"/>
    <s v="管理人员"/>
    <n v="6000.06"/>
    <n v="2020"/>
    <x v="1"/>
  </r>
  <r>
    <x v="32"/>
    <n v="1000000036"/>
    <s v="花呗18期"/>
    <n v="1"/>
    <n v="5688.25"/>
    <s v="花呗"/>
    <x v="2"/>
    <x v="2"/>
    <x v="6"/>
    <s v="三组"/>
    <s v="广州三组"/>
    <s v="管理人员"/>
    <n v="5688.25"/>
    <n v="2020"/>
    <x v="1"/>
  </r>
  <r>
    <x v="32"/>
    <n v="1000000040"/>
    <s v="借呗6期"/>
    <n v="1"/>
    <n v="2000.4"/>
    <s v="借呗"/>
    <x v="1"/>
    <x v="1"/>
    <x v="2"/>
    <s v="四组"/>
    <s v="北京四组"/>
    <s v="管理人员"/>
    <n v="2000.4"/>
    <n v="2020"/>
    <x v="1"/>
  </r>
  <r>
    <x v="32"/>
    <n v="1000000032"/>
    <s v="借呗6期"/>
    <n v="1"/>
    <n v="2000.1"/>
    <s v="借呗"/>
    <x v="1"/>
    <x v="0"/>
    <x v="1"/>
    <s v="一组"/>
    <s v="苏州一组"/>
    <s v="管理人员"/>
    <n v="2000.1"/>
    <n v="2020"/>
    <x v="1"/>
  </r>
  <r>
    <x v="32"/>
    <n v="1000000039"/>
    <s v="借呗6期"/>
    <n v="1"/>
    <n v="1400.59"/>
    <s v="借呗"/>
    <x v="1"/>
    <x v="0"/>
    <x v="1"/>
    <s v="二组"/>
    <s v="苏州二组"/>
    <s v="管理人员"/>
    <n v="1400.59"/>
    <n v="2020"/>
    <x v="1"/>
  </r>
  <r>
    <x v="33"/>
    <n v="1000003926"/>
    <s v="借呗12期"/>
    <n v="6"/>
    <n v="87002.18"/>
    <s v="借呗"/>
    <x v="0"/>
    <x v="2"/>
    <x v="6"/>
    <s v="一组"/>
    <s v="广州一组"/>
    <s v="管理人员"/>
    <n v="14500.363333333333"/>
    <n v="2020"/>
    <x v="1"/>
  </r>
  <r>
    <x v="33"/>
    <n v="1000000029"/>
    <s v="借呗12期"/>
    <n v="3"/>
    <n v="36000.870000000003"/>
    <s v="借呗"/>
    <x v="0"/>
    <x v="0"/>
    <x v="0"/>
    <s v="二组"/>
    <s v="杭州二组"/>
    <s v="普通员工"/>
    <n v="12000.29"/>
    <n v="2020"/>
    <x v="1"/>
  </r>
  <r>
    <x v="33"/>
    <n v="1000000056"/>
    <s v="借呗6期"/>
    <n v="2"/>
    <n v="31000.370000000003"/>
    <s v="借呗"/>
    <x v="1"/>
    <x v="0"/>
    <x v="3"/>
    <s v="一组"/>
    <s v="上海一组"/>
    <s v="管理人员"/>
    <n v="15500.184999999999"/>
    <n v="2020"/>
    <x v="1"/>
  </r>
  <r>
    <x v="33"/>
    <n v="1000000054"/>
    <s v="借呗6期"/>
    <n v="2"/>
    <n v="29001.09"/>
    <s v="借呗"/>
    <x v="1"/>
    <x v="0"/>
    <x v="3"/>
    <s v="一组"/>
    <s v="上海一组"/>
    <s v="普通员工"/>
    <n v="14500.545"/>
    <n v="2020"/>
    <x v="1"/>
  </r>
  <r>
    <x v="33"/>
    <n v="1000000057"/>
    <s v="借呗12期"/>
    <n v="2"/>
    <n v="21500.58"/>
    <s v="借呗"/>
    <x v="0"/>
    <x v="0"/>
    <x v="3"/>
    <s v="二组"/>
    <s v="上海二组"/>
    <s v="普通员工"/>
    <n v="10750.29"/>
    <n v="2020"/>
    <x v="1"/>
  </r>
  <r>
    <x v="33"/>
    <n v="1000000067"/>
    <s v="借呗6期"/>
    <n v="2"/>
    <n v="21000.16"/>
    <s v="借呗"/>
    <x v="1"/>
    <x v="0"/>
    <x v="1"/>
    <s v="二组"/>
    <s v="苏州二组"/>
    <s v="普通员工"/>
    <n v="10500.08"/>
    <n v="2020"/>
    <x v="1"/>
  </r>
  <r>
    <x v="33"/>
    <n v="1000000056"/>
    <s v="借呗12期"/>
    <n v="1"/>
    <n v="16000.68"/>
    <s v="借呗"/>
    <x v="0"/>
    <x v="0"/>
    <x v="3"/>
    <s v="一组"/>
    <s v="上海一组"/>
    <s v="管理人员"/>
    <n v="16000.68"/>
    <n v="2020"/>
    <x v="1"/>
  </r>
  <r>
    <x v="33"/>
    <n v="1000000031"/>
    <s v="借呗18期"/>
    <n v="1"/>
    <n v="16000.56"/>
    <s v="借呗"/>
    <x v="2"/>
    <x v="0"/>
    <x v="0"/>
    <s v="一组"/>
    <s v="杭州一组"/>
    <s v="管理人员"/>
    <n v="16000.56"/>
    <n v="2020"/>
    <x v="1"/>
  </r>
  <r>
    <x v="33"/>
    <n v="1000000036"/>
    <s v="借呗12期"/>
    <n v="2"/>
    <n v="16000.17"/>
    <s v="借呗"/>
    <x v="0"/>
    <x v="2"/>
    <x v="6"/>
    <s v="三组"/>
    <s v="广州三组"/>
    <s v="管理人员"/>
    <n v="8000.085"/>
    <n v="2020"/>
    <x v="1"/>
  </r>
  <r>
    <x v="33"/>
    <n v="1000000032"/>
    <s v="借呗12期"/>
    <n v="1"/>
    <n v="15000.49"/>
    <s v="借呗"/>
    <x v="0"/>
    <x v="0"/>
    <x v="1"/>
    <s v="一组"/>
    <s v="苏州一组"/>
    <s v="管理人员"/>
    <n v="15000.49"/>
    <n v="2020"/>
    <x v="1"/>
  </r>
  <r>
    <x v="33"/>
    <n v="1000000028"/>
    <s v="借呗12期"/>
    <n v="1"/>
    <n v="14000.54"/>
    <s v="借呗"/>
    <x v="0"/>
    <x v="0"/>
    <x v="0"/>
    <s v="二组"/>
    <s v="杭州二组"/>
    <s v="普通员工"/>
    <n v="14000.54"/>
    <n v="2020"/>
    <x v="1"/>
  </r>
  <r>
    <x v="33"/>
    <n v="1000000566"/>
    <s v="借呗12期"/>
    <n v="1"/>
    <n v="13000.76"/>
    <s v="借呗"/>
    <x v="0"/>
    <x v="2"/>
    <x v="6"/>
    <s v="三组"/>
    <s v="广州三组"/>
    <s v="普通员工"/>
    <n v="13000.76"/>
    <n v="2020"/>
    <x v="1"/>
  </r>
  <r>
    <x v="33"/>
    <n v="1000001513"/>
    <s v="借呗12期"/>
    <n v="1"/>
    <n v="13000.74"/>
    <s v="借呗"/>
    <x v="0"/>
    <x v="0"/>
    <x v="3"/>
    <s v="二组"/>
    <s v="上海二组"/>
    <s v="普通员工"/>
    <n v="13000.74"/>
    <n v="2020"/>
    <x v="1"/>
  </r>
  <r>
    <x v="33"/>
    <n v="1000000045"/>
    <s v="借呗18期"/>
    <n v="1"/>
    <n v="11000.19"/>
    <s v="借呗"/>
    <x v="2"/>
    <x v="2"/>
    <x v="9"/>
    <s v="一组"/>
    <s v="深圳一组"/>
    <s v="普通员工"/>
    <n v="11000.19"/>
    <n v="2020"/>
    <x v="1"/>
  </r>
  <r>
    <x v="33"/>
    <n v="1000000045"/>
    <s v="借呗12期"/>
    <n v="1"/>
    <n v="10200.65"/>
    <s v="借呗"/>
    <x v="0"/>
    <x v="2"/>
    <x v="9"/>
    <s v="一组"/>
    <s v="深圳一组"/>
    <s v="普通员工"/>
    <n v="10200.65"/>
    <n v="2020"/>
    <x v="1"/>
  </r>
  <r>
    <x v="33"/>
    <n v="1000000576"/>
    <s v="借呗18期"/>
    <n v="1"/>
    <n v="10000.67"/>
    <s v="借呗"/>
    <x v="2"/>
    <x v="0"/>
    <x v="1"/>
    <s v="三组"/>
    <s v="苏州三组"/>
    <s v="普通员工"/>
    <n v="10000.67"/>
    <n v="2020"/>
    <x v="1"/>
  </r>
  <r>
    <x v="33"/>
    <n v="1000000067"/>
    <s v="借呗18期"/>
    <n v="1"/>
    <n v="9999.94"/>
    <s v="借呗"/>
    <x v="2"/>
    <x v="0"/>
    <x v="1"/>
    <s v="二组"/>
    <s v="苏州二组"/>
    <s v="普通员工"/>
    <n v="9999.94"/>
    <n v="2020"/>
    <x v="1"/>
  </r>
  <r>
    <x v="33"/>
    <n v="1000000237"/>
    <s v="借呗18期"/>
    <n v="1"/>
    <n v="6999.98"/>
    <s v="借呗"/>
    <x v="2"/>
    <x v="0"/>
    <x v="5"/>
    <s v="一组"/>
    <s v="合肥一组"/>
    <s v="普通员工"/>
    <n v="6999.98"/>
    <n v="2020"/>
    <x v="1"/>
  </r>
  <r>
    <x v="33"/>
    <n v="1000000031"/>
    <s v="借呗6期"/>
    <n v="1"/>
    <n v="6000.51"/>
    <s v="借呗"/>
    <x v="1"/>
    <x v="0"/>
    <x v="0"/>
    <s v="一组"/>
    <s v="杭州一组"/>
    <s v="管理人员"/>
    <n v="6000.51"/>
    <n v="2020"/>
    <x v="1"/>
  </r>
  <r>
    <x v="33"/>
    <n v="1000000043"/>
    <s v="借呗6期"/>
    <n v="1"/>
    <n v="6000.17"/>
    <s v="借呗"/>
    <x v="1"/>
    <x v="1"/>
    <x v="4"/>
    <s v="一组"/>
    <s v="成都一组"/>
    <s v="普通员工"/>
    <n v="6000.17"/>
    <n v="2020"/>
    <x v="1"/>
  </r>
  <r>
    <x v="33"/>
    <n v="1000000046"/>
    <s v="借呗12期"/>
    <n v="1"/>
    <n v="5000.66"/>
    <s v="借呗"/>
    <x v="0"/>
    <x v="1"/>
    <x v="4"/>
    <s v="一组"/>
    <s v="成都一组"/>
    <s v="普通员工"/>
    <n v="5000.66"/>
    <n v="2020"/>
    <x v="1"/>
  </r>
  <r>
    <x v="33"/>
    <n v="1000000043"/>
    <s v="借呗12期"/>
    <n v="1"/>
    <n v="5000.33"/>
    <s v="借呗"/>
    <x v="0"/>
    <x v="1"/>
    <x v="4"/>
    <s v="一组"/>
    <s v="成都一组"/>
    <s v="普通员工"/>
    <n v="5000.33"/>
    <n v="2020"/>
    <x v="1"/>
  </r>
  <r>
    <x v="33"/>
    <n v="1000000046"/>
    <s v="借呗6期"/>
    <n v="1"/>
    <n v="5000"/>
    <s v="借呗"/>
    <x v="1"/>
    <x v="1"/>
    <x v="4"/>
    <s v="一组"/>
    <s v="成都一组"/>
    <s v="普通员工"/>
    <n v="5000"/>
    <n v="2020"/>
    <x v="1"/>
  </r>
  <r>
    <x v="33"/>
    <n v="1000000040"/>
    <s v="借呗6期"/>
    <n v="2"/>
    <n v="3584.76"/>
    <s v="借呗"/>
    <x v="1"/>
    <x v="1"/>
    <x v="2"/>
    <s v="四组"/>
    <s v="北京四组"/>
    <s v="管理人员"/>
    <n v="1792.38"/>
    <n v="2020"/>
    <x v="1"/>
  </r>
  <r>
    <x v="33"/>
    <n v="1000000031"/>
    <s v="借呗12期"/>
    <n v="1"/>
    <n v="2500.11"/>
    <s v="借呗"/>
    <x v="0"/>
    <x v="0"/>
    <x v="0"/>
    <s v="一组"/>
    <s v="杭州一组"/>
    <s v="管理人员"/>
    <n v="2500.11"/>
    <n v="2020"/>
    <x v="1"/>
  </r>
  <r>
    <x v="33"/>
    <n v="1000000032"/>
    <s v="借呗6期"/>
    <n v="1"/>
    <n v="1800.45"/>
    <s v="借呗"/>
    <x v="1"/>
    <x v="0"/>
    <x v="1"/>
    <s v="一组"/>
    <s v="苏州一组"/>
    <s v="管理人员"/>
    <n v="1800.45"/>
    <n v="2020"/>
    <x v="1"/>
  </r>
  <r>
    <x v="33"/>
    <n v="1000000033"/>
    <s v="借呗6期"/>
    <n v="1"/>
    <n v="1000.53"/>
    <s v="借呗"/>
    <x v="1"/>
    <x v="0"/>
    <x v="1"/>
    <s v="一组"/>
    <s v="苏州一组"/>
    <s v="普通员工"/>
    <n v="1000.53"/>
    <n v="2020"/>
    <x v="1"/>
  </r>
  <r>
    <x v="33"/>
    <n v="1000003926"/>
    <s v="借呗6期"/>
    <n v="1"/>
    <n v="500.27"/>
    <s v="借呗"/>
    <x v="1"/>
    <x v="2"/>
    <x v="6"/>
    <s v="一组"/>
    <s v="广州一组"/>
    <s v="管理人员"/>
    <n v="500.27"/>
    <n v="2020"/>
    <x v="1"/>
  </r>
  <r>
    <x v="34"/>
    <n v="1000003926"/>
    <s v="借呗12期"/>
    <n v="4"/>
    <n v="79001.05"/>
    <s v="借呗"/>
    <x v="0"/>
    <x v="2"/>
    <x v="6"/>
    <s v="一组"/>
    <s v="广州一组"/>
    <s v="管理人员"/>
    <n v="19750.262500000001"/>
    <n v="2020"/>
    <x v="1"/>
  </r>
  <r>
    <x v="34"/>
    <n v="1000003926"/>
    <s v="借呗6期"/>
    <n v="2"/>
    <n v="35000.1"/>
    <s v="借呗"/>
    <x v="1"/>
    <x v="2"/>
    <x v="6"/>
    <s v="一组"/>
    <s v="广州一组"/>
    <s v="管理人员"/>
    <n v="17500.05"/>
    <n v="2020"/>
    <x v="1"/>
  </r>
  <r>
    <x v="34"/>
    <n v="1000000028"/>
    <s v="借呗12期"/>
    <n v="2"/>
    <n v="28500.86"/>
    <s v="借呗"/>
    <x v="0"/>
    <x v="0"/>
    <x v="0"/>
    <s v="二组"/>
    <s v="杭州二组"/>
    <s v="普通员工"/>
    <n v="14250.43"/>
    <n v="2020"/>
    <x v="1"/>
  </r>
  <r>
    <x v="34"/>
    <n v="1000000054"/>
    <s v="借呗12期"/>
    <n v="2"/>
    <n v="26500.720000000001"/>
    <s v="借呗"/>
    <x v="0"/>
    <x v="0"/>
    <x v="3"/>
    <s v="一组"/>
    <s v="上海一组"/>
    <s v="普通员工"/>
    <n v="13250.36"/>
    <n v="2020"/>
    <x v="1"/>
  </r>
  <r>
    <x v="34"/>
    <n v="1000000029"/>
    <s v="借呗6期"/>
    <n v="3"/>
    <n v="24163.48"/>
    <s v="借呗"/>
    <x v="1"/>
    <x v="0"/>
    <x v="0"/>
    <s v="二组"/>
    <s v="杭州二组"/>
    <s v="普通员工"/>
    <n v="8054.4933333333329"/>
    <n v="2020"/>
    <x v="1"/>
  </r>
  <r>
    <x v="34"/>
    <n v="1000000035"/>
    <s v="借呗18期"/>
    <n v="1"/>
    <n v="18000.669999999998"/>
    <s v="借呗"/>
    <x v="2"/>
    <x v="0"/>
    <x v="1"/>
    <s v="三组"/>
    <s v="苏州三组"/>
    <s v="普通员工"/>
    <n v="18000.669999999998"/>
    <n v="2020"/>
    <x v="1"/>
  </r>
  <r>
    <x v="34"/>
    <n v="1000000029"/>
    <s v="借呗12期"/>
    <n v="1"/>
    <n v="17000.62"/>
    <s v="借呗"/>
    <x v="0"/>
    <x v="0"/>
    <x v="0"/>
    <s v="二组"/>
    <s v="杭州二组"/>
    <s v="普通员工"/>
    <n v="17000.62"/>
    <n v="2020"/>
    <x v="1"/>
  </r>
  <r>
    <x v="34"/>
    <n v="1000000928"/>
    <s v="借呗12期"/>
    <n v="1"/>
    <n v="16000.73"/>
    <s v="借呗"/>
    <x v="0"/>
    <x v="1"/>
    <x v="8"/>
    <s v="一组"/>
    <s v="西安一组"/>
    <s v="普通员工"/>
    <n v="16000.73"/>
    <n v="2020"/>
    <x v="1"/>
  </r>
  <r>
    <x v="34"/>
    <n v="1000000566"/>
    <s v="借呗12期"/>
    <n v="2"/>
    <n v="14940.579999999998"/>
    <s v="借呗"/>
    <x v="0"/>
    <x v="2"/>
    <x v="6"/>
    <s v="三组"/>
    <s v="广州三组"/>
    <s v="普通员工"/>
    <n v="7470.2899999999981"/>
    <n v="2020"/>
    <x v="1"/>
  </r>
  <r>
    <x v="34"/>
    <n v="1000000237"/>
    <s v="借呗18期"/>
    <n v="1"/>
    <n v="13000.75"/>
    <s v="借呗"/>
    <x v="2"/>
    <x v="0"/>
    <x v="5"/>
    <s v="一组"/>
    <s v="合肥一组"/>
    <s v="普通员工"/>
    <n v="13000.75"/>
    <n v="2020"/>
    <x v="1"/>
  </r>
  <r>
    <x v="34"/>
    <n v="1000004256"/>
    <s v="借呗18期"/>
    <n v="1"/>
    <n v="12000.66"/>
    <s v="借呗"/>
    <x v="2"/>
    <x v="0"/>
    <x v="5"/>
    <s v="一组"/>
    <s v="合肥一组"/>
    <s v="普通员工"/>
    <n v="12000.66"/>
    <n v="2020"/>
    <x v="1"/>
  </r>
  <r>
    <x v="34"/>
    <n v="1000000068"/>
    <s v="借呗12期"/>
    <n v="1"/>
    <n v="10000.31"/>
    <s v="借呗"/>
    <x v="0"/>
    <x v="1"/>
    <x v="7"/>
    <s v="一组"/>
    <s v="重庆一组"/>
    <s v="管理人员"/>
    <n v="10000.31"/>
    <n v="2020"/>
    <x v="1"/>
  </r>
  <r>
    <x v="34"/>
    <n v="1000000044"/>
    <s v="借呗6期"/>
    <n v="1"/>
    <n v="10000.19"/>
    <s v="借呗"/>
    <x v="1"/>
    <x v="1"/>
    <x v="2"/>
    <s v="三组"/>
    <s v="北京三组"/>
    <s v="管理人员"/>
    <n v="10000.19"/>
    <n v="2020"/>
    <x v="1"/>
  </r>
  <r>
    <x v="34"/>
    <n v="1000000043"/>
    <s v="借呗6期"/>
    <n v="1"/>
    <n v="9000.17"/>
    <s v="借呗"/>
    <x v="1"/>
    <x v="1"/>
    <x v="4"/>
    <s v="一组"/>
    <s v="成都一组"/>
    <s v="普通员工"/>
    <n v="9000.17"/>
    <n v="2020"/>
    <x v="1"/>
  </r>
  <r>
    <x v="34"/>
    <n v="1000000028"/>
    <s v="借呗6期"/>
    <n v="1"/>
    <n v="8000.59"/>
    <s v="借呗"/>
    <x v="1"/>
    <x v="0"/>
    <x v="0"/>
    <s v="二组"/>
    <s v="杭州二组"/>
    <s v="普通员工"/>
    <n v="8000.59"/>
    <n v="2020"/>
    <x v="1"/>
  </r>
  <r>
    <x v="34"/>
    <n v="1000000040"/>
    <s v="借呗12期"/>
    <n v="1"/>
    <n v="8000.18"/>
    <s v="借呗"/>
    <x v="0"/>
    <x v="1"/>
    <x v="2"/>
    <s v="四组"/>
    <s v="北京四组"/>
    <s v="管理人员"/>
    <n v="8000.18"/>
    <n v="2020"/>
    <x v="1"/>
  </r>
  <r>
    <x v="34"/>
    <n v="1000000576"/>
    <s v="借呗12期"/>
    <n v="1"/>
    <n v="7500.11"/>
    <s v="借呗"/>
    <x v="0"/>
    <x v="0"/>
    <x v="1"/>
    <s v="三组"/>
    <s v="苏州三组"/>
    <s v="普通员工"/>
    <n v="7500.11"/>
    <n v="2020"/>
    <x v="1"/>
  </r>
  <r>
    <x v="34"/>
    <n v="1000000057"/>
    <s v="借呗12期"/>
    <n v="1"/>
    <n v="7500.03"/>
    <s v="借呗"/>
    <x v="0"/>
    <x v="0"/>
    <x v="3"/>
    <s v="二组"/>
    <s v="上海二组"/>
    <s v="普通员工"/>
    <n v="7500.03"/>
    <n v="2020"/>
    <x v="1"/>
  </r>
  <r>
    <x v="34"/>
    <n v="1000000029"/>
    <s v="借呗18期"/>
    <n v="1"/>
    <n v="7000.3"/>
    <s v="借呗"/>
    <x v="2"/>
    <x v="0"/>
    <x v="0"/>
    <s v="二组"/>
    <s v="杭州二组"/>
    <s v="普通员工"/>
    <n v="7000.3"/>
    <n v="2020"/>
    <x v="1"/>
  </r>
  <r>
    <x v="34"/>
    <n v="1000000040"/>
    <s v="借呗6期"/>
    <n v="1"/>
    <n v="6000.28"/>
    <s v="借呗"/>
    <x v="1"/>
    <x v="1"/>
    <x v="2"/>
    <s v="四组"/>
    <s v="北京四组"/>
    <s v="管理人员"/>
    <n v="6000.28"/>
    <n v="2020"/>
    <x v="1"/>
  </r>
  <r>
    <x v="34"/>
    <n v="1000000035"/>
    <s v="借呗6期"/>
    <n v="1"/>
    <n v="5499.95"/>
    <s v="借呗"/>
    <x v="1"/>
    <x v="0"/>
    <x v="1"/>
    <s v="三组"/>
    <s v="苏州三组"/>
    <s v="普通员工"/>
    <n v="5499.95"/>
    <n v="2020"/>
    <x v="1"/>
  </r>
  <r>
    <x v="34"/>
    <n v="1000000033"/>
    <s v="借呗6期"/>
    <n v="1"/>
    <n v="3000.68"/>
    <s v="借呗"/>
    <x v="1"/>
    <x v="0"/>
    <x v="1"/>
    <s v="一组"/>
    <s v="苏州一组"/>
    <s v="普通员工"/>
    <n v="3000.68"/>
    <n v="2020"/>
    <x v="1"/>
  </r>
  <r>
    <x v="34"/>
    <n v="1000000037"/>
    <s v="借呗12期"/>
    <n v="1"/>
    <n v="1000.53"/>
    <s v="借呗"/>
    <x v="0"/>
    <x v="0"/>
    <x v="0"/>
    <s v="二组"/>
    <s v="杭州二组"/>
    <s v="普通员工"/>
    <n v="1000.53"/>
    <n v="2020"/>
    <x v="1"/>
  </r>
  <r>
    <x v="35"/>
    <n v="1000003926"/>
    <s v="借呗6期"/>
    <n v="7"/>
    <n v="67502.450000000012"/>
    <s v="借呗"/>
    <x v="1"/>
    <x v="2"/>
    <x v="6"/>
    <s v="一组"/>
    <s v="广州一组"/>
    <s v="管理人员"/>
    <n v="9643.2071428571453"/>
    <n v="2020"/>
    <x v="1"/>
  </r>
  <r>
    <x v="35"/>
    <n v="1000003926"/>
    <s v="借呗12期"/>
    <n v="4"/>
    <n v="65001.06"/>
    <s v="借呗"/>
    <x v="0"/>
    <x v="2"/>
    <x v="6"/>
    <s v="一组"/>
    <s v="广州一组"/>
    <s v="管理人员"/>
    <n v="16250.264999999999"/>
    <n v="2020"/>
    <x v="1"/>
  </r>
  <r>
    <x v="35"/>
    <n v="1000003803"/>
    <s v="借呗6期"/>
    <n v="2"/>
    <n v="29000.620000000003"/>
    <s v="借呗"/>
    <x v="1"/>
    <x v="1"/>
    <x v="2"/>
    <s v="三组"/>
    <s v="北京三组"/>
    <s v="普通员工"/>
    <n v="14500.31"/>
    <n v="2020"/>
    <x v="1"/>
  </r>
  <r>
    <x v="35"/>
    <n v="1000000029"/>
    <s v="借呗18期"/>
    <n v="2"/>
    <n v="25000.739999999998"/>
    <s v="借呗"/>
    <x v="2"/>
    <x v="0"/>
    <x v="0"/>
    <s v="二组"/>
    <s v="杭州二组"/>
    <s v="普通员工"/>
    <n v="12500.37"/>
    <n v="2020"/>
    <x v="1"/>
  </r>
  <r>
    <x v="35"/>
    <n v="1000000032"/>
    <s v="借呗12期"/>
    <n v="1"/>
    <n v="22000.560000000001"/>
    <s v="借呗"/>
    <x v="0"/>
    <x v="0"/>
    <x v="1"/>
    <s v="一组"/>
    <s v="苏州一组"/>
    <s v="管理人员"/>
    <n v="22000.560000000001"/>
    <n v="2020"/>
    <x v="1"/>
  </r>
  <r>
    <x v="35"/>
    <n v="1000000928"/>
    <s v="借呗12期"/>
    <n v="1"/>
    <n v="20000.150000000001"/>
    <s v="借呗"/>
    <x v="0"/>
    <x v="1"/>
    <x v="8"/>
    <s v="一组"/>
    <s v="西安一组"/>
    <s v="普通员工"/>
    <n v="20000.150000000001"/>
    <n v="2020"/>
    <x v="1"/>
  </r>
  <r>
    <x v="35"/>
    <n v="1000000104"/>
    <s v="借呗6期"/>
    <n v="1"/>
    <n v="18000.75"/>
    <s v="借呗"/>
    <x v="1"/>
    <x v="0"/>
    <x v="5"/>
    <s v="一组"/>
    <s v="合肥一组"/>
    <s v="普通员工"/>
    <n v="18000.75"/>
    <n v="2020"/>
    <x v="1"/>
  </r>
  <r>
    <x v="35"/>
    <n v="1000000034"/>
    <s v="借呗6期"/>
    <n v="2"/>
    <n v="17784.98"/>
    <s v="借呗"/>
    <x v="1"/>
    <x v="0"/>
    <x v="1"/>
    <s v="一组"/>
    <s v="苏州一组"/>
    <s v="普通员工"/>
    <n v="8892.49"/>
    <n v="2020"/>
    <x v="1"/>
  </r>
  <r>
    <x v="35"/>
    <n v="1000004256"/>
    <s v="借呗18期"/>
    <n v="2"/>
    <n v="16000.81"/>
    <s v="借呗"/>
    <x v="2"/>
    <x v="0"/>
    <x v="5"/>
    <s v="一组"/>
    <s v="合肥一组"/>
    <s v="普通员工"/>
    <n v="8000.4049999999997"/>
    <n v="2020"/>
    <x v="1"/>
  </r>
  <r>
    <x v="35"/>
    <n v="1000000566"/>
    <s v="借呗12期"/>
    <n v="1"/>
    <n v="15000.4"/>
    <s v="借呗"/>
    <x v="0"/>
    <x v="2"/>
    <x v="6"/>
    <s v="三组"/>
    <s v="广州三组"/>
    <s v="普通员工"/>
    <n v="15000.4"/>
    <n v="2020"/>
    <x v="1"/>
  </r>
  <r>
    <x v="35"/>
    <n v="1000000032"/>
    <s v="借呗6期"/>
    <n v="2"/>
    <n v="14684.43"/>
    <s v="借呗"/>
    <x v="1"/>
    <x v="0"/>
    <x v="1"/>
    <s v="一组"/>
    <s v="苏州一组"/>
    <s v="管理人员"/>
    <n v="7342.2150000000001"/>
    <n v="2020"/>
    <x v="1"/>
  </r>
  <r>
    <x v="35"/>
    <n v="1000000566"/>
    <s v="借呗18期"/>
    <n v="1"/>
    <n v="13000.42"/>
    <s v="借呗"/>
    <x v="2"/>
    <x v="2"/>
    <x v="6"/>
    <s v="三组"/>
    <s v="广州三组"/>
    <s v="普通员工"/>
    <n v="13000.42"/>
    <n v="2020"/>
    <x v="1"/>
  </r>
  <r>
    <x v="35"/>
    <n v="1000000052"/>
    <s v="借呗6期"/>
    <n v="1"/>
    <n v="13000.3"/>
    <s v="借呗"/>
    <x v="1"/>
    <x v="0"/>
    <x v="3"/>
    <s v="二组"/>
    <s v="上海二组"/>
    <s v="普通员工"/>
    <n v="13000.3"/>
    <n v="2020"/>
    <x v="1"/>
  </r>
  <r>
    <x v="35"/>
    <n v="1000000031"/>
    <s v="借呗12期"/>
    <n v="1"/>
    <n v="13000.19"/>
    <s v="借呗"/>
    <x v="0"/>
    <x v="0"/>
    <x v="0"/>
    <s v="一组"/>
    <s v="杭州一组"/>
    <s v="管理人员"/>
    <n v="13000.19"/>
    <n v="2020"/>
    <x v="1"/>
  </r>
  <r>
    <x v="35"/>
    <n v="1000004170"/>
    <s v="借呗12期"/>
    <n v="1"/>
    <n v="12000.51"/>
    <s v="借呗"/>
    <x v="0"/>
    <x v="0"/>
    <x v="3"/>
    <s v="二组"/>
    <s v="上海二组"/>
    <s v="管理人员"/>
    <n v="12000.51"/>
    <n v="2020"/>
    <x v="1"/>
  </r>
  <r>
    <x v="35"/>
    <n v="1000000029"/>
    <s v="借呗6期"/>
    <n v="1"/>
    <n v="11999.95"/>
    <s v="借呗"/>
    <x v="1"/>
    <x v="0"/>
    <x v="0"/>
    <s v="二组"/>
    <s v="杭州二组"/>
    <s v="普通员工"/>
    <n v="11999.95"/>
    <n v="2020"/>
    <x v="1"/>
  </r>
  <r>
    <x v="35"/>
    <n v="1000000068"/>
    <s v="借呗12期"/>
    <n v="1"/>
    <n v="11000.64"/>
    <s v="借呗"/>
    <x v="0"/>
    <x v="1"/>
    <x v="7"/>
    <s v="一组"/>
    <s v="重庆一组"/>
    <s v="管理人员"/>
    <n v="11000.64"/>
    <n v="2020"/>
    <x v="1"/>
  </r>
  <r>
    <x v="35"/>
    <n v="1000000054"/>
    <s v="借呗12期"/>
    <n v="1"/>
    <n v="11000.28"/>
    <s v="借呗"/>
    <x v="0"/>
    <x v="0"/>
    <x v="3"/>
    <s v="一组"/>
    <s v="上海一组"/>
    <s v="普通员工"/>
    <n v="11000.28"/>
    <n v="2020"/>
    <x v="1"/>
  </r>
  <r>
    <x v="35"/>
    <n v="1000000054"/>
    <s v="借呗6期"/>
    <n v="2"/>
    <n v="10001.08"/>
    <s v="借呗"/>
    <x v="1"/>
    <x v="0"/>
    <x v="3"/>
    <s v="一组"/>
    <s v="上海一组"/>
    <s v="普通员工"/>
    <n v="5000.54"/>
    <n v="2020"/>
    <x v="1"/>
  </r>
  <r>
    <x v="35"/>
    <n v="1000000044"/>
    <s v="借呗6期"/>
    <n v="1"/>
    <n v="10000.030000000001"/>
    <s v="借呗"/>
    <x v="1"/>
    <x v="1"/>
    <x v="2"/>
    <s v="三组"/>
    <s v="北京三组"/>
    <s v="管理人员"/>
    <n v="10000.030000000001"/>
    <n v="2020"/>
    <x v="1"/>
  </r>
  <r>
    <x v="35"/>
    <n v="1000001513"/>
    <s v="借呗12期"/>
    <n v="1"/>
    <n v="8000.4"/>
    <s v="借呗"/>
    <x v="0"/>
    <x v="0"/>
    <x v="3"/>
    <s v="二组"/>
    <s v="上海二组"/>
    <s v="普通员工"/>
    <n v="8000.4"/>
    <n v="2020"/>
    <x v="1"/>
  </r>
  <r>
    <x v="35"/>
    <n v="1000000043"/>
    <s v="借呗6期"/>
    <n v="1"/>
    <n v="6000.58"/>
    <s v="借呗"/>
    <x v="1"/>
    <x v="1"/>
    <x v="4"/>
    <s v="一组"/>
    <s v="成都一组"/>
    <s v="普通员工"/>
    <n v="6000.58"/>
    <n v="2020"/>
    <x v="1"/>
  </r>
  <r>
    <x v="35"/>
    <n v="1000000928"/>
    <s v="借呗6期"/>
    <n v="1"/>
    <n v="5500.17"/>
    <s v="借呗"/>
    <x v="1"/>
    <x v="1"/>
    <x v="8"/>
    <s v="一组"/>
    <s v="西安一组"/>
    <s v="普通员工"/>
    <n v="5500.17"/>
    <n v="2020"/>
    <x v="1"/>
  </r>
  <r>
    <x v="35"/>
    <n v="1000000040"/>
    <s v="借呗6期"/>
    <n v="1"/>
    <n v="5000.49"/>
    <s v="借呗"/>
    <x v="1"/>
    <x v="1"/>
    <x v="2"/>
    <s v="四组"/>
    <s v="北京四组"/>
    <s v="管理人员"/>
    <n v="5000.49"/>
    <n v="2020"/>
    <x v="1"/>
  </r>
  <r>
    <x v="35"/>
    <n v="1000000031"/>
    <s v="借呗18期"/>
    <n v="1"/>
    <n v="5000.4799999999996"/>
    <s v="借呗"/>
    <x v="2"/>
    <x v="0"/>
    <x v="0"/>
    <s v="一组"/>
    <s v="杭州一组"/>
    <s v="管理人员"/>
    <n v="5000.4799999999996"/>
    <n v="2020"/>
    <x v="1"/>
  </r>
  <r>
    <x v="35"/>
    <n v="1000000028"/>
    <s v="借呗6期"/>
    <n v="1"/>
    <n v="3000.3"/>
    <s v="借呗"/>
    <x v="1"/>
    <x v="0"/>
    <x v="0"/>
    <s v="二组"/>
    <s v="杭州二组"/>
    <s v="普通员工"/>
    <n v="3000.3"/>
    <n v="2020"/>
    <x v="1"/>
  </r>
  <r>
    <x v="35"/>
    <n v="1000003989"/>
    <s v="花呗6期"/>
    <n v="1"/>
    <n v="2799.04"/>
    <s v="花呗"/>
    <x v="1"/>
    <x v="1"/>
    <x v="2"/>
    <s v="三组"/>
    <s v="北京三组"/>
    <s v="普通员工"/>
    <n v="2799.04"/>
    <n v="2020"/>
    <x v="1"/>
  </r>
  <r>
    <x v="36"/>
    <n v="1000000036"/>
    <s v="借呗12期"/>
    <n v="3"/>
    <n v="46000.800000000003"/>
    <s v="借呗"/>
    <x v="0"/>
    <x v="2"/>
    <x v="6"/>
    <s v="三组"/>
    <s v="广州三组"/>
    <s v="管理人员"/>
    <n v="15333.6"/>
    <n v="2020"/>
    <x v="1"/>
  </r>
  <r>
    <x v="36"/>
    <n v="1000003926"/>
    <s v="借呗6期"/>
    <n v="3"/>
    <n v="39500.870000000003"/>
    <s v="借呗"/>
    <x v="1"/>
    <x v="2"/>
    <x v="6"/>
    <s v="一组"/>
    <s v="广州一组"/>
    <s v="管理人员"/>
    <n v="13166.956666666669"/>
    <n v="2020"/>
    <x v="1"/>
  </r>
  <r>
    <x v="36"/>
    <n v="1000000028"/>
    <s v="借呗12期"/>
    <n v="2"/>
    <n v="36000.99"/>
    <s v="借呗"/>
    <x v="0"/>
    <x v="0"/>
    <x v="0"/>
    <s v="二组"/>
    <s v="杭州二组"/>
    <s v="普通员工"/>
    <n v="18000.494999999999"/>
    <n v="2020"/>
    <x v="1"/>
  </r>
  <r>
    <x v="36"/>
    <n v="1000000566"/>
    <s v="借呗18期"/>
    <n v="3"/>
    <n v="36000.5"/>
    <s v="借呗"/>
    <x v="2"/>
    <x v="2"/>
    <x v="6"/>
    <s v="三组"/>
    <s v="广州三组"/>
    <s v="普通员工"/>
    <n v="12000.166666666666"/>
    <n v="2020"/>
    <x v="1"/>
  </r>
  <r>
    <x v="36"/>
    <n v="1000000057"/>
    <s v="借呗18期"/>
    <n v="1"/>
    <n v="25000.77"/>
    <s v="借呗"/>
    <x v="2"/>
    <x v="0"/>
    <x v="3"/>
    <s v="二组"/>
    <s v="上海二组"/>
    <s v="普通员工"/>
    <n v="25000.77"/>
    <n v="2020"/>
    <x v="1"/>
  </r>
  <r>
    <x v="36"/>
    <n v="1000000056"/>
    <s v="借呗12期"/>
    <n v="1"/>
    <n v="25000.73"/>
    <s v="借呗"/>
    <x v="0"/>
    <x v="0"/>
    <x v="3"/>
    <s v="一组"/>
    <s v="上海一组"/>
    <s v="管理人员"/>
    <n v="25000.73"/>
    <n v="2020"/>
    <x v="1"/>
  </r>
  <r>
    <x v="36"/>
    <n v="1000000034"/>
    <s v="借呗12期"/>
    <n v="1"/>
    <n v="25000.63"/>
    <s v="借呗"/>
    <x v="0"/>
    <x v="0"/>
    <x v="1"/>
    <s v="一组"/>
    <s v="苏州一组"/>
    <s v="普通员工"/>
    <n v="25000.63"/>
    <n v="2020"/>
    <x v="1"/>
  </r>
  <r>
    <x v="36"/>
    <n v="1000000030"/>
    <s v="借呗6期"/>
    <n v="4"/>
    <n v="24948.75"/>
    <s v="借呗"/>
    <x v="1"/>
    <x v="2"/>
    <x v="6"/>
    <s v="三组"/>
    <s v="广州三组"/>
    <s v="普通员工"/>
    <n v="6237.1875"/>
    <n v="2020"/>
    <x v="1"/>
  </r>
  <r>
    <x v="36"/>
    <n v="1000000237"/>
    <s v="借呗18期"/>
    <n v="2"/>
    <n v="21001.010000000002"/>
    <s v="借呗"/>
    <x v="2"/>
    <x v="0"/>
    <x v="5"/>
    <s v="一组"/>
    <s v="合肥一组"/>
    <s v="普通员工"/>
    <n v="10500.504999999999"/>
    <n v="2020"/>
    <x v="1"/>
  </r>
  <r>
    <x v="36"/>
    <n v="1000000031"/>
    <s v="借呗12期"/>
    <n v="3"/>
    <n v="19000.87"/>
    <s v="借呗"/>
    <x v="0"/>
    <x v="0"/>
    <x v="0"/>
    <s v="一组"/>
    <s v="杭州一组"/>
    <s v="管理人员"/>
    <n v="6333.623333333333"/>
    <n v="2020"/>
    <x v="1"/>
  </r>
  <r>
    <x v="36"/>
    <n v="1000000044"/>
    <s v="借呗6期"/>
    <n v="2"/>
    <n v="18000.3"/>
    <s v="借呗"/>
    <x v="1"/>
    <x v="1"/>
    <x v="2"/>
    <s v="三组"/>
    <s v="北京三组"/>
    <s v="管理人员"/>
    <n v="9000.15"/>
    <n v="2020"/>
    <x v="1"/>
  </r>
  <r>
    <x v="36"/>
    <n v="1000003926"/>
    <s v="借呗12期"/>
    <n v="1"/>
    <n v="16000.74"/>
    <s v="借呗"/>
    <x v="0"/>
    <x v="2"/>
    <x v="6"/>
    <s v="一组"/>
    <s v="广州一组"/>
    <s v="管理人员"/>
    <n v="16000.74"/>
    <n v="2020"/>
    <x v="1"/>
  </r>
  <r>
    <x v="36"/>
    <n v="1000000928"/>
    <s v="借呗6期"/>
    <n v="1"/>
    <n v="16000.43"/>
    <s v="借呗"/>
    <x v="1"/>
    <x v="1"/>
    <x v="8"/>
    <s v="一组"/>
    <s v="西安一组"/>
    <s v="普通员工"/>
    <n v="16000.43"/>
    <n v="2020"/>
    <x v="1"/>
  </r>
  <r>
    <x v="36"/>
    <n v="1000003989"/>
    <s v="借呗12期"/>
    <n v="1"/>
    <n v="16000.19"/>
    <s v="借呗"/>
    <x v="0"/>
    <x v="1"/>
    <x v="2"/>
    <s v="三组"/>
    <s v="北京三组"/>
    <s v="普通员工"/>
    <n v="16000.19"/>
    <n v="2020"/>
    <x v="1"/>
  </r>
  <r>
    <x v="36"/>
    <n v="1000000031"/>
    <s v="借呗6期"/>
    <n v="1"/>
    <n v="14999.98"/>
    <s v="借呗"/>
    <x v="1"/>
    <x v="0"/>
    <x v="0"/>
    <s v="一组"/>
    <s v="杭州一组"/>
    <s v="管理人员"/>
    <n v="14999.98"/>
    <n v="2020"/>
    <x v="1"/>
  </r>
  <r>
    <x v="36"/>
    <n v="1000004256"/>
    <s v="借呗18期"/>
    <n v="1"/>
    <n v="14000.46"/>
    <s v="借呗"/>
    <x v="2"/>
    <x v="0"/>
    <x v="5"/>
    <s v="一组"/>
    <s v="合肥一组"/>
    <s v="普通员工"/>
    <n v="14000.46"/>
    <n v="2020"/>
    <x v="1"/>
  </r>
  <r>
    <x v="36"/>
    <n v="1000000057"/>
    <s v="借呗12期"/>
    <n v="1"/>
    <n v="14000.15"/>
    <s v="借呗"/>
    <x v="0"/>
    <x v="0"/>
    <x v="3"/>
    <s v="二组"/>
    <s v="上海二组"/>
    <s v="普通员工"/>
    <n v="14000.15"/>
    <n v="2020"/>
    <x v="1"/>
  </r>
  <r>
    <x v="36"/>
    <n v="1000000029"/>
    <s v="借呗6期"/>
    <n v="1"/>
    <n v="13000.35"/>
    <s v="借呗"/>
    <x v="1"/>
    <x v="0"/>
    <x v="0"/>
    <s v="二组"/>
    <s v="杭州二组"/>
    <s v="普通员工"/>
    <n v="13000.35"/>
    <n v="2020"/>
    <x v="1"/>
  </r>
  <r>
    <x v="36"/>
    <n v="1000000040"/>
    <s v="借呗6期"/>
    <n v="1"/>
    <n v="12000.23"/>
    <s v="借呗"/>
    <x v="1"/>
    <x v="1"/>
    <x v="2"/>
    <s v="四组"/>
    <s v="北京四组"/>
    <s v="管理人员"/>
    <n v="12000.23"/>
    <n v="2020"/>
    <x v="1"/>
  </r>
  <r>
    <x v="36"/>
    <n v="1000000045"/>
    <s v="借呗12期"/>
    <n v="2"/>
    <n v="11500.36"/>
    <s v="借呗"/>
    <x v="0"/>
    <x v="2"/>
    <x v="9"/>
    <s v="一组"/>
    <s v="深圳一组"/>
    <s v="普通员工"/>
    <n v="5750.18"/>
    <n v="2020"/>
    <x v="1"/>
  </r>
  <r>
    <x v="36"/>
    <n v="1000000052"/>
    <s v="借呗12期"/>
    <n v="1"/>
    <n v="10000.5"/>
    <s v="借呗"/>
    <x v="0"/>
    <x v="0"/>
    <x v="3"/>
    <s v="二组"/>
    <s v="上海二组"/>
    <s v="普通员工"/>
    <n v="10000.5"/>
    <n v="2020"/>
    <x v="1"/>
  </r>
  <r>
    <x v="36"/>
    <n v="1000004256"/>
    <s v="借呗12期"/>
    <n v="1"/>
    <n v="7500.22"/>
    <s v="借呗"/>
    <x v="0"/>
    <x v="0"/>
    <x v="5"/>
    <s v="一组"/>
    <s v="合肥一组"/>
    <s v="普通员工"/>
    <n v="7500.22"/>
    <n v="2020"/>
    <x v="1"/>
  </r>
  <r>
    <x v="36"/>
    <n v="1000000046"/>
    <s v="借呗6期"/>
    <n v="1"/>
    <n v="7000.74"/>
    <s v="借呗"/>
    <x v="1"/>
    <x v="1"/>
    <x v="4"/>
    <s v="一组"/>
    <s v="成都一组"/>
    <s v="普通员工"/>
    <n v="7000.74"/>
    <n v="2020"/>
    <x v="1"/>
  </r>
  <r>
    <x v="36"/>
    <n v="1000000104"/>
    <s v="借呗6期"/>
    <n v="1"/>
    <n v="7000.27"/>
    <s v="借呗"/>
    <x v="1"/>
    <x v="0"/>
    <x v="5"/>
    <s v="一组"/>
    <s v="合肥一组"/>
    <s v="普通员工"/>
    <n v="7000.27"/>
    <n v="2020"/>
    <x v="1"/>
  </r>
  <r>
    <x v="36"/>
    <n v="1000000043"/>
    <s v="借呗6期"/>
    <n v="1"/>
    <n v="6500.28"/>
    <s v="借呗"/>
    <x v="1"/>
    <x v="1"/>
    <x v="4"/>
    <s v="一组"/>
    <s v="成都一组"/>
    <s v="普通员工"/>
    <n v="6500.28"/>
    <n v="2020"/>
    <x v="1"/>
  </r>
  <r>
    <x v="36"/>
    <n v="1000000030"/>
    <s v="借呗12期"/>
    <n v="1"/>
    <n v="6500.1"/>
    <s v="借呗"/>
    <x v="0"/>
    <x v="2"/>
    <x v="6"/>
    <s v="三组"/>
    <s v="广州三组"/>
    <s v="普通员工"/>
    <n v="6500.1"/>
    <n v="2020"/>
    <x v="1"/>
  </r>
  <r>
    <x v="36"/>
    <n v="1000000237"/>
    <s v="借呗12期"/>
    <n v="1"/>
    <n v="6000.73"/>
    <s v="借呗"/>
    <x v="0"/>
    <x v="0"/>
    <x v="5"/>
    <s v="一组"/>
    <s v="合肥一组"/>
    <s v="普通员工"/>
    <n v="6000.73"/>
    <n v="2020"/>
    <x v="1"/>
  </r>
  <r>
    <x v="36"/>
    <n v="1000000032"/>
    <s v="借呗6期"/>
    <n v="1"/>
    <n v="6000.51"/>
    <s v="借呗"/>
    <x v="1"/>
    <x v="0"/>
    <x v="1"/>
    <s v="一组"/>
    <s v="苏州一组"/>
    <s v="管理人员"/>
    <n v="6000.51"/>
    <n v="2020"/>
    <x v="1"/>
  </r>
  <r>
    <x v="36"/>
    <n v="1000001513"/>
    <s v="借呗6期"/>
    <n v="1"/>
    <n v="5000.13"/>
    <s v="借呗"/>
    <x v="1"/>
    <x v="0"/>
    <x v="3"/>
    <s v="二组"/>
    <s v="上海二组"/>
    <s v="普通员工"/>
    <n v="5000.13"/>
    <n v="2020"/>
    <x v="1"/>
  </r>
  <r>
    <x v="36"/>
    <n v="1000000052"/>
    <s v="借呗6期"/>
    <n v="1"/>
    <n v="5000.08"/>
    <s v="借呗"/>
    <x v="1"/>
    <x v="0"/>
    <x v="3"/>
    <s v="二组"/>
    <s v="上海二组"/>
    <s v="普通员工"/>
    <n v="5000.08"/>
    <n v="2020"/>
    <x v="1"/>
  </r>
  <r>
    <x v="36"/>
    <n v="1000000034"/>
    <s v="借呗6期"/>
    <n v="1"/>
    <n v="2000.23"/>
    <s v="借呗"/>
    <x v="1"/>
    <x v="0"/>
    <x v="1"/>
    <s v="一组"/>
    <s v="苏州一组"/>
    <s v="普通员工"/>
    <n v="2000.23"/>
    <n v="2020"/>
    <x v="1"/>
  </r>
  <r>
    <x v="36"/>
    <n v="1000000035"/>
    <s v="借呗6期"/>
    <n v="1"/>
    <n v="1507.43"/>
    <s v="借呗"/>
    <x v="1"/>
    <x v="0"/>
    <x v="1"/>
    <s v="三组"/>
    <s v="苏州三组"/>
    <s v="普通员工"/>
    <n v="1507.43"/>
    <n v="2020"/>
    <x v="1"/>
  </r>
  <r>
    <x v="37"/>
    <n v="1000003926"/>
    <s v="借呗6期"/>
    <n v="2"/>
    <n v="31500.329999999998"/>
    <s v="借呗"/>
    <x v="1"/>
    <x v="2"/>
    <x v="6"/>
    <s v="一组"/>
    <s v="广州一组"/>
    <s v="管理人员"/>
    <n v="15750.165000000001"/>
    <n v="2020"/>
    <x v="1"/>
  </r>
  <r>
    <x v="37"/>
    <n v="1000004170"/>
    <s v="借呗12期"/>
    <n v="2"/>
    <n v="29000.61"/>
    <s v="借呗"/>
    <x v="0"/>
    <x v="0"/>
    <x v="3"/>
    <s v="二组"/>
    <s v="上海二组"/>
    <s v="管理人员"/>
    <n v="14500.305"/>
    <n v="2020"/>
    <x v="1"/>
  </r>
  <r>
    <x v="37"/>
    <n v="1000000031"/>
    <s v="借呗18期"/>
    <n v="2"/>
    <n v="28292.559999999998"/>
    <s v="借呗"/>
    <x v="2"/>
    <x v="0"/>
    <x v="0"/>
    <s v="一组"/>
    <s v="杭州一组"/>
    <s v="管理人员"/>
    <n v="14146.28"/>
    <n v="2020"/>
    <x v="1"/>
  </r>
  <r>
    <x v="37"/>
    <n v="1000000034"/>
    <s v="借呗18期"/>
    <n v="1"/>
    <n v="25000.26"/>
    <s v="借呗"/>
    <x v="2"/>
    <x v="0"/>
    <x v="1"/>
    <s v="一组"/>
    <s v="苏州一组"/>
    <s v="普通员工"/>
    <n v="25000.26"/>
    <n v="2020"/>
    <x v="1"/>
  </r>
  <r>
    <x v="37"/>
    <n v="1000000068"/>
    <s v="借呗12期"/>
    <n v="2"/>
    <n v="22001.08"/>
    <s v="借呗"/>
    <x v="0"/>
    <x v="1"/>
    <x v="7"/>
    <s v="一组"/>
    <s v="重庆一组"/>
    <s v="管理人员"/>
    <n v="11000.54"/>
    <n v="2020"/>
    <x v="1"/>
  </r>
  <r>
    <x v="37"/>
    <n v="1000000033"/>
    <s v="借呗6期"/>
    <n v="2"/>
    <n v="21300.82"/>
    <s v="借呗"/>
    <x v="1"/>
    <x v="0"/>
    <x v="1"/>
    <s v="一组"/>
    <s v="苏州一组"/>
    <s v="普通员工"/>
    <n v="10650.41"/>
    <n v="2020"/>
    <x v="1"/>
  </r>
  <r>
    <x v="37"/>
    <n v="1000000054"/>
    <s v="借呗18期"/>
    <n v="1"/>
    <n v="20000.09"/>
    <s v="借呗"/>
    <x v="2"/>
    <x v="0"/>
    <x v="3"/>
    <s v="一组"/>
    <s v="上海一组"/>
    <s v="普通员工"/>
    <n v="20000.09"/>
    <n v="2020"/>
    <x v="1"/>
  </r>
  <r>
    <x v="37"/>
    <n v="1000000040"/>
    <s v="借呗6期"/>
    <n v="1"/>
    <n v="20000.05"/>
    <s v="借呗"/>
    <x v="1"/>
    <x v="1"/>
    <x v="2"/>
    <s v="四组"/>
    <s v="北京四组"/>
    <s v="管理人员"/>
    <n v="20000.05"/>
    <n v="2020"/>
    <x v="1"/>
  </r>
  <r>
    <x v="37"/>
    <n v="1000000030"/>
    <s v="借呗6期"/>
    <n v="1"/>
    <n v="20000.03"/>
    <s v="借呗"/>
    <x v="1"/>
    <x v="2"/>
    <x v="6"/>
    <s v="三组"/>
    <s v="广州三组"/>
    <s v="普通员工"/>
    <n v="20000.03"/>
    <n v="2020"/>
    <x v="1"/>
  </r>
  <r>
    <x v="37"/>
    <n v="1000000045"/>
    <s v="借呗18期"/>
    <n v="1"/>
    <n v="19999.98"/>
    <s v="借呗"/>
    <x v="2"/>
    <x v="2"/>
    <x v="9"/>
    <s v="一组"/>
    <s v="深圳一组"/>
    <s v="普通员工"/>
    <n v="19999.98"/>
    <n v="2020"/>
    <x v="1"/>
  </r>
  <r>
    <x v="37"/>
    <n v="1000004256"/>
    <s v="借呗18期"/>
    <n v="1"/>
    <n v="18000.099999999999"/>
    <s v="借呗"/>
    <x v="2"/>
    <x v="0"/>
    <x v="5"/>
    <s v="一组"/>
    <s v="合肥一组"/>
    <s v="普通员工"/>
    <n v="18000.099999999999"/>
    <n v="2020"/>
    <x v="1"/>
  </r>
  <r>
    <x v="37"/>
    <n v="1000000928"/>
    <s v="借呗6期"/>
    <n v="1"/>
    <n v="16000.74"/>
    <s v="借呗"/>
    <x v="1"/>
    <x v="1"/>
    <x v="8"/>
    <s v="一组"/>
    <s v="西安一组"/>
    <s v="普通员工"/>
    <n v="16000.74"/>
    <n v="2020"/>
    <x v="1"/>
  </r>
  <r>
    <x v="37"/>
    <n v="1000000039"/>
    <s v="借呗12期"/>
    <n v="1"/>
    <n v="16000.66"/>
    <s v="借呗"/>
    <x v="0"/>
    <x v="0"/>
    <x v="1"/>
    <s v="二组"/>
    <s v="苏州二组"/>
    <s v="管理人员"/>
    <n v="16000.66"/>
    <n v="2020"/>
    <x v="1"/>
  </r>
  <r>
    <x v="37"/>
    <n v="1000000036"/>
    <s v="借呗12期"/>
    <n v="1"/>
    <n v="15000.6"/>
    <s v="借呗"/>
    <x v="0"/>
    <x v="2"/>
    <x v="6"/>
    <s v="三组"/>
    <s v="广州三组"/>
    <s v="管理人员"/>
    <n v="15000.6"/>
    <n v="2020"/>
    <x v="1"/>
  </r>
  <r>
    <x v="37"/>
    <n v="1000000035"/>
    <s v="借呗12期"/>
    <n v="1"/>
    <n v="15000.44"/>
    <s v="借呗"/>
    <x v="0"/>
    <x v="0"/>
    <x v="1"/>
    <s v="三组"/>
    <s v="苏州三组"/>
    <s v="普通员工"/>
    <n v="15000.44"/>
    <n v="2020"/>
    <x v="1"/>
  </r>
  <r>
    <x v="37"/>
    <n v="1000000050"/>
    <s v="借呗12期"/>
    <n v="1"/>
    <n v="13000.65"/>
    <s v="借呗"/>
    <x v="0"/>
    <x v="0"/>
    <x v="5"/>
    <s v="一组"/>
    <s v="合肥一组"/>
    <s v="普通员工"/>
    <n v="13000.65"/>
    <n v="2020"/>
    <x v="1"/>
  </r>
  <r>
    <x v="37"/>
    <n v="1000000052"/>
    <s v="借呗6期"/>
    <n v="1"/>
    <n v="13000.57"/>
    <s v="借呗"/>
    <x v="1"/>
    <x v="0"/>
    <x v="3"/>
    <s v="二组"/>
    <s v="上海二组"/>
    <s v="普通员工"/>
    <n v="13000.57"/>
    <n v="2020"/>
    <x v="1"/>
  </r>
  <r>
    <x v="37"/>
    <n v="1000000028"/>
    <s v="借呗12期"/>
    <n v="1"/>
    <n v="12000.29"/>
    <s v="借呗"/>
    <x v="0"/>
    <x v="0"/>
    <x v="0"/>
    <s v="二组"/>
    <s v="杭州二组"/>
    <s v="普通员工"/>
    <n v="12000.29"/>
    <n v="2020"/>
    <x v="1"/>
  </r>
  <r>
    <x v="37"/>
    <n v="1000000056"/>
    <s v="借呗12期"/>
    <n v="1"/>
    <n v="12000.05"/>
    <s v="借呗"/>
    <x v="0"/>
    <x v="0"/>
    <x v="3"/>
    <s v="一组"/>
    <s v="上海一组"/>
    <s v="管理人员"/>
    <n v="12000.05"/>
    <n v="2020"/>
    <x v="1"/>
  </r>
  <r>
    <x v="37"/>
    <n v="1000000566"/>
    <s v="借呗6期"/>
    <n v="1"/>
    <n v="10000.48"/>
    <s v="借呗"/>
    <x v="1"/>
    <x v="2"/>
    <x v="6"/>
    <s v="三组"/>
    <s v="广州三组"/>
    <s v="普通员工"/>
    <n v="10000.48"/>
    <n v="2020"/>
    <x v="1"/>
  </r>
  <r>
    <x v="37"/>
    <n v="1000000044"/>
    <s v="借呗6期"/>
    <n v="1"/>
    <n v="10000.450000000001"/>
    <s v="借呗"/>
    <x v="1"/>
    <x v="1"/>
    <x v="2"/>
    <s v="三组"/>
    <s v="北京三组"/>
    <s v="管理人员"/>
    <n v="10000.450000000001"/>
    <n v="2020"/>
    <x v="1"/>
  </r>
  <r>
    <x v="37"/>
    <n v="1000003926"/>
    <s v="借呗12期"/>
    <n v="1"/>
    <n v="9999.94"/>
    <s v="借呗"/>
    <x v="0"/>
    <x v="2"/>
    <x v="6"/>
    <s v="一组"/>
    <s v="广州一组"/>
    <s v="管理人员"/>
    <n v="9999.94"/>
    <n v="2020"/>
    <x v="1"/>
  </r>
  <r>
    <x v="37"/>
    <n v="1000000237"/>
    <s v="借呗18期"/>
    <n v="1"/>
    <n v="9500.02"/>
    <s v="借呗"/>
    <x v="2"/>
    <x v="0"/>
    <x v="5"/>
    <s v="一组"/>
    <s v="合肥一组"/>
    <s v="普通员工"/>
    <n v="9500.02"/>
    <n v="2020"/>
    <x v="1"/>
  </r>
  <r>
    <x v="37"/>
    <n v="1000000029"/>
    <s v="借呗18期"/>
    <n v="2"/>
    <n v="9484.26"/>
    <s v="借呗"/>
    <x v="2"/>
    <x v="0"/>
    <x v="0"/>
    <s v="二组"/>
    <s v="杭州二组"/>
    <s v="普通员工"/>
    <n v="4742.13"/>
    <n v="2020"/>
    <x v="1"/>
  </r>
  <r>
    <x v="37"/>
    <n v="1000000044"/>
    <s v="借呗12期"/>
    <n v="1"/>
    <n v="8000.76"/>
    <s v="借呗"/>
    <x v="0"/>
    <x v="1"/>
    <x v="2"/>
    <s v="三组"/>
    <s v="北京三组"/>
    <s v="管理人员"/>
    <n v="8000.76"/>
    <n v="2020"/>
    <x v="1"/>
  </r>
  <r>
    <x v="37"/>
    <n v="1000000576"/>
    <s v="借呗12期"/>
    <n v="1"/>
    <n v="8000.52"/>
    <s v="借呗"/>
    <x v="0"/>
    <x v="0"/>
    <x v="1"/>
    <s v="三组"/>
    <s v="苏州三组"/>
    <s v="普通员工"/>
    <n v="8000.52"/>
    <n v="2020"/>
    <x v="1"/>
  </r>
  <r>
    <x v="37"/>
    <n v="1000000056"/>
    <s v="借呗6期"/>
    <n v="1"/>
    <n v="8000.43"/>
    <s v="借呗"/>
    <x v="1"/>
    <x v="0"/>
    <x v="3"/>
    <s v="一组"/>
    <s v="上海一组"/>
    <s v="管理人员"/>
    <n v="8000.43"/>
    <n v="2020"/>
    <x v="1"/>
  </r>
  <r>
    <x v="37"/>
    <n v="1000000036"/>
    <s v="借呗6期"/>
    <n v="2"/>
    <n v="7200.87"/>
    <s v="借呗"/>
    <x v="1"/>
    <x v="2"/>
    <x v="6"/>
    <s v="三组"/>
    <s v="广州三组"/>
    <s v="管理人员"/>
    <n v="3600.4349999999999"/>
    <n v="2020"/>
    <x v="1"/>
  </r>
  <r>
    <x v="37"/>
    <n v="1000000068"/>
    <s v="借呗18期"/>
    <n v="1"/>
    <n v="6000.49"/>
    <s v="借呗"/>
    <x v="2"/>
    <x v="1"/>
    <x v="7"/>
    <s v="一组"/>
    <s v="重庆一组"/>
    <s v="管理人员"/>
    <n v="6000.49"/>
    <n v="2020"/>
    <x v="1"/>
  </r>
  <r>
    <x v="37"/>
    <n v="1000000041"/>
    <s v="借呗12期"/>
    <n v="1"/>
    <n v="6000.46"/>
    <s v="借呗"/>
    <x v="0"/>
    <x v="1"/>
    <x v="2"/>
    <s v="四组"/>
    <s v="北京四组"/>
    <s v="普通员工"/>
    <n v="6000.46"/>
    <n v="2020"/>
    <x v="1"/>
  </r>
  <r>
    <x v="37"/>
    <n v="1000001513"/>
    <s v="借呗12期"/>
    <n v="1"/>
    <n v="5500.43"/>
    <s v="借呗"/>
    <x v="0"/>
    <x v="0"/>
    <x v="3"/>
    <s v="二组"/>
    <s v="上海二组"/>
    <s v="普通员工"/>
    <n v="5500.43"/>
    <n v="2020"/>
    <x v="1"/>
  </r>
  <r>
    <x v="37"/>
    <n v="1000000566"/>
    <s v="借呗18期"/>
    <n v="1"/>
    <n v="4670.46"/>
    <s v="借呗"/>
    <x v="2"/>
    <x v="2"/>
    <x v="6"/>
    <s v="三组"/>
    <s v="广州三组"/>
    <s v="普通员工"/>
    <n v="4670.46"/>
    <n v="2020"/>
    <x v="1"/>
  </r>
  <r>
    <x v="37"/>
    <n v="1000000039"/>
    <s v="借呗6期"/>
    <n v="1"/>
    <n v="3163.57"/>
    <s v="借呗"/>
    <x v="1"/>
    <x v="0"/>
    <x v="1"/>
    <s v="二组"/>
    <s v="苏州二组"/>
    <s v="管理人员"/>
    <n v="3163.57"/>
    <n v="2020"/>
    <x v="1"/>
  </r>
  <r>
    <x v="37"/>
    <n v="1000000057"/>
    <s v="借呗18期"/>
    <n v="1"/>
    <n v="3000.13"/>
    <s v="借呗"/>
    <x v="2"/>
    <x v="0"/>
    <x v="3"/>
    <s v="二组"/>
    <s v="上海二组"/>
    <s v="普通员工"/>
    <n v="3000.13"/>
    <n v="2020"/>
    <x v="1"/>
  </r>
  <r>
    <x v="37"/>
    <n v="1000000067"/>
    <s v="借呗6期"/>
    <n v="1"/>
    <n v="2400.69"/>
    <s v="借呗"/>
    <x v="1"/>
    <x v="0"/>
    <x v="1"/>
    <s v="二组"/>
    <s v="苏州二组"/>
    <s v="普通员工"/>
    <n v="2400.69"/>
    <n v="2020"/>
    <x v="1"/>
  </r>
  <r>
    <x v="37"/>
    <n v="1000000576"/>
    <s v="借呗6期"/>
    <n v="2"/>
    <n v="2217.38"/>
    <s v="借呗"/>
    <x v="1"/>
    <x v="0"/>
    <x v="1"/>
    <s v="三组"/>
    <s v="苏州三组"/>
    <s v="普通员工"/>
    <n v="1108.69"/>
    <n v="2020"/>
    <x v="1"/>
  </r>
  <r>
    <x v="37"/>
    <n v="1000000043"/>
    <s v="借呗6期"/>
    <n v="1"/>
    <n v="1185.98"/>
    <s v="借呗"/>
    <x v="1"/>
    <x v="1"/>
    <x v="4"/>
    <s v="一组"/>
    <s v="成都一组"/>
    <s v="普通员工"/>
    <n v="1185.98"/>
    <n v="2020"/>
    <x v="1"/>
  </r>
  <r>
    <x v="37"/>
    <n v="1000000029"/>
    <s v="借呗6期"/>
    <n v="1"/>
    <n v="782.52"/>
    <s v="借呗"/>
    <x v="1"/>
    <x v="0"/>
    <x v="0"/>
    <s v="二组"/>
    <s v="杭州二组"/>
    <s v="普通员工"/>
    <n v="782.52"/>
    <n v="2020"/>
    <x v="1"/>
  </r>
  <r>
    <x v="37"/>
    <n v="1000000041"/>
    <s v="借呗6期"/>
    <n v="1"/>
    <n v="600.15"/>
    <s v="借呗"/>
    <x v="1"/>
    <x v="1"/>
    <x v="2"/>
    <s v="四组"/>
    <s v="北京四组"/>
    <s v="普通员工"/>
    <n v="600.15"/>
    <n v="2020"/>
    <x v="1"/>
  </r>
  <r>
    <x v="37"/>
    <n v="1000000032"/>
    <s v="借呗6期"/>
    <n v="1"/>
    <n v="500.72"/>
    <s v="借呗"/>
    <x v="1"/>
    <x v="0"/>
    <x v="1"/>
    <s v="一组"/>
    <s v="苏州一组"/>
    <s v="管理人员"/>
    <n v="500.72"/>
    <n v="2020"/>
    <x v="1"/>
  </r>
  <r>
    <x v="38"/>
    <n v="1000000031"/>
    <s v="借呗6期"/>
    <n v="4"/>
    <n v="42001.41"/>
    <s v="借呗"/>
    <x v="1"/>
    <x v="0"/>
    <x v="0"/>
    <s v="一组"/>
    <s v="杭州一组"/>
    <s v="管理人员"/>
    <n v="10500.352500000001"/>
    <n v="2020"/>
    <x v="1"/>
  </r>
  <r>
    <x v="38"/>
    <n v="1000000237"/>
    <s v="借呗18期"/>
    <n v="3"/>
    <n v="40001.1"/>
    <s v="借呗"/>
    <x v="2"/>
    <x v="0"/>
    <x v="5"/>
    <s v="一组"/>
    <s v="合肥一组"/>
    <s v="普通员工"/>
    <n v="13333.7"/>
    <n v="2020"/>
    <x v="1"/>
  </r>
  <r>
    <x v="38"/>
    <n v="1000000045"/>
    <s v="借呗6期"/>
    <n v="2"/>
    <n v="40000.78"/>
    <s v="借呗"/>
    <x v="1"/>
    <x v="2"/>
    <x v="9"/>
    <s v="一组"/>
    <s v="深圳一组"/>
    <s v="普通员工"/>
    <n v="20000.39"/>
    <n v="2020"/>
    <x v="1"/>
  </r>
  <r>
    <x v="38"/>
    <n v="1000000028"/>
    <s v="借呗12期"/>
    <n v="2"/>
    <n v="38000.759999999995"/>
    <s v="借呗"/>
    <x v="0"/>
    <x v="0"/>
    <x v="0"/>
    <s v="二组"/>
    <s v="杭州二组"/>
    <s v="普通员工"/>
    <n v="19000.379999999997"/>
    <n v="2020"/>
    <x v="1"/>
  </r>
  <r>
    <x v="38"/>
    <n v="1000003926"/>
    <s v="借呗6期"/>
    <n v="2"/>
    <n v="35001.07"/>
    <s v="借呗"/>
    <x v="1"/>
    <x v="2"/>
    <x v="6"/>
    <s v="一组"/>
    <s v="广州一组"/>
    <s v="管理人员"/>
    <n v="17500.535"/>
    <n v="2020"/>
    <x v="1"/>
  </r>
  <r>
    <x v="38"/>
    <n v="1000000928"/>
    <s v="借呗12期"/>
    <n v="3"/>
    <n v="33500.81"/>
    <s v="借呗"/>
    <x v="0"/>
    <x v="1"/>
    <x v="8"/>
    <s v="一组"/>
    <s v="西安一组"/>
    <s v="普通员工"/>
    <n v="11166.936666666666"/>
    <n v="2020"/>
    <x v="1"/>
  </r>
  <r>
    <x v="38"/>
    <n v="1000000030"/>
    <s v="借呗12期"/>
    <n v="3"/>
    <n v="31001.83"/>
    <s v="借呗"/>
    <x v="0"/>
    <x v="2"/>
    <x v="6"/>
    <s v="三组"/>
    <s v="广州三组"/>
    <s v="普通员工"/>
    <n v="10333.943333333336"/>
    <n v="2020"/>
    <x v="1"/>
  </r>
  <r>
    <x v="38"/>
    <n v="1000001513"/>
    <s v="借呗12期"/>
    <n v="2"/>
    <n v="30000.83"/>
    <s v="借呗"/>
    <x v="0"/>
    <x v="0"/>
    <x v="3"/>
    <s v="二组"/>
    <s v="上海二组"/>
    <s v="普通员工"/>
    <n v="15000.415000000001"/>
    <n v="2020"/>
    <x v="1"/>
  </r>
  <r>
    <x v="38"/>
    <n v="1000000036"/>
    <s v="借呗6期"/>
    <n v="4"/>
    <n v="29135.489999999998"/>
    <s v="借呗"/>
    <x v="1"/>
    <x v="2"/>
    <x v="6"/>
    <s v="三组"/>
    <s v="广州三组"/>
    <s v="管理人员"/>
    <n v="7283.8725000000004"/>
    <n v="2020"/>
    <x v="1"/>
  </r>
  <r>
    <x v="38"/>
    <n v="1000003926"/>
    <s v="借呗12期"/>
    <n v="3"/>
    <n v="26500.250000000004"/>
    <s v="借呗"/>
    <x v="0"/>
    <x v="2"/>
    <x v="6"/>
    <s v="一组"/>
    <s v="广州一组"/>
    <s v="管理人员"/>
    <n v="8833.4166666666679"/>
    <n v="2020"/>
    <x v="1"/>
  </r>
  <r>
    <x v="38"/>
    <n v="1000004170"/>
    <s v="借呗12期"/>
    <n v="1"/>
    <n v="25000.67"/>
    <s v="借呗"/>
    <x v="0"/>
    <x v="0"/>
    <x v="3"/>
    <s v="二组"/>
    <s v="上海二组"/>
    <s v="管理人员"/>
    <n v="25000.67"/>
    <n v="2020"/>
    <x v="1"/>
  </r>
  <r>
    <x v="38"/>
    <n v="1000000036"/>
    <s v="借呗12期"/>
    <n v="2"/>
    <n v="20001.059999999998"/>
    <s v="借呗"/>
    <x v="0"/>
    <x v="2"/>
    <x v="6"/>
    <s v="三组"/>
    <s v="广州三组"/>
    <s v="管理人员"/>
    <n v="10000.530000000001"/>
    <n v="2020"/>
    <x v="1"/>
  </r>
  <r>
    <x v="38"/>
    <n v="1000000054"/>
    <s v="借呗18期"/>
    <n v="1"/>
    <n v="20000.21"/>
    <s v="借呗"/>
    <x v="2"/>
    <x v="0"/>
    <x v="3"/>
    <s v="一组"/>
    <s v="上海一组"/>
    <s v="普通员工"/>
    <n v="20000.21"/>
    <n v="2020"/>
    <x v="1"/>
  </r>
  <r>
    <x v="38"/>
    <n v="1000000068"/>
    <s v="借呗18期"/>
    <n v="1"/>
    <n v="20000.060000000001"/>
    <s v="借呗"/>
    <x v="2"/>
    <x v="1"/>
    <x v="7"/>
    <s v="一组"/>
    <s v="重庆一组"/>
    <s v="管理人员"/>
    <n v="20000.060000000001"/>
    <n v="2020"/>
    <x v="1"/>
  </r>
  <r>
    <x v="38"/>
    <n v="1000000029"/>
    <s v="借呗6期"/>
    <n v="2"/>
    <n v="19200.740000000002"/>
    <s v="借呗"/>
    <x v="1"/>
    <x v="0"/>
    <x v="0"/>
    <s v="二组"/>
    <s v="杭州二组"/>
    <s v="普通员工"/>
    <n v="9600.3700000000008"/>
    <n v="2020"/>
    <x v="1"/>
  </r>
  <r>
    <x v="38"/>
    <n v="1000000040"/>
    <s v="借呗12期"/>
    <n v="1"/>
    <n v="17000.240000000002"/>
    <s v="借呗"/>
    <x v="0"/>
    <x v="1"/>
    <x v="2"/>
    <s v="四组"/>
    <s v="北京四组"/>
    <s v="管理人员"/>
    <n v="17000.240000000002"/>
    <n v="2020"/>
    <x v="1"/>
  </r>
  <r>
    <x v="38"/>
    <n v="1000000067"/>
    <s v="借呗12期"/>
    <n v="1"/>
    <n v="15000.11"/>
    <s v="借呗"/>
    <x v="0"/>
    <x v="0"/>
    <x v="1"/>
    <s v="二组"/>
    <s v="苏州二组"/>
    <s v="普通员工"/>
    <n v="15000.11"/>
    <n v="2020"/>
    <x v="1"/>
  </r>
  <r>
    <x v="38"/>
    <n v="1000000056"/>
    <s v="借呗6期"/>
    <n v="2"/>
    <n v="12001.19"/>
    <s v="借呗"/>
    <x v="1"/>
    <x v="0"/>
    <x v="3"/>
    <s v="一组"/>
    <s v="上海一组"/>
    <s v="管理人员"/>
    <n v="6000.5950000000003"/>
    <n v="2020"/>
    <x v="1"/>
  </r>
  <r>
    <x v="38"/>
    <n v="1000000928"/>
    <s v="借呗6期"/>
    <n v="1"/>
    <n v="10000.549999999999"/>
    <s v="借呗"/>
    <x v="1"/>
    <x v="1"/>
    <x v="8"/>
    <s v="一组"/>
    <s v="西安一组"/>
    <s v="普通员工"/>
    <n v="10000.549999999999"/>
    <n v="2020"/>
    <x v="1"/>
  </r>
  <r>
    <x v="38"/>
    <n v="1000000039"/>
    <s v="借呗12期"/>
    <n v="1"/>
    <n v="10000.42"/>
    <s v="借呗"/>
    <x v="0"/>
    <x v="0"/>
    <x v="1"/>
    <s v="二组"/>
    <s v="苏州二组"/>
    <s v="管理人员"/>
    <n v="10000.42"/>
    <n v="2020"/>
    <x v="1"/>
  </r>
  <r>
    <x v="38"/>
    <n v="1000000045"/>
    <s v="借呗12期"/>
    <n v="1"/>
    <n v="7500.63"/>
    <s v="借呗"/>
    <x v="0"/>
    <x v="2"/>
    <x v="9"/>
    <s v="一组"/>
    <s v="深圳一组"/>
    <s v="普通员工"/>
    <n v="7500.63"/>
    <n v="2020"/>
    <x v="1"/>
  </r>
  <r>
    <x v="38"/>
    <n v="1000000044"/>
    <s v="借呗6期"/>
    <n v="1"/>
    <n v="7000.66"/>
    <s v="借呗"/>
    <x v="1"/>
    <x v="1"/>
    <x v="2"/>
    <s v="三组"/>
    <s v="北京三组"/>
    <s v="管理人员"/>
    <n v="7000.66"/>
    <n v="2020"/>
    <x v="1"/>
  </r>
  <r>
    <x v="38"/>
    <n v="1000000041"/>
    <s v="借呗6期"/>
    <n v="1"/>
    <n v="7000.33"/>
    <s v="借呗"/>
    <x v="1"/>
    <x v="1"/>
    <x v="2"/>
    <s v="四组"/>
    <s v="北京四组"/>
    <s v="普通员工"/>
    <n v="7000.33"/>
    <n v="2020"/>
    <x v="1"/>
  </r>
  <r>
    <x v="38"/>
    <n v="1000000566"/>
    <s v="借呗12期"/>
    <n v="1"/>
    <n v="7000.16"/>
    <s v="借呗"/>
    <x v="0"/>
    <x v="2"/>
    <x v="6"/>
    <s v="三组"/>
    <s v="广州三组"/>
    <s v="普通员工"/>
    <n v="7000.16"/>
    <n v="2020"/>
    <x v="1"/>
  </r>
  <r>
    <x v="38"/>
    <n v="1000000032"/>
    <s v="借呗12期"/>
    <n v="1"/>
    <n v="6500.66"/>
    <s v="借呗"/>
    <x v="0"/>
    <x v="0"/>
    <x v="1"/>
    <s v="一组"/>
    <s v="苏州一组"/>
    <s v="管理人员"/>
    <n v="6500.66"/>
    <n v="2020"/>
    <x v="1"/>
  </r>
  <r>
    <x v="38"/>
    <n v="1000000031"/>
    <s v="借呗12期"/>
    <n v="1"/>
    <n v="6000.66"/>
    <s v="借呗"/>
    <x v="0"/>
    <x v="0"/>
    <x v="0"/>
    <s v="一组"/>
    <s v="杭州一组"/>
    <s v="管理人员"/>
    <n v="6000.66"/>
    <n v="2020"/>
    <x v="1"/>
  </r>
  <r>
    <x v="38"/>
    <n v="1000000046"/>
    <s v="借呗6期"/>
    <n v="1"/>
    <n v="6000.5"/>
    <s v="借呗"/>
    <x v="1"/>
    <x v="1"/>
    <x v="4"/>
    <s v="一组"/>
    <s v="成都一组"/>
    <s v="普通员工"/>
    <n v="6000.5"/>
    <n v="2020"/>
    <x v="1"/>
  </r>
  <r>
    <x v="38"/>
    <n v="1000000050"/>
    <s v="借呗18期"/>
    <n v="1"/>
    <n v="5000.71"/>
    <s v="借呗"/>
    <x v="2"/>
    <x v="0"/>
    <x v="5"/>
    <s v="一组"/>
    <s v="合肥一组"/>
    <s v="普通员工"/>
    <n v="5000.71"/>
    <n v="2020"/>
    <x v="1"/>
  </r>
  <r>
    <x v="38"/>
    <n v="1000000054"/>
    <s v="借呗12期"/>
    <n v="1"/>
    <n v="5000.5600000000004"/>
    <s v="借呗"/>
    <x v="0"/>
    <x v="0"/>
    <x v="3"/>
    <s v="一组"/>
    <s v="上海一组"/>
    <s v="普通员工"/>
    <n v="5000.5600000000004"/>
    <n v="2020"/>
    <x v="1"/>
  </r>
  <r>
    <x v="38"/>
    <n v="1000000034"/>
    <s v="借呗12期"/>
    <n v="1"/>
    <n v="5000.43"/>
    <s v="借呗"/>
    <x v="0"/>
    <x v="0"/>
    <x v="1"/>
    <s v="一组"/>
    <s v="苏州一组"/>
    <s v="普通员工"/>
    <n v="5000.43"/>
    <n v="2020"/>
    <x v="1"/>
  </r>
  <r>
    <x v="38"/>
    <n v="1000000032"/>
    <s v="借呗18期"/>
    <n v="1"/>
    <n v="3500.23"/>
    <s v="借呗"/>
    <x v="2"/>
    <x v="0"/>
    <x v="1"/>
    <s v="一组"/>
    <s v="苏州一组"/>
    <s v="管理人员"/>
    <n v="3500.23"/>
    <n v="2020"/>
    <x v="1"/>
  </r>
  <r>
    <x v="38"/>
    <n v="1000000028"/>
    <s v="借呗6期"/>
    <n v="2"/>
    <n v="2500.15"/>
    <s v="借呗"/>
    <x v="1"/>
    <x v="0"/>
    <x v="0"/>
    <s v="二组"/>
    <s v="杭州二组"/>
    <s v="普通员工"/>
    <n v="1250.075"/>
    <n v="2020"/>
    <x v="1"/>
  </r>
  <r>
    <x v="38"/>
    <n v="1000000049"/>
    <s v="借呗6期"/>
    <n v="1"/>
    <n v="1484.54"/>
    <s v="借呗"/>
    <x v="1"/>
    <x v="0"/>
    <x v="5"/>
    <s v="一组"/>
    <s v="合肥一组"/>
    <s v="普通员工"/>
    <n v="1484.54"/>
    <n v="2020"/>
    <x v="1"/>
  </r>
  <r>
    <x v="38"/>
    <n v="1000000030"/>
    <s v="借呗6期"/>
    <n v="1"/>
    <n v="1000.06"/>
    <s v="借呗"/>
    <x v="1"/>
    <x v="2"/>
    <x v="6"/>
    <s v="三组"/>
    <s v="广州三组"/>
    <s v="普通员工"/>
    <n v="1000.06"/>
    <n v="2020"/>
    <x v="1"/>
  </r>
  <r>
    <x v="39"/>
    <n v="1000000031"/>
    <s v="借呗6期"/>
    <n v="4"/>
    <n v="30501.7"/>
    <s v="借呗"/>
    <x v="1"/>
    <x v="0"/>
    <x v="0"/>
    <s v="一组"/>
    <s v="杭州一组"/>
    <s v="管理人员"/>
    <n v="7625.4250000000002"/>
    <n v="2020"/>
    <x v="1"/>
  </r>
  <r>
    <x v="39"/>
    <n v="1000004170"/>
    <s v="借呗12期"/>
    <n v="2"/>
    <n v="30000.61"/>
    <s v="借呗"/>
    <x v="0"/>
    <x v="0"/>
    <x v="3"/>
    <s v="二组"/>
    <s v="上海二组"/>
    <s v="管理人员"/>
    <n v="15000.305"/>
    <n v="2020"/>
    <x v="1"/>
  </r>
  <r>
    <x v="39"/>
    <n v="1000000036"/>
    <s v="借呗6期"/>
    <n v="4"/>
    <n v="28286.68"/>
    <s v="借呗"/>
    <x v="1"/>
    <x v="2"/>
    <x v="6"/>
    <s v="三组"/>
    <s v="广州三组"/>
    <s v="管理人员"/>
    <n v="7071.67"/>
    <n v="2020"/>
    <x v="1"/>
  </r>
  <r>
    <x v="39"/>
    <n v="1000000028"/>
    <s v="借呗12期"/>
    <n v="2"/>
    <n v="28000.489999999998"/>
    <s v="借呗"/>
    <x v="0"/>
    <x v="0"/>
    <x v="0"/>
    <s v="二组"/>
    <s v="杭州二组"/>
    <s v="普通员工"/>
    <n v="14000.245000000001"/>
    <n v="2020"/>
    <x v="1"/>
  </r>
  <r>
    <x v="39"/>
    <n v="1000000054"/>
    <s v="借呗18期"/>
    <n v="1"/>
    <n v="25000.720000000001"/>
    <s v="借呗"/>
    <x v="2"/>
    <x v="0"/>
    <x v="3"/>
    <s v="一组"/>
    <s v="上海一组"/>
    <s v="普通员工"/>
    <n v="25000.720000000001"/>
    <n v="2020"/>
    <x v="1"/>
  </r>
  <r>
    <x v="39"/>
    <n v="1000000028"/>
    <s v="借呗6期"/>
    <n v="2"/>
    <n v="23000.47"/>
    <s v="借呗"/>
    <x v="1"/>
    <x v="0"/>
    <x v="0"/>
    <s v="二组"/>
    <s v="杭州二组"/>
    <s v="普通员工"/>
    <n v="11500.235000000001"/>
    <n v="2020"/>
    <x v="1"/>
  </r>
  <r>
    <x v="39"/>
    <n v="1000000056"/>
    <s v="借呗12期"/>
    <n v="2"/>
    <n v="22000.79"/>
    <s v="借呗"/>
    <x v="0"/>
    <x v="0"/>
    <x v="3"/>
    <s v="一组"/>
    <s v="上海一组"/>
    <s v="管理人员"/>
    <n v="11000.395"/>
    <n v="2020"/>
    <x v="1"/>
  </r>
  <r>
    <x v="39"/>
    <n v="1000000928"/>
    <s v="借呗6期"/>
    <n v="1"/>
    <n v="20000.47"/>
    <s v="借呗"/>
    <x v="1"/>
    <x v="1"/>
    <x v="8"/>
    <s v="一组"/>
    <s v="西安一组"/>
    <s v="普通员工"/>
    <n v="20000.47"/>
    <n v="2020"/>
    <x v="1"/>
  </r>
  <r>
    <x v="39"/>
    <n v="1000000043"/>
    <s v="借呗18期"/>
    <n v="1"/>
    <n v="20000.2"/>
    <s v="借呗"/>
    <x v="2"/>
    <x v="1"/>
    <x v="4"/>
    <s v="一组"/>
    <s v="成都一组"/>
    <s v="普通员工"/>
    <n v="20000.2"/>
    <n v="2020"/>
    <x v="1"/>
  </r>
  <r>
    <x v="39"/>
    <n v="1000003926"/>
    <s v="借呗12期"/>
    <n v="1"/>
    <n v="18000.62"/>
    <s v="借呗"/>
    <x v="0"/>
    <x v="2"/>
    <x v="6"/>
    <s v="一组"/>
    <s v="广州一组"/>
    <s v="管理人员"/>
    <n v="18000.62"/>
    <n v="2020"/>
    <x v="1"/>
  </r>
  <r>
    <x v="39"/>
    <n v="1000000050"/>
    <s v="借呗18期"/>
    <n v="1"/>
    <n v="17000.3"/>
    <s v="借呗"/>
    <x v="2"/>
    <x v="0"/>
    <x v="5"/>
    <s v="一组"/>
    <s v="合肥一组"/>
    <s v="普通员工"/>
    <n v="17000.3"/>
    <n v="2020"/>
    <x v="1"/>
  </r>
  <r>
    <x v="39"/>
    <n v="1000000566"/>
    <s v="借呗18期"/>
    <n v="1"/>
    <n v="17000.18"/>
    <s v="借呗"/>
    <x v="2"/>
    <x v="2"/>
    <x v="6"/>
    <s v="三组"/>
    <s v="广州三组"/>
    <s v="普通员工"/>
    <n v="17000.18"/>
    <n v="2020"/>
    <x v="1"/>
  </r>
  <r>
    <x v="39"/>
    <n v="1000000040"/>
    <s v="借呗12期"/>
    <n v="2"/>
    <n v="15000.439999999999"/>
    <s v="借呗"/>
    <x v="0"/>
    <x v="1"/>
    <x v="2"/>
    <s v="四组"/>
    <s v="北京四组"/>
    <s v="管理人员"/>
    <n v="7500.22"/>
    <n v="2020"/>
    <x v="1"/>
  </r>
  <r>
    <x v="39"/>
    <n v="1000000029"/>
    <s v="借呗6期"/>
    <n v="3"/>
    <n v="14201.67"/>
    <s v="借呗"/>
    <x v="1"/>
    <x v="0"/>
    <x v="0"/>
    <s v="二组"/>
    <s v="杭州二组"/>
    <s v="普通员工"/>
    <n v="4733.8900000000003"/>
    <n v="2020"/>
    <x v="1"/>
  </r>
  <r>
    <x v="39"/>
    <n v="1000000067"/>
    <s v="借呗6期"/>
    <n v="1"/>
    <n v="14000.28"/>
    <s v="借呗"/>
    <x v="1"/>
    <x v="0"/>
    <x v="1"/>
    <s v="二组"/>
    <s v="苏州二组"/>
    <s v="普通员工"/>
    <n v="14000.28"/>
    <n v="2020"/>
    <x v="1"/>
  </r>
  <r>
    <x v="39"/>
    <n v="1000000237"/>
    <s v="借呗18期"/>
    <n v="1"/>
    <n v="14000.07"/>
    <s v="借呗"/>
    <x v="2"/>
    <x v="0"/>
    <x v="5"/>
    <s v="一组"/>
    <s v="合肥一组"/>
    <s v="普通员工"/>
    <n v="14000.07"/>
    <n v="2020"/>
    <x v="1"/>
  </r>
  <r>
    <x v="39"/>
    <n v="1000004256"/>
    <s v="借呗18期"/>
    <n v="1"/>
    <n v="11000.18"/>
    <s v="借呗"/>
    <x v="2"/>
    <x v="0"/>
    <x v="5"/>
    <s v="一组"/>
    <s v="合肥一组"/>
    <s v="普通员工"/>
    <n v="11000.18"/>
    <n v="2020"/>
    <x v="1"/>
  </r>
  <r>
    <x v="39"/>
    <n v="1000000034"/>
    <s v="借呗6期"/>
    <n v="1"/>
    <n v="10000.4"/>
    <s v="借呗"/>
    <x v="1"/>
    <x v="0"/>
    <x v="1"/>
    <s v="一组"/>
    <s v="苏州一组"/>
    <s v="普通员工"/>
    <n v="10000.4"/>
    <n v="2020"/>
    <x v="1"/>
  </r>
  <r>
    <x v="39"/>
    <n v="1000000104"/>
    <s v="借呗6期"/>
    <n v="1"/>
    <n v="10000.01"/>
    <s v="借呗"/>
    <x v="1"/>
    <x v="0"/>
    <x v="5"/>
    <s v="一组"/>
    <s v="合肥一组"/>
    <s v="普通员工"/>
    <n v="10000.01"/>
    <n v="2020"/>
    <x v="1"/>
  </r>
  <r>
    <x v="39"/>
    <n v="1000004256"/>
    <s v="借呗12期"/>
    <n v="1"/>
    <n v="9000.4699999999993"/>
    <s v="借呗"/>
    <x v="0"/>
    <x v="0"/>
    <x v="5"/>
    <s v="一组"/>
    <s v="合肥一组"/>
    <s v="普通员工"/>
    <n v="9000.4699999999993"/>
    <n v="2020"/>
    <x v="1"/>
  </r>
  <r>
    <x v="39"/>
    <n v="1000000056"/>
    <s v="借呗18期"/>
    <n v="1"/>
    <n v="9000.14"/>
    <s v="借呗"/>
    <x v="2"/>
    <x v="0"/>
    <x v="3"/>
    <s v="一组"/>
    <s v="上海一组"/>
    <s v="管理人员"/>
    <n v="9000.14"/>
    <n v="2020"/>
    <x v="1"/>
  </r>
  <r>
    <x v="39"/>
    <n v="1000000566"/>
    <s v="借呗6期"/>
    <n v="1"/>
    <n v="6000.09"/>
    <s v="借呗"/>
    <x v="1"/>
    <x v="2"/>
    <x v="6"/>
    <s v="三组"/>
    <s v="广州三组"/>
    <s v="普通员工"/>
    <n v="6000.09"/>
    <n v="2020"/>
    <x v="1"/>
  </r>
  <r>
    <x v="39"/>
    <n v="1000000036"/>
    <s v="借呗12期"/>
    <n v="1"/>
    <n v="5610.05"/>
    <s v="借呗"/>
    <x v="0"/>
    <x v="2"/>
    <x v="6"/>
    <s v="三组"/>
    <s v="广州三组"/>
    <s v="管理人员"/>
    <n v="5610.05"/>
    <n v="2020"/>
    <x v="1"/>
  </r>
  <r>
    <x v="39"/>
    <n v="1000000033"/>
    <s v="借呗12期"/>
    <n v="1"/>
    <n v="5500.76"/>
    <s v="借呗"/>
    <x v="0"/>
    <x v="0"/>
    <x v="1"/>
    <s v="一组"/>
    <s v="苏州一组"/>
    <s v="普通员工"/>
    <n v="5500.76"/>
    <n v="2020"/>
    <x v="1"/>
  </r>
  <r>
    <x v="39"/>
    <n v="1000000043"/>
    <s v="借呗6期"/>
    <n v="1"/>
    <n v="5000.55"/>
    <s v="借呗"/>
    <x v="1"/>
    <x v="1"/>
    <x v="4"/>
    <s v="一组"/>
    <s v="成都一组"/>
    <s v="普通员工"/>
    <n v="5000.55"/>
    <n v="2020"/>
    <x v="1"/>
  </r>
  <r>
    <x v="39"/>
    <n v="1000000033"/>
    <s v="借呗18期"/>
    <n v="1"/>
    <n v="3000.66"/>
    <s v="借呗"/>
    <x v="2"/>
    <x v="0"/>
    <x v="1"/>
    <s v="一组"/>
    <s v="苏州一组"/>
    <s v="普通员工"/>
    <n v="3000.66"/>
    <n v="2020"/>
    <x v="1"/>
  </r>
  <r>
    <x v="39"/>
    <n v="1000000037"/>
    <s v="借呗12期"/>
    <n v="1"/>
    <n v="1000.03"/>
    <s v="借呗"/>
    <x v="0"/>
    <x v="0"/>
    <x v="0"/>
    <s v="二组"/>
    <s v="杭州二组"/>
    <s v="普通员工"/>
    <n v="1000.03"/>
    <n v="2020"/>
    <x v="1"/>
  </r>
  <r>
    <x v="39"/>
    <n v="1000000031"/>
    <s v="借呗12期"/>
    <n v="1"/>
    <n v="982.1"/>
    <s v="借呗"/>
    <x v="0"/>
    <x v="0"/>
    <x v="0"/>
    <s v="一组"/>
    <s v="杭州一组"/>
    <s v="管理人员"/>
    <n v="982.1"/>
    <n v="2020"/>
    <x v="1"/>
  </r>
  <r>
    <x v="39"/>
    <n v="1000000032"/>
    <s v="借呗12期"/>
    <n v="1"/>
    <n v="785.08"/>
    <s v="借呗"/>
    <x v="0"/>
    <x v="0"/>
    <x v="1"/>
    <s v="一组"/>
    <s v="苏州一组"/>
    <s v="管理人员"/>
    <n v="785.08"/>
    <n v="2020"/>
    <x v="1"/>
  </r>
  <r>
    <x v="40"/>
    <n v="1000000035"/>
    <s v="借呗18期"/>
    <n v="2"/>
    <n v="42000.710000000006"/>
    <s v="借呗"/>
    <x v="2"/>
    <x v="0"/>
    <x v="1"/>
    <s v="三组"/>
    <s v="苏州三组"/>
    <s v="普通员工"/>
    <n v="21000.355000000003"/>
    <n v="2020"/>
    <x v="1"/>
  </r>
  <r>
    <x v="40"/>
    <n v="1000004256"/>
    <s v="借呗18期"/>
    <n v="3"/>
    <n v="29001.739999999998"/>
    <s v="借呗"/>
    <x v="2"/>
    <x v="0"/>
    <x v="5"/>
    <s v="一组"/>
    <s v="合肥一组"/>
    <s v="普通员工"/>
    <n v="9667.246666666666"/>
    <n v="2020"/>
    <x v="1"/>
  </r>
  <r>
    <x v="40"/>
    <n v="1000004170"/>
    <s v="借呗6期"/>
    <n v="2"/>
    <n v="28001.47"/>
    <s v="借呗"/>
    <x v="1"/>
    <x v="0"/>
    <x v="3"/>
    <s v="二组"/>
    <s v="上海二组"/>
    <s v="管理人员"/>
    <n v="14000.735000000001"/>
    <n v="2020"/>
    <x v="1"/>
  </r>
  <r>
    <x v="40"/>
    <n v="1000003926"/>
    <s v="借呗6期"/>
    <n v="3"/>
    <n v="28000.79"/>
    <s v="借呗"/>
    <x v="1"/>
    <x v="2"/>
    <x v="6"/>
    <s v="一组"/>
    <s v="广州一组"/>
    <s v="管理人员"/>
    <n v="9333.5966666666664"/>
    <n v="2020"/>
    <x v="1"/>
  </r>
  <r>
    <x v="40"/>
    <n v="1000000030"/>
    <s v="借呗6期"/>
    <n v="2"/>
    <n v="27000.7"/>
    <s v="借呗"/>
    <x v="1"/>
    <x v="2"/>
    <x v="6"/>
    <s v="三组"/>
    <s v="广州三组"/>
    <s v="普通员工"/>
    <n v="13500.35"/>
    <n v="2020"/>
    <x v="1"/>
  </r>
  <r>
    <x v="40"/>
    <n v="1000000928"/>
    <s v="借呗12期"/>
    <n v="1"/>
    <n v="22000.01"/>
    <s v="借呗"/>
    <x v="0"/>
    <x v="1"/>
    <x v="8"/>
    <s v="一组"/>
    <s v="西安一组"/>
    <s v="普通员工"/>
    <n v="22000.01"/>
    <n v="2020"/>
    <x v="1"/>
  </r>
  <r>
    <x v="40"/>
    <n v="1000000056"/>
    <s v="借呗12期"/>
    <n v="2"/>
    <n v="18999.940000000002"/>
    <s v="借呗"/>
    <x v="0"/>
    <x v="0"/>
    <x v="3"/>
    <s v="一组"/>
    <s v="上海一组"/>
    <s v="管理人员"/>
    <n v="9499.9700000000012"/>
    <n v="2020"/>
    <x v="1"/>
  </r>
  <r>
    <x v="40"/>
    <n v="1000000035"/>
    <s v="借呗12期"/>
    <n v="1"/>
    <n v="18000.759999999998"/>
    <s v="借呗"/>
    <x v="0"/>
    <x v="0"/>
    <x v="1"/>
    <s v="三组"/>
    <s v="苏州三组"/>
    <s v="普通员工"/>
    <n v="18000.759999999998"/>
    <n v="2020"/>
    <x v="1"/>
  </r>
  <r>
    <x v="40"/>
    <n v="1000000037"/>
    <s v="借呗12期"/>
    <n v="3"/>
    <n v="16001.16"/>
    <s v="借呗"/>
    <x v="0"/>
    <x v="0"/>
    <x v="0"/>
    <s v="二组"/>
    <s v="杭州二组"/>
    <s v="普通员工"/>
    <n v="5333.72"/>
    <n v="2020"/>
    <x v="1"/>
  </r>
  <r>
    <x v="40"/>
    <n v="1000000036"/>
    <s v="借呗18期"/>
    <n v="1"/>
    <n v="16000.47"/>
    <s v="借呗"/>
    <x v="2"/>
    <x v="2"/>
    <x v="6"/>
    <s v="三组"/>
    <s v="广州三组"/>
    <s v="管理人员"/>
    <n v="16000.47"/>
    <n v="2020"/>
    <x v="1"/>
  </r>
  <r>
    <x v="40"/>
    <n v="1000000054"/>
    <s v="借呗6期"/>
    <n v="1"/>
    <n v="16000.26"/>
    <s v="借呗"/>
    <x v="1"/>
    <x v="0"/>
    <x v="3"/>
    <s v="一组"/>
    <s v="上海一组"/>
    <s v="普通员工"/>
    <n v="16000.26"/>
    <n v="2020"/>
    <x v="1"/>
  </r>
  <r>
    <x v="40"/>
    <n v="1000000028"/>
    <s v="借呗6期"/>
    <n v="1"/>
    <n v="15000.5"/>
    <s v="借呗"/>
    <x v="1"/>
    <x v="0"/>
    <x v="0"/>
    <s v="二组"/>
    <s v="杭州二组"/>
    <s v="普通员工"/>
    <n v="15000.5"/>
    <n v="2020"/>
    <x v="1"/>
  </r>
  <r>
    <x v="40"/>
    <n v="1000003926"/>
    <s v="借呗12期"/>
    <n v="1"/>
    <n v="15000.45"/>
    <s v="借呗"/>
    <x v="0"/>
    <x v="2"/>
    <x v="6"/>
    <s v="一组"/>
    <s v="广州一组"/>
    <s v="管理人员"/>
    <n v="15000.45"/>
    <n v="2020"/>
    <x v="1"/>
  </r>
  <r>
    <x v="40"/>
    <n v="1000000067"/>
    <s v="借呗12期"/>
    <n v="1"/>
    <n v="15000.4"/>
    <s v="借呗"/>
    <x v="0"/>
    <x v="0"/>
    <x v="1"/>
    <s v="二组"/>
    <s v="苏州二组"/>
    <s v="普通员工"/>
    <n v="15000.4"/>
    <n v="2020"/>
    <x v="1"/>
  </r>
  <r>
    <x v="40"/>
    <n v="1000000028"/>
    <s v="借呗12期"/>
    <n v="1"/>
    <n v="13000.34"/>
    <s v="借呗"/>
    <x v="0"/>
    <x v="0"/>
    <x v="0"/>
    <s v="二组"/>
    <s v="杭州二组"/>
    <s v="普通员工"/>
    <n v="13000.34"/>
    <n v="2020"/>
    <x v="1"/>
  </r>
  <r>
    <x v="40"/>
    <n v="1000000028"/>
    <s v="借呗18期"/>
    <n v="1"/>
    <n v="13000.32"/>
    <s v="借呗"/>
    <x v="2"/>
    <x v="0"/>
    <x v="0"/>
    <s v="二组"/>
    <s v="杭州二组"/>
    <s v="普通员工"/>
    <n v="13000.32"/>
    <n v="2020"/>
    <x v="1"/>
  </r>
  <r>
    <x v="40"/>
    <n v="1000000237"/>
    <s v="借呗18期"/>
    <n v="1"/>
    <n v="11000.42"/>
    <s v="借呗"/>
    <x v="2"/>
    <x v="0"/>
    <x v="5"/>
    <s v="一组"/>
    <s v="合肥一组"/>
    <s v="普通员工"/>
    <n v="11000.42"/>
    <n v="2020"/>
    <x v="1"/>
  </r>
  <r>
    <x v="40"/>
    <n v="1000004170"/>
    <s v="借呗12期"/>
    <n v="1"/>
    <n v="10000.549999999999"/>
    <s v="借呗"/>
    <x v="0"/>
    <x v="0"/>
    <x v="3"/>
    <s v="二组"/>
    <s v="上海二组"/>
    <s v="管理人员"/>
    <n v="10000.549999999999"/>
    <n v="2020"/>
    <x v="1"/>
  </r>
  <r>
    <x v="40"/>
    <n v="1000000566"/>
    <s v="借呗12期"/>
    <n v="1"/>
    <n v="10000.35"/>
    <s v="借呗"/>
    <x v="0"/>
    <x v="2"/>
    <x v="6"/>
    <s v="三组"/>
    <s v="广州三组"/>
    <s v="普通员工"/>
    <n v="10000.35"/>
    <n v="2020"/>
    <x v="1"/>
  </r>
  <r>
    <x v="40"/>
    <n v="1000000050"/>
    <s v="借呗12期"/>
    <n v="1"/>
    <n v="9000.01"/>
    <s v="借呗"/>
    <x v="0"/>
    <x v="0"/>
    <x v="5"/>
    <s v="一组"/>
    <s v="合肥一组"/>
    <s v="普通员工"/>
    <n v="9000.01"/>
    <n v="2020"/>
    <x v="1"/>
  </r>
  <r>
    <x v="40"/>
    <n v="1000000036"/>
    <s v="借呗12期"/>
    <n v="1"/>
    <n v="7500.23"/>
    <s v="借呗"/>
    <x v="0"/>
    <x v="2"/>
    <x v="6"/>
    <s v="三组"/>
    <s v="广州三组"/>
    <s v="管理人员"/>
    <n v="7500.23"/>
    <n v="2020"/>
    <x v="1"/>
  </r>
  <r>
    <x v="40"/>
    <n v="1000000031"/>
    <s v="借呗12期"/>
    <n v="2"/>
    <n v="6501.54"/>
    <s v="借呗"/>
    <x v="0"/>
    <x v="0"/>
    <x v="0"/>
    <s v="一组"/>
    <s v="杭州一组"/>
    <s v="管理人员"/>
    <n v="3250.77"/>
    <n v="2020"/>
    <x v="1"/>
  </r>
  <r>
    <x v="40"/>
    <n v="1000000039"/>
    <s v="借呗12期"/>
    <n v="1"/>
    <n v="6500.68"/>
    <s v="借呗"/>
    <x v="0"/>
    <x v="0"/>
    <x v="1"/>
    <s v="二组"/>
    <s v="苏州二组"/>
    <s v="管理人员"/>
    <n v="6500.68"/>
    <n v="2020"/>
    <x v="1"/>
  </r>
  <r>
    <x v="40"/>
    <n v="1000000034"/>
    <s v="借呗18期"/>
    <n v="1"/>
    <n v="6500.64"/>
    <s v="借呗"/>
    <x v="2"/>
    <x v="0"/>
    <x v="1"/>
    <s v="一组"/>
    <s v="苏州一组"/>
    <s v="普通员工"/>
    <n v="6500.64"/>
    <n v="2020"/>
    <x v="1"/>
  </r>
  <r>
    <x v="40"/>
    <n v="1000000033"/>
    <s v="借呗6期"/>
    <n v="1"/>
    <n v="6500.11"/>
    <s v="借呗"/>
    <x v="1"/>
    <x v="0"/>
    <x v="1"/>
    <s v="一组"/>
    <s v="苏州一组"/>
    <s v="普通员工"/>
    <n v="6500.11"/>
    <n v="2020"/>
    <x v="1"/>
  </r>
  <r>
    <x v="40"/>
    <n v="1000000104"/>
    <s v="借呗18期"/>
    <n v="1"/>
    <n v="6400.42"/>
    <s v="借呗"/>
    <x v="2"/>
    <x v="0"/>
    <x v="5"/>
    <s v="一组"/>
    <s v="合肥一组"/>
    <s v="普通员工"/>
    <n v="6400.42"/>
    <n v="2020"/>
    <x v="1"/>
  </r>
  <r>
    <x v="40"/>
    <n v="1000000237"/>
    <s v="借呗12期"/>
    <n v="1"/>
    <n v="6000.37"/>
    <s v="借呗"/>
    <x v="0"/>
    <x v="0"/>
    <x v="5"/>
    <s v="一组"/>
    <s v="合肥一组"/>
    <s v="普通员工"/>
    <n v="6000.37"/>
    <n v="2020"/>
    <x v="1"/>
  </r>
  <r>
    <x v="40"/>
    <n v="1000000031"/>
    <s v="借呗18期"/>
    <n v="1"/>
    <n v="5000.32"/>
    <s v="借呗"/>
    <x v="2"/>
    <x v="0"/>
    <x v="0"/>
    <s v="一组"/>
    <s v="杭州一组"/>
    <s v="管理人员"/>
    <n v="5000.32"/>
    <n v="2020"/>
    <x v="1"/>
  </r>
  <r>
    <x v="40"/>
    <n v="1000000039"/>
    <s v="花呗6期"/>
    <n v="1"/>
    <n v="4688.67"/>
    <s v="花呗"/>
    <x v="1"/>
    <x v="0"/>
    <x v="1"/>
    <s v="二组"/>
    <s v="苏州二组"/>
    <s v="管理人员"/>
    <n v="4688.67"/>
    <n v="2020"/>
    <x v="1"/>
  </r>
  <r>
    <x v="40"/>
    <n v="1000000104"/>
    <s v="借呗6期"/>
    <n v="1"/>
    <n v="4000"/>
    <s v="借呗"/>
    <x v="1"/>
    <x v="0"/>
    <x v="5"/>
    <s v="一组"/>
    <s v="合肥一组"/>
    <s v="普通员工"/>
    <n v="4000"/>
    <n v="2020"/>
    <x v="1"/>
  </r>
  <r>
    <x v="40"/>
    <n v="1000000029"/>
    <s v="借呗6期"/>
    <n v="1"/>
    <n v="3163.37"/>
    <s v="借呗"/>
    <x v="1"/>
    <x v="0"/>
    <x v="0"/>
    <s v="二组"/>
    <s v="杭州二组"/>
    <s v="普通员工"/>
    <n v="3163.37"/>
    <n v="2020"/>
    <x v="1"/>
  </r>
  <r>
    <x v="40"/>
    <n v="1000000040"/>
    <s v="借呗6期"/>
    <n v="1"/>
    <n v="2855.59"/>
    <s v="借呗"/>
    <x v="1"/>
    <x v="1"/>
    <x v="2"/>
    <s v="四组"/>
    <s v="北京四组"/>
    <s v="管理人员"/>
    <n v="2855.59"/>
    <n v="2020"/>
    <x v="1"/>
  </r>
  <r>
    <x v="40"/>
    <n v="1000000037"/>
    <s v="借呗6期"/>
    <n v="1"/>
    <n v="1500.4"/>
    <s v="借呗"/>
    <x v="1"/>
    <x v="0"/>
    <x v="0"/>
    <s v="二组"/>
    <s v="杭州二组"/>
    <s v="普通员工"/>
    <n v="1500.4"/>
    <n v="2020"/>
    <x v="1"/>
  </r>
  <r>
    <x v="40"/>
    <n v="1000000067"/>
    <s v="借呗6期"/>
    <n v="1"/>
    <n v="1484.49"/>
    <s v="借呗"/>
    <x v="1"/>
    <x v="0"/>
    <x v="1"/>
    <s v="二组"/>
    <s v="苏州二组"/>
    <s v="普通员工"/>
    <n v="1484.49"/>
    <n v="2020"/>
    <x v="1"/>
  </r>
  <r>
    <x v="40"/>
    <n v="1000000056"/>
    <s v="借呗6期"/>
    <n v="1"/>
    <n v="1000.66"/>
    <s v="借呗"/>
    <x v="1"/>
    <x v="0"/>
    <x v="3"/>
    <s v="一组"/>
    <s v="上海一组"/>
    <s v="管理人员"/>
    <n v="1000.66"/>
    <n v="2020"/>
    <x v="1"/>
  </r>
  <r>
    <x v="40"/>
    <n v="1000000576"/>
    <s v="借呗6期"/>
    <n v="1"/>
    <n v="890.72"/>
    <s v="借呗"/>
    <x v="1"/>
    <x v="0"/>
    <x v="1"/>
    <s v="三组"/>
    <s v="苏州三组"/>
    <s v="普通员工"/>
    <n v="890.72"/>
    <n v="2020"/>
    <x v="1"/>
  </r>
  <r>
    <x v="40"/>
    <n v="1000000032"/>
    <s v="借呗6期"/>
    <n v="1"/>
    <n v="733.69"/>
    <s v="借呗"/>
    <x v="1"/>
    <x v="0"/>
    <x v="1"/>
    <s v="一组"/>
    <s v="苏州一组"/>
    <s v="管理人员"/>
    <n v="733.69"/>
    <n v="2020"/>
    <x v="1"/>
  </r>
  <r>
    <x v="40"/>
    <n v="1000000033"/>
    <s v="借呗18期"/>
    <n v="1"/>
    <n v="599.95000000000005"/>
    <s v="借呗"/>
    <x v="2"/>
    <x v="0"/>
    <x v="1"/>
    <s v="一组"/>
    <s v="苏州一组"/>
    <s v="普通员工"/>
    <n v="599.95000000000005"/>
    <n v="2020"/>
    <x v="1"/>
  </r>
  <r>
    <x v="41"/>
    <n v="1000003926"/>
    <s v="借呗12期"/>
    <n v="3"/>
    <n v="47000.71"/>
    <s v="借呗"/>
    <x v="0"/>
    <x v="2"/>
    <x v="6"/>
    <s v="一组"/>
    <s v="广州一组"/>
    <s v="管理人员"/>
    <n v="15666.903333333334"/>
    <n v="2020"/>
    <x v="1"/>
  </r>
  <r>
    <x v="41"/>
    <n v="1000000036"/>
    <s v="借呗6期"/>
    <n v="3"/>
    <n v="28001.379999999997"/>
    <s v="借呗"/>
    <x v="1"/>
    <x v="2"/>
    <x v="6"/>
    <s v="三组"/>
    <s v="广州三组"/>
    <s v="管理人员"/>
    <n v="9333.7933333333331"/>
    <n v="2020"/>
    <x v="1"/>
  </r>
  <r>
    <x v="41"/>
    <n v="1000000041"/>
    <s v="借呗12期"/>
    <n v="2"/>
    <n v="27000.79"/>
    <s v="借呗"/>
    <x v="0"/>
    <x v="1"/>
    <x v="2"/>
    <s v="四组"/>
    <s v="北京四组"/>
    <s v="普通员工"/>
    <n v="13500.395"/>
    <n v="2020"/>
    <x v="1"/>
  </r>
  <r>
    <x v="41"/>
    <n v="1000000033"/>
    <s v="借呗12期"/>
    <n v="1"/>
    <n v="24999.94"/>
    <s v="借呗"/>
    <x v="0"/>
    <x v="0"/>
    <x v="1"/>
    <s v="一组"/>
    <s v="苏州一组"/>
    <s v="普通员工"/>
    <n v="24999.94"/>
    <n v="2020"/>
    <x v="1"/>
  </r>
  <r>
    <x v="41"/>
    <n v="1000000566"/>
    <s v="借呗18期"/>
    <n v="2"/>
    <n v="17000.53"/>
    <s v="借呗"/>
    <x v="2"/>
    <x v="2"/>
    <x v="6"/>
    <s v="三组"/>
    <s v="广州三组"/>
    <s v="普通员工"/>
    <n v="8500.2649999999994"/>
    <n v="2020"/>
    <x v="1"/>
  </r>
  <r>
    <x v="41"/>
    <n v="1000000576"/>
    <s v="借呗12期"/>
    <n v="1"/>
    <n v="15000.56"/>
    <s v="借呗"/>
    <x v="0"/>
    <x v="0"/>
    <x v="1"/>
    <s v="三组"/>
    <s v="苏州三组"/>
    <s v="普通员工"/>
    <n v="15000.56"/>
    <n v="2020"/>
    <x v="1"/>
  </r>
  <r>
    <x v="41"/>
    <n v="1000000037"/>
    <s v="借呗18期"/>
    <n v="1"/>
    <n v="15000.29"/>
    <s v="借呗"/>
    <x v="2"/>
    <x v="0"/>
    <x v="0"/>
    <s v="二组"/>
    <s v="杭州二组"/>
    <s v="普通员工"/>
    <n v="15000.29"/>
    <n v="2020"/>
    <x v="1"/>
  </r>
  <r>
    <x v="41"/>
    <n v="1000000030"/>
    <s v="借呗12期"/>
    <n v="1"/>
    <n v="14300.6"/>
    <s v="借呗"/>
    <x v="0"/>
    <x v="2"/>
    <x v="6"/>
    <s v="三组"/>
    <s v="广州三组"/>
    <s v="普通员工"/>
    <n v="14300.6"/>
    <n v="2020"/>
    <x v="1"/>
  </r>
  <r>
    <x v="41"/>
    <n v="1000004170"/>
    <s v="借呗12期"/>
    <n v="1"/>
    <n v="14000.53"/>
    <s v="借呗"/>
    <x v="0"/>
    <x v="0"/>
    <x v="3"/>
    <s v="二组"/>
    <s v="上海二组"/>
    <s v="管理人员"/>
    <n v="14000.53"/>
    <n v="2020"/>
    <x v="1"/>
  </r>
  <r>
    <x v="41"/>
    <n v="1000003926"/>
    <s v="借呗6期"/>
    <n v="1"/>
    <n v="13000.18"/>
    <s v="借呗"/>
    <x v="1"/>
    <x v="2"/>
    <x v="6"/>
    <s v="一组"/>
    <s v="广州一组"/>
    <s v="管理人员"/>
    <n v="13000.18"/>
    <n v="2020"/>
    <x v="1"/>
  </r>
  <r>
    <x v="41"/>
    <n v="1000000036"/>
    <s v="借呗12期"/>
    <n v="1"/>
    <n v="9970.3799999999992"/>
    <s v="借呗"/>
    <x v="0"/>
    <x v="2"/>
    <x v="6"/>
    <s v="三组"/>
    <s v="广州三组"/>
    <s v="管理人员"/>
    <n v="9970.3799999999992"/>
    <n v="2020"/>
    <x v="1"/>
  </r>
  <r>
    <x v="41"/>
    <n v="1000000052"/>
    <s v="借呗6期"/>
    <n v="1"/>
    <n v="8124.1"/>
    <s v="借呗"/>
    <x v="1"/>
    <x v="0"/>
    <x v="3"/>
    <s v="二组"/>
    <s v="上海二组"/>
    <s v="普通员工"/>
    <n v="8124.1"/>
    <n v="2020"/>
    <x v="1"/>
  </r>
  <r>
    <x v="41"/>
    <n v="1000000044"/>
    <s v="借呗6期"/>
    <n v="1"/>
    <n v="8000.57"/>
    <s v="借呗"/>
    <x v="1"/>
    <x v="1"/>
    <x v="2"/>
    <s v="三组"/>
    <s v="北京三组"/>
    <s v="管理人员"/>
    <n v="8000.57"/>
    <n v="2020"/>
    <x v="1"/>
  </r>
  <r>
    <x v="41"/>
    <n v="1000005873"/>
    <s v="借呗6期"/>
    <n v="1"/>
    <n v="7000.37"/>
    <s v="借呗"/>
    <x v="1"/>
    <x v="0"/>
    <x v="0"/>
    <s v="二组"/>
    <s v="杭州二组"/>
    <s v="管理人员"/>
    <n v="7000.37"/>
    <n v="2020"/>
    <x v="1"/>
  </r>
  <r>
    <x v="41"/>
    <n v="1000000037"/>
    <s v="借呗6期"/>
    <n v="1"/>
    <n v="6000.18"/>
    <s v="借呗"/>
    <x v="1"/>
    <x v="0"/>
    <x v="0"/>
    <s v="二组"/>
    <s v="杭州二组"/>
    <s v="普通员工"/>
    <n v="6000.18"/>
    <n v="2020"/>
    <x v="1"/>
  </r>
  <r>
    <x v="41"/>
    <n v="1000000237"/>
    <s v="借呗18期"/>
    <n v="1"/>
    <n v="6000.13"/>
    <s v="借呗"/>
    <x v="2"/>
    <x v="0"/>
    <x v="5"/>
    <s v="一组"/>
    <s v="合肥一组"/>
    <s v="普通员工"/>
    <n v="6000.13"/>
    <n v="2020"/>
    <x v="1"/>
  </r>
  <r>
    <x v="41"/>
    <n v="1000000033"/>
    <s v="借呗6期"/>
    <n v="1"/>
    <n v="4000.03"/>
    <s v="借呗"/>
    <x v="1"/>
    <x v="0"/>
    <x v="1"/>
    <s v="一组"/>
    <s v="苏州一组"/>
    <s v="普通员工"/>
    <n v="4000.03"/>
    <n v="2020"/>
    <x v="1"/>
  </r>
  <r>
    <x v="41"/>
    <n v="1000000237"/>
    <s v="借呗12期"/>
    <n v="1"/>
    <n v="700.57"/>
    <s v="借呗"/>
    <x v="0"/>
    <x v="0"/>
    <x v="5"/>
    <s v="一组"/>
    <s v="合肥一组"/>
    <s v="普通员工"/>
    <n v="700.57"/>
    <n v="2020"/>
    <x v="1"/>
  </r>
  <r>
    <x v="41"/>
    <n v="1000001513"/>
    <s v="借呗6期"/>
    <n v="1"/>
    <n v="500.59"/>
    <s v="借呗"/>
    <x v="1"/>
    <x v="0"/>
    <x v="3"/>
    <s v="二组"/>
    <s v="上海二组"/>
    <s v="普通员工"/>
    <n v="500.59"/>
    <n v="2020"/>
    <x v="1"/>
  </r>
  <r>
    <x v="41"/>
    <n v="1000000047"/>
    <s v="借呗6期"/>
    <n v="1"/>
    <n v="500.03"/>
    <s v="借呗"/>
    <x v="1"/>
    <x v="2"/>
    <x v="6"/>
    <s v="一组"/>
    <s v="广州一组"/>
    <s v="普通员工"/>
    <n v="500.03"/>
    <n v="2020"/>
    <x v="1"/>
  </r>
  <r>
    <x v="42"/>
    <n v="1000000237"/>
    <s v="借呗18期"/>
    <n v="5"/>
    <n v="68002.01999999999"/>
    <s v="借呗"/>
    <x v="2"/>
    <x v="0"/>
    <x v="5"/>
    <s v="一组"/>
    <s v="合肥一组"/>
    <s v="普通员工"/>
    <n v="13600.404"/>
    <n v="2020"/>
    <x v="1"/>
  </r>
  <r>
    <x v="42"/>
    <n v="1000004256"/>
    <s v="借呗12期"/>
    <n v="3"/>
    <n v="36000.43"/>
    <s v="借呗"/>
    <x v="0"/>
    <x v="0"/>
    <x v="5"/>
    <s v="一组"/>
    <s v="合肥一组"/>
    <s v="普通员工"/>
    <n v="12000.143333333332"/>
    <n v="2020"/>
    <x v="1"/>
  </r>
  <r>
    <x v="42"/>
    <n v="1000000036"/>
    <s v="借呗6期"/>
    <n v="2"/>
    <n v="28001.200000000001"/>
    <s v="借呗"/>
    <x v="1"/>
    <x v="2"/>
    <x v="6"/>
    <s v="三组"/>
    <s v="广州三组"/>
    <s v="管理人员"/>
    <n v="14000.6"/>
    <n v="2020"/>
    <x v="1"/>
  </r>
  <r>
    <x v="42"/>
    <n v="1000000040"/>
    <s v="借呗12期"/>
    <n v="1"/>
    <n v="22000.28"/>
    <s v="借呗"/>
    <x v="0"/>
    <x v="1"/>
    <x v="2"/>
    <s v="四组"/>
    <s v="北京四组"/>
    <s v="管理人员"/>
    <n v="22000.28"/>
    <n v="2020"/>
    <x v="1"/>
  </r>
  <r>
    <x v="42"/>
    <n v="1000000031"/>
    <s v="借呗6期"/>
    <n v="2"/>
    <n v="19884.509999999998"/>
    <s v="借呗"/>
    <x v="1"/>
    <x v="0"/>
    <x v="0"/>
    <s v="一组"/>
    <s v="杭州一组"/>
    <s v="管理人员"/>
    <n v="9942.2549999999992"/>
    <n v="2020"/>
    <x v="1"/>
  </r>
  <r>
    <x v="42"/>
    <n v="1000000050"/>
    <s v="借呗12期"/>
    <n v="2"/>
    <n v="17001.11"/>
    <s v="借呗"/>
    <x v="0"/>
    <x v="0"/>
    <x v="5"/>
    <s v="一组"/>
    <s v="合肥一组"/>
    <s v="普通员工"/>
    <n v="8500.5550000000003"/>
    <n v="2020"/>
    <x v="1"/>
  </r>
  <r>
    <x v="42"/>
    <n v="1000000034"/>
    <s v="借呗12期"/>
    <n v="1"/>
    <n v="17000.64"/>
    <s v="借呗"/>
    <x v="0"/>
    <x v="0"/>
    <x v="1"/>
    <s v="一组"/>
    <s v="苏州一组"/>
    <s v="普通员工"/>
    <n v="17000.64"/>
    <n v="2020"/>
    <x v="1"/>
  </r>
  <r>
    <x v="42"/>
    <n v="1000003803"/>
    <s v="借呗6期"/>
    <n v="1"/>
    <n v="17000.03"/>
    <s v="借呗"/>
    <x v="1"/>
    <x v="1"/>
    <x v="2"/>
    <s v="三组"/>
    <s v="北京三组"/>
    <s v="普通员工"/>
    <n v="17000.03"/>
    <n v="2020"/>
    <x v="1"/>
  </r>
  <r>
    <x v="42"/>
    <n v="1000000104"/>
    <s v="借呗12期"/>
    <n v="1"/>
    <n v="15000.41"/>
    <s v="借呗"/>
    <x v="0"/>
    <x v="0"/>
    <x v="5"/>
    <s v="一组"/>
    <s v="合肥一组"/>
    <s v="普通员工"/>
    <n v="15000.41"/>
    <n v="2020"/>
    <x v="1"/>
  </r>
  <r>
    <x v="42"/>
    <n v="1000000045"/>
    <s v="借呗12期"/>
    <n v="2"/>
    <n v="15000.16"/>
    <s v="借呗"/>
    <x v="0"/>
    <x v="2"/>
    <x v="9"/>
    <s v="一组"/>
    <s v="深圳一组"/>
    <s v="普通员工"/>
    <n v="7500.08"/>
    <n v="2020"/>
    <x v="1"/>
  </r>
  <r>
    <x v="42"/>
    <n v="1000005873"/>
    <s v="借呗12期"/>
    <n v="1"/>
    <n v="13000"/>
    <s v="借呗"/>
    <x v="0"/>
    <x v="0"/>
    <x v="0"/>
    <s v="二组"/>
    <s v="杭州二组"/>
    <s v="管理人员"/>
    <n v="13000"/>
    <n v="2020"/>
    <x v="1"/>
  </r>
  <r>
    <x v="42"/>
    <n v="1000000056"/>
    <s v="借呗6期"/>
    <n v="3"/>
    <n v="11286.080000000002"/>
    <s v="借呗"/>
    <x v="1"/>
    <x v="0"/>
    <x v="3"/>
    <s v="一组"/>
    <s v="上海一组"/>
    <s v="管理人员"/>
    <n v="3762.0266666666671"/>
    <n v="2020"/>
    <x v="1"/>
  </r>
  <r>
    <x v="42"/>
    <n v="1000000068"/>
    <s v="借呗12期"/>
    <n v="1"/>
    <n v="10000.15"/>
    <s v="借呗"/>
    <x v="0"/>
    <x v="1"/>
    <x v="7"/>
    <s v="一组"/>
    <s v="重庆一组"/>
    <s v="管理人员"/>
    <n v="10000.15"/>
    <n v="2020"/>
    <x v="1"/>
  </r>
  <r>
    <x v="42"/>
    <n v="1000003926"/>
    <s v="借呗6期"/>
    <n v="1"/>
    <n v="9000.14"/>
    <s v="借呗"/>
    <x v="1"/>
    <x v="2"/>
    <x v="6"/>
    <s v="一组"/>
    <s v="广州一组"/>
    <s v="管理人员"/>
    <n v="9000.14"/>
    <n v="2020"/>
    <x v="1"/>
  </r>
  <r>
    <x v="42"/>
    <n v="1000000928"/>
    <s v="借呗6期"/>
    <n v="1"/>
    <n v="8000.49"/>
    <s v="借呗"/>
    <x v="1"/>
    <x v="1"/>
    <x v="8"/>
    <s v="一组"/>
    <s v="西安一组"/>
    <s v="普通员工"/>
    <n v="8000.49"/>
    <n v="2020"/>
    <x v="1"/>
  </r>
  <r>
    <x v="42"/>
    <n v="1000000028"/>
    <s v="借呗12期"/>
    <n v="1"/>
    <n v="7999.94"/>
    <s v="借呗"/>
    <x v="0"/>
    <x v="0"/>
    <x v="0"/>
    <s v="二组"/>
    <s v="杭州二组"/>
    <s v="普通员工"/>
    <n v="7999.94"/>
    <n v="2020"/>
    <x v="1"/>
  </r>
  <r>
    <x v="42"/>
    <n v="1000000041"/>
    <s v="借呗12期"/>
    <n v="1"/>
    <n v="7000.63"/>
    <s v="借呗"/>
    <x v="0"/>
    <x v="1"/>
    <x v="2"/>
    <s v="四组"/>
    <s v="北京四组"/>
    <s v="普通员工"/>
    <n v="7000.63"/>
    <n v="2020"/>
    <x v="1"/>
  </r>
  <r>
    <x v="42"/>
    <n v="1000000039"/>
    <s v="借呗6期"/>
    <n v="1"/>
    <n v="7000.42"/>
    <s v="借呗"/>
    <x v="1"/>
    <x v="0"/>
    <x v="1"/>
    <s v="二组"/>
    <s v="苏州二组"/>
    <s v="管理人员"/>
    <n v="7000.42"/>
    <n v="2020"/>
    <x v="1"/>
  </r>
  <r>
    <x v="42"/>
    <n v="1000000032"/>
    <s v="借呗12期"/>
    <n v="1"/>
    <n v="6500.72"/>
    <s v="借呗"/>
    <x v="0"/>
    <x v="0"/>
    <x v="1"/>
    <s v="一组"/>
    <s v="苏州一组"/>
    <s v="管理人员"/>
    <n v="6500.72"/>
    <n v="2020"/>
    <x v="1"/>
  </r>
  <r>
    <x v="42"/>
    <n v="1000000050"/>
    <s v="借呗18期"/>
    <n v="1"/>
    <n v="6000.62"/>
    <s v="借呗"/>
    <x v="2"/>
    <x v="0"/>
    <x v="5"/>
    <s v="一组"/>
    <s v="合肥一组"/>
    <s v="普通员工"/>
    <n v="6000.62"/>
    <n v="2020"/>
    <x v="1"/>
  </r>
  <r>
    <x v="42"/>
    <n v="1000000054"/>
    <s v="借呗6期"/>
    <n v="1"/>
    <n v="5000.7"/>
    <s v="借呗"/>
    <x v="1"/>
    <x v="0"/>
    <x v="3"/>
    <s v="一组"/>
    <s v="上海一组"/>
    <s v="普通员工"/>
    <n v="5000.7"/>
    <n v="2020"/>
    <x v="1"/>
  </r>
  <r>
    <x v="42"/>
    <n v="1000000030"/>
    <s v="借呗12期"/>
    <n v="1"/>
    <n v="5000.45"/>
    <s v="借呗"/>
    <x v="0"/>
    <x v="2"/>
    <x v="6"/>
    <s v="三组"/>
    <s v="广州三组"/>
    <s v="普通员工"/>
    <n v="5000.45"/>
    <n v="2020"/>
    <x v="1"/>
  </r>
  <r>
    <x v="42"/>
    <n v="1000000045"/>
    <s v="借呗6期"/>
    <n v="1"/>
    <n v="5000.34"/>
    <s v="借呗"/>
    <x v="1"/>
    <x v="2"/>
    <x v="9"/>
    <s v="一组"/>
    <s v="深圳一组"/>
    <s v="普通员工"/>
    <n v="5000.34"/>
    <n v="2020"/>
    <x v="1"/>
  </r>
  <r>
    <x v="42"/>
    <n v="1000000056"/>
    <s v="借呗18期"/>
    <n v="1"/>
    <n v="4000.68"/>
    <s v="借呗"/>
    <x v="2"/>
    <x v="0"/>
    <x v="3"/>
    <s v="一组"/>
    <s v="上海一组"/>
    <s v="管理人员"/>
    <n v="4000.68"/>
    <n v="2020"/>
    <x v="1"/>
  </r>
  <r>
    <x v="42"/>
    <n v="1000000039"/>
    <s v="借呗18期"/>
    <n v="1"/>
    <n v="4000.04"/>
    <s v="借呗"/>
    <x v="2"/>
    <x v="0"/>
    <x v="1"/>
    <s v="二组"/>
    <s v="苏州二组"/>
    <s v="管理人员"/>
    <n v="4000.04"/>
    <n v="2020"/>
    <x v="1"/>
  </r>
  <r>
    <x v="42"/>
    <n v="1000000052"/>
    <s v="借呗6期"/>
    <n v="1"/>
    <n v="3000.51"/>
    <s v="借呗"/>
    <x v="1"/>
    <x v="0"/>
    <x v="3"/>
    <s v="二组"/>
    <s v="上海二组"/>
    <s v="普通员工"/>
    <n v="3000.51"/>
    <n v="2020"/>
    <x v="1"/>
  </r>
  <r>
    <x v="42"/>
    <n v="1000000031"/>
    <s v="借呗12期"/>
    <n v="2"/>
    <n v="2900.69"/>
    <s v="借呗"/>
    <x v="0"/>
    <x v="0"/>
    <x v="0"/>
    <s v="一组"/>
    <s v="杭州一组"/>
    <s v="管理人员"/>
    <n v="1450.345"/>
    <n v="2020"/>
    <x v="1"/>
  </r>
  <r>
    <x v="42"/>
    <n v="1000000044"/>
    <s v="借呗12期"/>
    <n v="1"/>
    <n v="2887"/>
    <s v="借呗"/>
    <x v="0"/>
    <x v="1"/>
    <x v="2"/>
    <s v="三组"/>
    <s v="北京三组"/>
    <s v="管理人员"/>
    <n v="2887"/>
    <n v="2020"/>
    <x v="1"/>
  </r>
  <r>
    <x v="42"/>
    <n v="1000000033"/>
    <s v="借呗6期"/>
    <n v="1"/>
    <n v="2000.74"/>
    <s v="借呗"/>
    <x v="1"/>
    <x v="0"/>
    <x v="1"/>
    <s v="一组"/>
    <s v="苏州一组"/>
    <s v="普通员工"/>
    <n v="2000.74"/>
    <n v="2020"/>
    <x v="1"/>
  </r>
  <r>
    <x v="42"/>
    <n v="1000000031"/>
    <s v="借呗18期"/>
    <n v="1"/>
    <n v="2000.22"/>
    <s v="借呗"/>
    <x v="2"/>
    <x v="0"/>
    <x v="0"/>
    <s v="一组"/>
    <s v="杭州一组"/>
    <s v="管理人员"/>
    <n v="2000.22"/>
    <n v="2020"/>
    <x v="1"/>
  </r>
  <r>
    <x v="42"/>
    <n v="1000000037"/>
    <s v="借呗18期"/>
    <n v="1"/>
    <n v="2000.12"/>
    <s v="借呗"/>
    <x v="2"/>
    <x v="0"/>
    <x v="0"/>
    <s v="二组"/>
    <s v="杭州二组"/>
    <s v="普通员工"/>
    <n v="2000.12"/>
    <n v="2020"/>
    <x v="1"/>
  </r>
  <r>
    <x v="42"/>
    <n v="1000000044"/>
    <s v="借呗6期"/>
    <n v="1"/>
    <n v="1778.37"/>
    <s v="借呗"/>
    <x v="1"/>
    <x v="1"/>
    <x v="2"/>
    <s v="三组"/>
    <s v="北京三组"/>
    <s v="管理人员"/>
    <n v="1778.37"/>
    <n v="2020"/>
    <x v="1"/>
  </r>
  <r>
    <x v="42"/>
    <n v="1000000057"/>
    <s v="借呗6期"/>
    <n v="1"/>
    <n v="742.41"/>
    <s v="借呗"/>
    <x v="1"/>
    <x v="0"/>
    <x v="3"/>
    <s v="二组"/>
    <s v="上海二组"/>
    <s v="普通员工"/>
    <n v="742.41"/>
    <n v="2020"/>
    <x v="1"/>
  </r>
  <r>
    <x v="42"/>
    <n v="1000000028"/>
    <s v="借呗6期"/>
    <n v="1"/>
    <n v="580.30999999999995"/>
    <s v="借呗"/>
    <x v="1"/>
    <x v="0"/>
    <x v="0"/>
    <s v="二组"/>
    <s v="杭州二组"/>
    <s v="普通员工"/>
    <n v="580.30999999999995"/>
    <n v="2020"/>
    <x v="1"/>
  </r>
  <r>
    <x v="43"/>
    <n v="1000003926"/>
    <s v="借呗6期"/>
    <n v="2"/>
    <n v="37000.44"/>
    <s v="借呗"/>
    <x v="1"/>
    <x v="2"/>
    <x v="6"/>
    <s v="一组"/>
    <s v="广州一组"/>
    <s v="管理人员"/>
    <n v="18500.22"/>
    <n v="2020"/>
    <x v="1"/>
  </r>
  <r>
    <x v="43"/>
    <n v="1000000036"/>
    <s v="借呗12期"/>
    <n v="2"/>
    <n v="33000.479999999996"/>
    <s v="借呗"/>
    <x v="0"/>
    <x v="2"/>
    <x v="6"/>
    <s v="三组"/>
    <s v="广州三组"/>
    <s v="管理人员"/>
    <n v="16500.239999999998"/>
    <n v="2020"/>
    <x v="1"/>
  </r>
  <r>
    <x v="43"/>
    <n v="1000000044"/>
    <s v="借呗12期"/>
    <n v="1"/>
    <n v="25000.74"/>
    <s v="借呗"/>
    <x v="0"/>
    <x v="1"/>
    <x v="2"/>
    <s v="三组"/>
    <s v="北京三组"/>
    <s v="管理人员"/>
    <n v="25000.74"/>
    <n v="2020"/>
    <x v="1"/>
  </r>
  <r>
    <x v="43"/>
    <n v="1000003989"/>
    <s v="借呗18期"/>
    <n v="1"/>
    <n v="24999.94"/>
    <s v="借呗"/>
    <x v="2"/>
    <x v="1"/>
    <x v="2"/>
    <s v="三组"/>
    <s v="北京三组"/>
    <s v="普通员工"/>
    <n v="24999.94"/>
    <n v="2020"/>
    <x v="1"/>
  </r>
  <r>
    <x v="43"/>
    <n v="1000000041"/>
    <s v="借呗18期"/>
    <n v="2"/>
    <n v="22000"/>
    <s v="借呗"/>
    <x v="2"/>
    <x v="1"/>
    <x v="2"/>
    <s v="四组"/>
    <s v="北京四组"/>
    <s v="普通员工"/>
    <n v="11000"/>
    <n v="2020"/>
    <x v="1"/>
  </r>
  <r>
    <x v="43"/>
    <n v="1000003803"/>
    <s v="借呗6期"/>
    <n v="2"/>
    <n v="20000.940000000002"/>
    <s v="借呗"/>
    <x v="1"/>
    <x v="1"/>
    <x v="2"/>
    <s v="三组"/>
    <s v="北京三组"/>
    <s v="普通员工"/>
    <n v="10000.469999999999"/>
    <n v="2020"/>
    <x v="1"/>
  </r>
  <r>
    <x v="43"/>
    <n v="1000000057"/>
    <s v="借呗12期"/>
    <n v="1"/>
    <n v="19999.98"/>
    <s v="借呗"/>
    <x v="0"/>
    <x v="0"/>
    <x v="3"/>
    <s v="二组"/>
    <s v="上海二组"/>
    <s v="普通员工"/>
    <n v="19999.98"/>
    <n v="2020"/>
    <x v="1"/>
  </r>
  <r>
    <x v="43"/>
    <n v="1000000928"/>
    <s v="借呗12期"/>
    <n v="2"/>
    <n v="19001.190000000002"/>
    <s v="借呗"/>
    <x v="0"/>
    <x v="1"/>
    <x v="8"/>
    <s v="一组"/>
    <s v="西安一组"/>
    <s v="普通员工"/>
    <n v="9500.5950000000012"/>
    <n v="2020"/>
    <x v="1"/>
  </r>
  <r>
    <x v="43"/>
    <n v="1000005873"/>
    <s v="借呗6期"/>
    <n v="1"/>
    <n v="17999.98"/>
    <s v="借呗"/>
    <x v="1"/>
    <x v="0"/>
    <x v="0"/>
    <s v="二组"/>
    <s v="杭州二组"/>
    <s v="管理人员"/>
    <n v="17999.98"/>
    <n v="2020"/>
    <x v="1"/>
  </r>
  <r>
    <x v="43"/>
    <n v="1000000029"/>
    <s v="借呗12期"/>
    <n v="1"/>
    <n v="17000.66"/>
    <s v="借呗"/>
    <x v="0"/>
    <x v="0"/>
    <x v="0"/>
    <s v="二组"/>
    <s v="杭州二组"/>
    <s v="普通员工"/>
    <n v="17000.66"/>
    <n v="2020"/>
    <x v="1"/>
  </r>
  <r>
    <x v="43"/>
    <n v="1000000040"/>
    <s v="借呗12期"/>
    <n v="1"/>
    <n v="17000.23"/>
    <s v="借呗"/>
    <x v="0"/>
    <x v="1"/>
    <x v="2"/>
    <s v="四组"/>
    <s v="北京四组"/>
    <s v="管理人员"/>
    <n v="17000.23"/>
    <n v="2020"/>
    <x v="1"/>
  </r>
  <r>
    <x v="43"/>
    <n v="1000000576"/>
    <s v="借呗18期"/>
    <n v="1"/>
    <n v="17000.05"/>
    <s v="借呗"/>
    <x v="2"/>
    <x v="0"/>
    <x v="1"/>
    <s v="三组"/>
    <s v="苏州三组"/>
    <s v="普通员工"/>
    <n v="17000.05"/>
    <n v="2020"/>
    <x v="1"/>
  </r>
  <r>
    <x v="43"/>
    <n v="1000000050"/>
    <s v="借呗18期"/>
    <n v="1"/>
    <n v="16000.67"/>
    <s v="借呗"/>
    <x v="2"/>
    <x v="0"/>
    <x v="5"/>
    <s v="一组"/>
    <s v="合肥一组"/>
    <s v="普通员工"/>
    <n v="16000.67"/>
    <n v="2020"/>
    <x v="1"/>
  </r>
  <r>
    <x v="43"/>
    <n v="1000000034"/>
    <s v="借呗12期"/>
    <n v="1"/>
    <n v="13999.98"/>
    <s v="借呗"/>
    <x v="0"/>
    <x v="0"/>
    <x v="1"/>
    <s v="一组"/>
    <s v="苏州一组"/>
    <s v="普通员工"/>
    <n v="13999.98"/>
    <n v="2020"/>
    <x v="1"/>
  </r>
  <r>
    <x v="43"/>
    <n v="1000000045"/>
    <s v="借呗12期"/>
    <n v="2"/>
    <n v="12500.619999999999"/>
    <s v="借呗"/>
    <x v="0"/>
    <x v="2"/>
    <x v="9"/>
    <s v="一组"/>
    <s v="深圳一组"/>
    <s v="普通员工"/>
    <n v="6250.3099999999995"/>
    <n v="2020"/>
    <x v="1"/>
  </r>
  <r>
    <x v="43"/>
    <n v="1000000040"/>
    <s v="借呗6期"/>
    <n v="1"/>
    <n v="11000.72"/>
    <s v="借呗"/>
    <x v="1"/>
    <x v="1"/>
    <x v="2"/>
    <s v="四组"/>
    <s v="北京四组"/>
    <s v="管理人员"/>
    <n v="11000.72"/>
    <n v="2020"/>
    <x v="1"/>
  </r>
  <r>
    <x v="43"/>
    <n v="1000000028"/>
    <s v="借呗18期"/>
    <n v="1"/>
    <n v="11000.58"/>
    <s v="借呗"/>
    <x v="2"/>
    <x v="0"/>
    <x v="0"/>
    <s v="二组"/>
    <s v="杭州二组"/>
    <s v="普通员工"/>
    <n v="11000.58"/>
    <n v="2020"/>
    <x v="1"/>
  </r>
  <r>
    <x v="43"/>
    <n v="1000000566"/>
    <s v="借呗12期"/>
    <n v="2"/>
    <n v="10500.779999999999"/>
    <s v="借呗"/>
    <x v="0"/>
    <x v="2"/>
    <x v="6"/>
    <s v="三组"/>
    <s v="广州三组"/>
    <s v="普通员工"/>
    <n v="5250.3899999999994"/>
    <n v="2020"/>
    <x v="1"/>
  </r>
  <r>
    <x v="43"/>
    <n v="1000000068"/>
    <s v="借呗12期"/>
    <n v="1"/>
    <n v="10000.709999999999"/>
    <s v="借呗"/>
    <x v="0"/>
    <x v="1"/>
    <x v="7"/>
    <s v="一组"/>
    <s v="重庆一组"/>
    <s v="管理人员"/>
    <n v="10000.709999999999"/>
    <n v="2020"/>
    <x v="1"/>
  </r>
  <r>
    <x v="43"/>
    <n v="1000000030"/>
    <s v="借呗18期"/>
    <n v="1"/>
    <n v="10000.27"/>
    <s v="借呗"/>
    <x v="2"/>
    <x v="2"/>
    <x v="6"/>
    <s v="三组"/>
    <s v="广州三组"/>
    <s v="普通员工"/>
    <n v="10000.27"/>
    <n v="2020"/>
    <x v="1"/>
  </r>
  <r>
    <x v="43"/>
    <n v="1000000056"/>
    <s v="借呗6期"/>
    <n v="1"/>
    <n v="10000.09"/>
    <s v="借呗"/>
    <x v="1"/>
    <x v="0"/>
    <x v="3"/>
    <s v="一组"/>
    <s v="上海一组"/>
    <s v="管理人员"/>
    <n v="10000.09"/>
    <n v="2020"/>
    <x v="1"/>
  </r>
  <r>
    <x v="43"/>
    <n v="1000000566"/>
    <s v="借呗6期"/>
    <n v="1"/>
    <n v="7499.94"/>
    <s v="借呗"/>
    <x v="1"/>
    <x v="2"/>
    <x v="6"/>
    <s v="三组"/>
    <s v="广州三组"/>
    <s v="普通员工"/>
    <n v="7499.94"/>
    <n v="2020"/>
    <x v="1"/>
  </r>
  <r>
    <x v="43"/>
    <n v="1000004256"/>
    <s v="借呗18期"/>
    <n v="1"/>
    <n v="7000.65"/>
    <s v="借呗"/>
    <x v="2"/>
    <x v="0"/>
    <x v="5"/>
    <s v="一组"/>
    <s v="合肥一组"/>
    <s v="普通员工"/>
    <n v="7000.65"/>
    <n v="2020"/>
    <x v="1"/>
  </r>
  <r>
    <x v="43"/>
    <n v="1000000037"/>
    <s v="借呗6期"/>
    <n v="1"/>
    <n v="6000.66"/>
    <s v="借呗"/>
    <x v="1"/>
    <x v="0"/>
    <x v="0"/>
    <s v="二组"/>
    <s v="杭州二组"/>
    <s v="普通员工"/>
    <n v="6000.66"/>
    <n v="2020"/>
    <x v="1"/>
  </r>
  <r>
    <x v="43"/>
    <n v="1000000576"/>
    <s v="借呗12期"/>
    <n v="1"/>
    <n v="6000.16"/>
    <s v="借呗"/>
    <x v="0"/>
    <x v="0"/>
    <x v="1"/>
    <s v="三组"/>
    <s v="苏州三组"/>
    <s v="普通员工"/>
    <n v="6000.16"/>
    <n v="2020"/>
    <x v="1"/>
  </r>
  <r>
    <x v="43"/>
    <n v="1000000032"/>
    <s v="借呗6期"/>
    <n v="1"/>
    <n v="6000.13"/>
    <s v="借呗"/>
    <x v="1"/>
    <x v="0"/>
    <x v="1"/>
    <s v="一组"/>
    <s v="苏州一组"/>
    <s v="管理人员"/>
    <n v="6000.13"/>
    <n v="2020"/>
    <x v="1"/>
  </r>
  <r>
    <x v="43"/>
    <n v="1000000035"/>
    <s v="借呗12期"/>
    <n v="1"/>
    <n v="5000.63"/>
    <s v="借呗"/>
    <x v="0"/>
    <x v="0"/>
    <x v="1"/>
    <s v="三组"/>
    <s v="苏州三组"/>
    <s v="普通员工"/>
    <n v="5000.63"/>
    <n v="2020"/>
    <x v="1"/>
  </r>
  <r>
    <x v="43"/>
    <n v="1000000036"/>
    <s v="借呗6期"/>
    <n v="1"/>
    <n v="5000.54"/>
    <s v="借呗"/>
    <x v="1"/>
    <x v="2"/>
    <x v="6"/>
    <s v="三组"/>
    <s v="广州三组"/>
    <s v="管理人员"/>
    <n v="5000.54"/>
    <n v="2020"/>
    <x v="1"/>
  </r>
  <r>
    <x v="43"/>
    <n v="1000004256"/>
    <s v="借呗6期"/>
    <n v="1"/>
    <n v="5000.4399999999996"/>
    <s v="借呗"/>
    <x v="1"/>
    <x v="0"/>
    <x v="5"/>
    <s v="一组"/>
    <s v="合肥一组"/>
    <s v="普通员工"/>
    <n v="5000.4399999999996"/>
    <n v="2020"/>
    <x v="1"/>
  </r>
  <r>
    <x v="43"/>
    <n v="1000000050"/>
    <s v="借呗6期"/>
    <n v="2"/>
    <n v="4457.6400000000003"/>
    <s v="借呗"/>
    <x v="1"/>
    <x v="0"/>
    <x v="5"/>
    <s v="一组"/>
    <s v="合肥一组"/>
    <s v="普通员工"/>
    <n v="2228.8200000000002"/>
    <n v="2020"/>
    <x v="1"/>
  </r>
  <r>
    <x v="43"/>
    <n v="1000000068"/>
    <s v="借呗6期"/>
    <n v="1"/>
    <n v="3317.76"/>
    <s v="借呗"/>
    <x v="1"/>
    <x v="1"/>
    <x v="7"/>
    <s v="一组"/>
    <s v="重庆一组"/>
    <s v="管理人员"/>
    <n v="3317.76"/>
    <n v="2020"/>
    <x v="1"/>
  </r>
  <r>
    <x v="43"/>
    <n v="1000000045"/>
    <s v="借呗6期"/>
    <n v="1"/>
    <n v="3200.55"/>
    <s v="借呗"/>
    <x v="1"/>
    <x v="2"/>
    <x v="9"/>
    <s v="一组"/>
    <s v="深圳一组"/>
    <s v="普通员工"/>
    <n v="3200.55"/>
    <n v="2020"/>
    <x v="1"/>
  </r>
  <r>
    <x v="43"/>
    <n v="1000000576"/>
    <s v="借呗6期"/>
    <n v="1"/>
    <n v="1880.02"/>
    <s v="借呗"/>
    <x v="1"/>
    <x v="0"/>
    <x v="1"/>
    <s v="三组"/>
    <s v="苏州三组"/>
    <s v="普通员工"/>
    <n v="1880.02"/>
    <n v="2020"/>
    <x v="1"/>
  </r>
  <r>
    <x v="43"/>
    <n v="1000000044"/>
    <s v="借呗6期"/>
    <n v="1"/>
    <n v="1131"/>
    <s v="借呗"/>
    <x v="1"/>
    <x v="1"/>
    <x v="2"/>
    <s v="三组"/>
    <s v="北京三组"/>
    <s v="管理人员"/>
    <n v="1131"/>
    <n v="2020"/>
    <x v="1"/>
  </r>
  <r>
    <x v="43"/>
    <n v="1000000030"/>
    <s v="借呗6期"/>
    <n v="1"/>
    <n v="600.29"/>
    <s v="借呗"/>
    <x v="1"/>
    <x v="2"/>
    <x v="6"/>
    <s v="三组"/>
    <s v="广州三组"/>
    <s v="普通员工"/>
    <n v="600.29"/>
    <n v="2020"/>
    <x v="1"/>
  </r>
  <r>
    <x v="43"/>
    <n v="1000000032"/>
    <s v="花呗6期"/>
    <n v="1"/>
    <n v="15.31"/>
    <s v="花呗"/>
    <x v="1"/>
    <x v="0"/>
    <x v="1"/>
    <s v="一组"/>
    <s v="苏州一组"/>
    <s v="管理人员"/>
    <n v="15.31"/>
    <n v="2020"/>
    <x v="1"/>
  </r>
  <r>
    <x v="44"/>
    <n v="1000000034"/>
    <s v="借呗12期"/>
    <n v="4"/>
    <n v="66000.930000000008"/>
    <s v="借呗"/>
    <x v="0"/>
    <x v="0"/>
    <x v="1"/>
    <s v="一组"/>
    <s v="苏州一组"/>
    <s v="普通员工"/>
    <n v="16500.232500000002"/>
    <n v="2020"/>
    <x v="1"/>
  </r>
  <r>
    <x v="44"/>
    <n v="1000000067"/>
    <s v="借呗12期"/>
    <n v="3"/>
    <n v="62000.91"/>
    <s v="借呗"/>
    <x v="0"/>
    <x v="0"/>
    <x v="1"/>
    <s v="二组"/>
    <s v="苏州二组"/>
    <s v="普通员工"/>
    <n v="20666.97"/>
    <n v="2020"/>
    <x v="1"/>
  </r>
  <r>
    <x v="44"/>
    <n v="1000000028"/>
    <s v="借呗12期"/>
    <n v="4"/>
    <n v="49001.869999999995"/>
    <s v="借呗"/>
    <x v="0"/>
    <x v="0"/>
    <x v="0"/>
    <s v="二组"/>
    <s v="杭州二组"/>
    <s v="普通员工"/>
    <n v="12250.467500000001"/>
    <n v="2020"/>
    <x v="1"/>
  </r>
  <r>
    <x v="44"/>
    <n v="1000003926"/>
    <s v="借呗6期"/>
    <n v="3"/>
    <n v="29501.33"/>
    <s v="借呗"/>
    <x v="1"/>
    <x v="2"/>
    <x v="6"/>
    <s v="一组"/>
    <s v="广州一组"/>
    <s v="管理人员"/>
    <n v="9833.7766666666666"/>
    <n v="2020"/>
    <x v="1"/>
  </r>
  <r>
    <x v="44"/>
    <n v="1000000928"/>
    <s v="借呗12期"/>
    <n v="2"/>
    <n v="28000.81"/>
    <s v="借呗"/>
    <x v="0"/>
    <x v="1"/>
    <x v="8"/>
    <s v="一组"/>
    <s v="西安一组"/>
    <s v="普通员工"/>
    <n v="14000.405000000001"/>
    <n v="2020"/>
    <x v="1"/>
  </r>
  <r>
    <x v="44"/>
    <n v="1000000035"/>
    <s v="借呗18期"/>
    <n v="3"/>
    <n v="27000.97"/>
    <s v="借呗"/>
    <x v="2"/>
    <x v="0"/>
    <x v="1"/>
    <s v="三组"/>
    <s v="苏州三组"/>
    <s v="普通员工"/>
    <n v="9000.3233333333337"/>
    <n v="2020"/>
    <x v="1"/>
  </r>
  <r>
    <x v="44"/>
    <n v="1000004256"/>
    <s v="借呗18期"/>
    <n v="1"/>
    <n v="25000.73"/>
    <s v="借呗"/>
    <x v="2"/>
    <x v="0"/>
    <x v="5"/>
    <s v="一组"/>
    <s v="合肥一组"/>
    <s v="普通员工"/>
    <n v="25000.73"/>
    <n v="2020"/>
    <x v="1"/>
  </r>
  <r>
    <x v="44"/>
    <n v="1000000031"/>
    <s v="借呗6期"/>
    <n v="1"/>
    <n v="25000.01"/>
    <s v="借呗"/>
    <x v="1"/>
    <x v="0"/>
    <x v="0"/>
    <s v="一组"/>
    <s v="杭州一组"/>
    <s v="管理人员"/>
    <n v="25000.01"/>
    <n v="2020"/>
    <x v="1"/>
  </r>
  <r>
    <x v="44"/>
    <n v="1000000237"/>
    <s v="借呗18期"/>
    <n v="2"/>
    <n v="24001.35"/>
    <s v="借呗"/>
    <x v="2"/>
    <x v="0"/>
    <x v="5"/>
    <s v="一组"/>
    <s v="合肥一组"/>
    <s v="普通员工"/>
    <n v="12000.674999999999"/>
    <n v="2020"/>
    <x v="1"/>
  </r>
  <r>
    <x v="44"/>
    <n v="1000000576"/>
    <s v="借呗18期"/>
    <n v="1"/>
    <n v="22000.49"/>
    <s v="借呗"/>
    <x v="2"/>
    <x v="0"/>
    <x v="1"/>
    <s v="三组"/>
    <s v="苏州三组"/>
    <s v="普通员工"/>
    <n v="22000.49"/>
    <n v="2020"/>
    <x v="1"/>
  </r>
  <r>
    <x v="44"/>
    <n v="1000000036"/>
    <s v="借呗18期"/>
    <n v="1"/>
    <n v="22000.01"/>
    <s v="借呗"/>
    <x v="2"/>
    <x v="2"/>
    <x v="6"/>
    <s v="三组"/>
    <s v="广州三组"/>
    <s v="管理人员"/>
    <n v="22000.01"/>
    <n v="2020"/>
    <x v="1"/>
  </r>
  <r>
    <x v="44"/>
    <n v="1000006064"/>
    <s v="借呗12期"/>
    <n v="2"/>
    <n v="21500.83"/>
    <s v="借呗"/>
    <x v="0"/>
    <x v="0"/>
    <x v="5"/>
    <s v="一组"/>
    <s v="合肥一组"/>
    <s v="普通员工"/>
    <n v="10750.415000000001"/>
    <n v="2020"/>
    <x v="1"/>
  </r>
  <r>
    <x v="44"/>
    <n v="1000000056"/>
    <s v="借呗18期"/>
    <n v="1"/>
    <n v="20000.75"/>
    <s v="借呗"/>
    <x v="2"/>
    <x v="0"/>
    <x v="3"/>
    <s v="一组"/>
    <s v="上海一组"/>
    <s v="管理人员"/>
    <n v="20000.75"/>
    <n v="2020"/>
    <x v="1"/>
  </r>
  <r>
    <x v="44"/>
    <n v="1000004170"/>
    <s v="借呗6期"/>
    <n v="1"/>
    <n v="20000.64"/>
    <s v="借呗"/>
    <x v="1"/>
    <x v="0"/>
    <x v="3"/>
    <s v="二组"/>
    <s v="上海二组"/>
    <s v="管理人员"/>
    <n v="20000.64"/>
    <n v="2020"/>
    <x v="1"/>
  </r>
  <r>
    <x v="44"/>
    <n v="1000000034"/>
    <s v="借呗6期"/>
    <n v="1"/>
    <n v="20000.330000000002"/>
    <s v="借呗"/>
    <x v="1"/>
    <x v="0"/>
    <x v="1"/>
    <s v="一组"/>
    <s v="苏州一组"/>
    <s v="普通员工"/>
    <n v="20000.330000000002"/>
    <n v="2020"/>
    <x v="1"/>
  </r>
  <r>
    <x v="44"/>
    <n v="1000000566"/>
    <s v="借呗6期"/>
    <n v="2"/>
    <n v="18000.34"/>
    <s v="借呗"/>
    <x v="1"/>
    <x v="2"/>
    <x v="6"/>
    <s v="三组"/>
    <s v="广州三组"/>
    <s v="普通员工"/>
    <n v="9000.17"/>
    <n v="2020"/>
    <x v="1"/>
  </r>
  <r>
    <x v="44"/>
    <n v="1000000039"/>
    <s v="借呗6期"/>
    <n v="1"/>
    <n v="17000.009999999998"/>
    <s v="借呗"/>
    <x v="1"/>
    <x v="0"/>
    <x v="1"/>
    <s v="二组"/>
    <s v="苏州二组"/>
    <s v="管理人员"/>
    <n v="17000.009999999998"/>
    <n v="2020"/>
    <x v="1"/>
  </r>
  <r>
    <x v="44"/>
    <n v="1000000031"/>
    <s v="借呗18期"/>
    <n v="1"/>
    <n v="15000.2"/>
    <s v="借呗"/>
    <x v="2"/>
    <x v="0"/>
    <x v="0"/>
    <s v="一组"/>
    <s v="杭州一组"/>
    <s v="管理人员"/>
    <n v="15000.2"/>
    <n v="2020"/>
    <x v="1"/>
  </r>
  <r>
    <x v="44"/>
    <n v="1000000576"/>
    <s v="借呗12期"/>
    <n v="1"/>
    <n v="14000.61"/>
    <s v="借呗"/>
    <x v="0"/>
    <x v="0"/>
    <x v="1"/>
    <s v="三组"/>
    <s v="苏州三组"/>
    <s v="普通员工"/>
    <n v="14000.61"/>
    <n v="2020"/>
    <x v="1"/>
  </r>
  <r>
    <x v="44"/>
    <n v="1000000030"/>
    <s v="借呗6期"/>
    <n v="1"/>
    <n v="14000.52"/>
    <s v="借呗"/>
    <x v="1"/>
    <x v="2"/>
    <x v="6"/>
    <s v="三组"/>
    <s v="广州三组"/>
    <s v="普通员工"/>
    <n v="14000.52"/>
    <n v="2020"/>
    <x v="1"/>
  </r>
  <r>
    <x v="44"/>
    <n v="1000004170"/>
    <s v="借呗12期"/>
    <n v="1"/>
    <n v="14000.4"/>
    <s v="借呗"/>
    <x v="0"/>
    <x v="0"/>
    <x v="3"/>
    <s v="二组"/>
    <s v="上海二组"/>
    <s v="管理人员"/>
    <n v="14000.4"/>
    <n v="2020"/>
    <x v="1"/>
  </r>
  <r>
    <x v="44"/>
    <n v="1000000043"/>
    <s v="借呗12期"/>
    <n v="1"/>
    <n v="14000.35"/>
    <s v="借呗"/>
    <x v="0"/>
    <x v="1"/>
    <x v="4"/>
    <s v="一组"/>
    <s v="成都一组"/>
    <s v="普通员工"/>
    <n v="14000.35"/>
    <n v="2020"/>
    <x v="1"/>
  </r>
  <r>
    <x v="44"/>
    <n v="1000001513"/>
    <s v="借呗6期"/>
    <n v="1"/>
    <n v="14000.22"/>
    <s v="借呗"/>
    <x v="1"/>
    <x v="0"/>
    <x v="3"/>
    <s v="二组"/>
    <s v="上海二组"/>
    <s v="普通员工"/>
    <n v="14000.22"/>
    <n v="2020"/>
    <x v="1"/>
  </r>
  <r>
    <x v="44"/>
    <n v="1000000068"/>
    <s v="借呗12期"/>
    <n v="1"/>
    <n v="13000.33"/>
    <s v="借呗"/>
    <x v="0"/>
    <x v="1"/>
    <x v="7"/>
    <s v="一组"/>
    <s v="重庆一组"/>
    <s v="管理人员"/>
    <n v="13000.33"/>
    <n v="2020"/>
    <x v="1"/>
  </r>
  <r>
    <x v="44"/>
    <n v="1000003803"/>
    <s v="借呗12期"/>
    <n v="1"/>
    <n v="11000.23"/>
    <s v="借呗"/>
    <x v="0"/>
    <x v="1"/>
    <x v="2"/>
    <s v="三组"/>
    <s v="北京三组"/>
    <s v="普通员工"/>
    <n v="11000.23"/>
    <n v="2020"/>
    <x v="1"/>
  </r>
  <r>
    <x v="44"/>
    <n v="1000000046"/>
    <s v="借呗12期"/>
    <n v="1"/>
    <n v="11000.07"/>
    <s v="借呗"/>
    <x v="0"/>
    <x v="1"/>
    <x v="4"/>
    <s v="一组"/>
    <s v="成都一组"/>
    <s v="普通员工"/>
    <n v="11000.07"/>
    <n v="2020"/>
    <x v="1"/>
  </r>
  <r>
    <x v="44"/>
    <n v="1000000032"/>
    <s v="借呗18期"/>
    <n v="1"/>
    <n v="10985.24"/>
    <s v="借呗"/>
    <x v="2"/>
    <x v="0"/>
    <x v="1"/>
    <s v="一组"/>
    <s v="苏州一组"/>
    <s v="管理人员"/>
    <n v="10985.24"/>
    <n v="2020"/>
    <x v="1"/>
  </r>
  <r>
    <x v="44"/>
    <n v="1000000035"/>
    <s v="借呗12期"/>
    <n v="1"/>
    <n v="10000.719999999999"/>
    <s v="借呗"/>
    <x v="0"/>
    <x v="0"/>
    <x v="1"/>
    <s v="三组"/>
    <s v="苏州三组"/>
    <s v="普通员工"/>
    <n v="10000.719999999999"/>
    <n v="2020"/>
    <x v="1"/>
  </r>
  <r>
    <x v="44"/>
    <n v="1000000056"/>
    <s v="借呗6期"/>
    <n v="1"/>
    <n v="10000.23"/>
    <s v="借呗"/>
    <x v="1"/>
    <x v="0"/>
    <x v="3"/>
    <s v="一组"/>
    <s v="上海一组"/>
    <s v="管理人员"/>
    <n v="10000.23"/>
    <n v="2020"/>
    <x v="1"/>
  </r>
  <r>
    <x v="44"/>
    <n v="1000000040"/>
    <s v="借呗6期"/>
    <n v="1"/>
    <n v="9000.44"/>
    <s v="借呗"/>
    <x v="1"/>
    <x v="1"/>
    <x v="2"/>
    <s v="四组"/>
    <s v="北京四组"/>
    <s v="管理人员"/>
    <n v="9000.44"/>
    <n v="2020"/>
    <x v="1"/>
  </r>
  <r>
    <x v="44"/>
    <n v="1000000237"/>
    <s v="借呗12期"/>
    <n v="1"/>
    <n v="8999.94"/>
    <s v="借呗"/>
    <x v="0"/>
    <x v="0"/>
    <x v="5"/>
    <s v="一组"/>
    <s v="合肥一组"/>
    <s v="普通员工"/>
    <n v="8999.94"/>
    <n v="2020"/>
    <x v="1"/>
  </r>
  <r>
    <x v="44"/>
    <n v="1000000033"/>
    <s v="借呗6期"/>
    <n v="1"/>
    <n v="8999.93"/>
    <s v="借呗"/>
    <x v="1"/>
    <x v="0"/>
    <x v="1"/>
    <s v="一组"/>
    <s v="苏州一组"/>
    <s v="普通员工"/>
    <n v="8999.93"/>
    <n v="2020"/>
    <x v="1"/>
  </r>
  <r>
    <x v="44"/>
    <n v="1000000067"/>
    <s v="借呗6期"/>
    <n v="2"/>
    <n v="8000.79"/>
    <s v="借呗"/>
    <x v="1"/>
    <x v="0"/>
    <x v="1"/>
    <s v="二组"/>
    <s v="苏州二组"/>
    <s v="普通员工"/>
    <n v="4000.395"/>
    <n v="2020"/>
    <x v="1"/>
  </r>
  <r>
    <x v="44"/>
    <n v="1000000068"/>
    <s v="借呗6期"/>
    <n v="1"/>
    <n v="8000.59"/>
    <s v="借呗"/>
    <x v="1"/>
    <x v="1"/>
    <x v="7"/>
    <s v="一组"/>
    <s v="重庆一组"/>
    <s v="管理人员"/>
    <n v="8000.59"/>
    <n v="2020"/>
    <x v="1"/>
  </r>
  <r>
    <x v="44"/>
    <n v="1000000046"/>
    <s v="借呗18期"/>
    <n v="1"/>
    <n v="7500.35"/>
    <s v="借呗"/>
    <x v="2"/>
    <x v="1"/>
    <x v="4"/>
    <s v="一组"/>
    <s v="成都一组"/>
    <s v="普通员工"/>
    <n v="7500.35"/>
    <n v="2020"/>
    <x v="1"/>
  </r>
  <r>
    <x v="44"/>
    <n v="1000004256"/>
    <s v="借呗6期"/>
    <n v="1"/>
    <n v="7000.2"/>
    <s v="借呗"/>
    <x v="1"/>
    <x v="0"/>
    <x v="5"/>
    <s v="一组"/>
    <s v="合肥一组"/>
    <s v="普通员工"/>
    <n v="7000.2"/>
    <n v="2020"/>
    <x v="1"/>
  </r>
  <r>
    <x v="44"/>
    <n v="1000000037"/>
    <s v="借呗12期"/>
    <n v="1"/>
    <n v="7000.15"/>
    <s v="借呗"/>
    <x v="0"/>
    <x v="0"/>
    <x v="0"/>
    <s v="二组"/>
    <s v="杭州二组"/>
    <s v="普通员工"/>
    <n v="7000.15"/>
    <n v="2020"/>
    <x v="1"/>
  </r>
  <r>
    <x v="44"/>
    <n v="1000000050"/>
    <s v="借呗6期"/>
    <n v="2"/>
    <n v="6700.88"/>
    <s v="借呗"/>
    <x v="1"/>
    <x v="0"/>
    <x v="5"/>
    <s v="一组"/>
    <s v="合肥一组"/>
    <s v="普通员工"/>
    <n v="3350.44"/>
    <n v="2020"/>
    <x v="1"/>
  </r>
  <r>
    <x v="44"/>
    <n v="1000000040"/>
    <s v="借呗12期"/>
    <n v="1"/>
    <n v="6000.3"/>
    <s v="借呗"/>
    <x v="0"/>
    <x v="1"/>
    <x v="2"/>
    <s v="四组"/>
    <s v="北京四组"/>
    <s v="管理人员"/>
    <n v="6000.3"/>
    <n v="2020"/>
    <x v="1"/>
  </r>
  <r>
    <x v="44"/>
    <n v="1000000056"/>
    <s v="借呗12期"/>
    <n v="1"/>
    <n v="5000.53"/>
    <s v="借呗"/>
    <x v="0"/>
    <x v="0"/>
    <x v="3"/>
    <s v="一组"/>
    <s v="上海一组"/>
    <s v="管理人员"/>
    <n v="5000.53"/>
    <n v="2020"/>
    <x v="1"/>
  </r>
  <r>
    <x v="44"/>
    <n v="1000003989"/>
    <s v="借呗18期"/>
    <n v="1"/>
    <n v="4999.9799999999996"/>
    <s v="借呗"/>
    <x v="2"/>
    <x v="1"/>
    <x v="2"/>
    <s v="三组"/>
    <s v="北京三组"/>
    <s v="普通员工"/>
    <n v="4999.9799999999996"/>
    <n v="2020"/>
    <x v="1"/>
  </r>
  <r>
    <x v="44"/>
    <n v="1000000037"/>
    <s v="借呗18期"/>
    <n v="1"/>
    <n v="2800.2"/>
    <s v="借呗"/>
    <x v="2"/>
    <x v="0"/>
    <x v="0"/>
    <s v="二组"/>
    <s v="杭州二组"/>
    <s v="普通员工"/>
    <n v="2800.2"/>
    <n v="2020"/>
    <x v="1"/>
  </r>
  <r>
    <x v="45"/>
    <n v="1000003926"/>
    <s v="借呗6期"/>
    <n v="6"/>
    <n v="96501.760000000009"/>
    <s v="借呗"/>
    <x v="1"/>
    <x v="2"/>
    <x v="6"/>
    <s v="一组"/>
    <s v="广州一组"/>
    <s v="管理人员"/>
    <n v="16083.626666666669"/>
    <n v="2020"/>
    <x v="1"/>
  </r>
  <r>
    <x v="45"/>
    <n v="1000006869"/>
    <s v="借呗12期"/>
    <n v="2"/>
    <n v="45000.369999999995"/>
    <s v="借呗"/>
    <x v="0"/>
    <x v="0"/>
    <x v="10"/>
    <s v="一组"/>
    <s v="南京一组"/>
    <s v="普通员工"/>
    <n v="22500.185000000001"/>
    <n v="2020"/>
    <x v="1"/>
  </r>
  <r>
    <x v="45"/>
    <n v="1000000028"/>
    <s v="借呗12期"/>
    <n v="2"/>
    <n v="28500.32"/>
    <s v="借呗"/>
    <x v="0"/>
    <x v="0"/>
    <x v="0"/>
    <s v="二组"/>
    <s v="杭州二组"/>
    <s v="普通员工"/>
    <n v="14250.16"/>
    <n v="2020"/>
    <x v="1"/>
  </r>
  <r>
    <x v="45"/>
    <n v="1000005873"/>
    <s v="借呗18期"/>
    <n v="1"/>
    <n v="24999.95"/>
    <s v="借呗"/>
    <x v="2"/>
    <x v="0"/>
    <x v="0"/>
    <s v="二组"/>
    <s v="杭州二组"/>
    <s v="管理人员"/>
    <n v="24999.95"/>
    <n v="2020"/>
    <x v="1"/>
  </r>
  <r>
    <x v="45"/>
    <n v="1000006860"/>
    <s v="借呗12期"/>
    <n v="1"/>
    <n v="20000.669999999998"/>
    <s v="借呗"/>
    <x v="0"/>
    <x v="0"/>
    <x v="10"/>
    <s v="一组"/>
    <s v="南京一组"/>
    <s v="普通员工"/>
    <n v="20000.669999999998"/>
    <n v="2020"/>
    <x v="1"/>
  </r>
  <r>
    <x v="45"/>
    <n v="1000003989"/>
    <s v="借呗12期"/>
    <n v="1"/>
    <n v="20000.580000000002"/>
    <s v="借呗"/>
    <x v="0"/>
    <x v="1"/>
    <x v="2"/>
    <s v="三组"/>
    <s v="北京三组"/>
    <s v="普通员工"/>
    <n v="20000.580000000002"/>
    <n v="2020"/>
    <x v="1"/>
  </r>
  <r>
    <x v="45"/>
    <n v="1000006867"/>
    <s v="借呗6期"/>
    <n v="1"/>
    <n v="20000.439999999999"/>
    <s v="借呗"/>
    <x v="1"/>
    <x v="0"/>
    <x v="10"/>
    <s v="一组"/>
    <s v="南京一组"/>
    <s v="普通员工"/>
    <n v="20000.439999999999"/>
    <n v="2020"/>
    <x v="1"/>
  </r>
  <r>
    <x v="45"/>
    <n v="1000000031"/>
    <s v="借呗12期"/>
    <n v="1"/>
    <n v="20000.400000000001"/>
    <s v="借呗"/>
    <x v="0"/>
    <x v="0"/>
    <x v="0"/>
    <s v="一组"/>
    <s v="杭州一组"/>
    <s v="管理人员"/>
    <n v="20000.400000000001"/>
    <n v="2020"/>
    <x v="1"/>
  </r>
  <r>
    <x v="45"/>
    <n v="1000000031"/>
    <s v="借呗6期"/>
    <n v="1"/>
    <n v="20000.3"/>
    <s v="借呗"/>
    <x v="1"/>
    <x v="0"/>
    <x v="0"/>
    <s v="一组"/>
    <s v="杭州一组"/>
    <s v="管理人员"/>
    <n v="20000.3"/>
    <n v="2020"/>
    <x v="1"/>
  </r>
  <r>
    <x v="45"/>
    <n v="1000000566"/>
    <s v="借呗18期"/>
    <n v="2"/>
    <n v="18000.7"/>
    <s v="借呗"/>
    <x v="2"/>
    <x v="2"/>
    <x v="6"/>
    <s v="三组"/>
    <s v="广州三组"/>
    <s v="普通员工"/>
    <n v="9000.35"/>
    <n v="2020"/>
    <x v="1"/>
  </r>
  <r>
    <x v="45"/>
    <n v="1000000029"/>
    <s v="借呗12期"/>
    <n v="2"/>
    <n v="15500.31"/>
    <s v="借呗"/>
    <x v="0"/>
    <x v="0"/>
    <x v="0"/>
    <s v="二组"/>
    <s v="杭州二组"/>
    <s v="普通员工"/>
    <n v="7750.1549999999997"/>
    <n v="2020"/>
    <x v="1"/>
  </r>
  <r>
    <x v="45"/>
    <n v="1000006860"/>
    <s v="借呗6期"/>
    <n v="1"/>
    <n v="15000.71"/>
    <s v="借呗"/>
    <x v="1"/>
    <x v="0"/>
    <x v="10"/>
    <s v="一组"/>
    <s v="南京一组"/>
    <s v="普通员工"/>
    <n v="15000.71"/>
    <n v="2020"/>
    <x v="1"/>
  </r>
  <r>
    <x v="45"/>
    <n v="1000004170"/>
    <s v="借呗18期"/>
    <n v="1"/>
    <n v="15000.62"/>
    <s v="借呗"/>
    <x v="2"/>
    <x v="0"/>
    <x v="3"/>
    <s v="二组"/>
    <s v="上海二组"/>
    <s v="管理人员"/>
    <n v="15000.62"/>
    <n v="2020"/>
    <x v="1"/>
  </r>
  <r>
    <x v="45"/>
    <n v="1000004256"/>
    <s v="借呗6期"/>
    <n v="1"/>
    <n v="15000.34"/>
    <s v="借呗"/>
    <x v="1"/>
    <x v="0"/>
    <x v="5"/>
    <s v="一组"/>
    <s v="合肥一组"/>
    <s v="普通员工"/>
    <n v="15000.34"/>
    <n v="2020"/>
    <x v="1"/>
  </r>
  <r>
    <x v="45"/>
    <n v="1000000029"/>
    <s v="借呗18期"/>
    <n v="1"/>
    <n v="15000.2"/>
    <s v="借呗"/>
    <x v="2"/>
    <x v="0"/>
    <x v="0"/>
    <s v="二组"/>
    <s v="杭州二组"/>
    <s v="普通员工"/>
    <n v="15000.2"/>
    <n v="2020"/>
    <x v="1"/>
  </r>
  <r>
    <x v="45"/>
    <n v="1000000576"/>
    <s v="借呗12期"/>
    <n v="1"/>
    <n v="14000.34"/>
    <s v="借呗"/>
    <x v="0"/>
    <x v="0"/>
    <x v="1"/>
    <s v="三组"/>
    <s v="苏州三组"/>
    <s v="普通员工"/>
    <n v="14000.34"/>
    <n v="2020"/>
    <x v="1"/>
  </r>
  <r>
    <x v="45"/>
    <n v="1000000067"/>
    <s v="借呗12期"/>
    <n v="1"/>
    <n v="13000.73"/>
    <s v="借呗"/>
    <x v="0"/>
    <x v="0"/>
    <x v="1"/>
    <s v="二组"/>
    <s v="苏州二组"/>
    <s v="普通员工"/>
    <n v="13000.73"/>
    <n v="2020"/>
    <x v="1"/>
  </r>
  <r>
    <x v="45"/>
    <n v="1000000050"/>
    <s v="借呗18期"/>
    <n v="2"/>
    <n v="12000.52"/>
    <s v="借呗"/>
    <x v="2"/>
    <x v="0"/>
    <x v="5"/>
    <s v="一组"/>
    <s v="合肥一组"/>
    <s v="普通员工"/>
    <n v="6000.26"/>
    <n v="2020"/>
    <x v="1"/>
  </r>
  <r>
    <x v="45"/>
    <n v="1000004170"/>
    <s v="借呗12期"/>
    <n v="1"/>
    <n v="12000.02"/>
    <s v="借呗"/>
    <x v="0"/>
    <x v="0"/>
    <x v="3"/>
    <s v="二组"/>
    <s v="上海二组"/>
    <s v="管理人员"/>
    <n v="12000.02"/>
    <n v="2020"/>
    <x v="1"/>
  </r>
  <r>
    <x v="45"/>
    <n v="1000000104"/>
    <s v="借呗12期"/>
    <n v="1"/>
    <n v="11000.02"/>
    <s v="借呗"/>
    <x v="0"/>
    <x v="0"/>
    <x v="5"/>
    <s v="一组"/>
    <s v="合肥一组"/>
    <s v="普通员工"/>
    <n v="11000.02"/>
    <n v="2020"/>
    <x v="1"/>
  </r>
  <r>
    <x v="45"/>
    <n v="1000000046"/>
    <s v="借呗18期"/>
    <n v="1"/>
    <n v="10000.14"/>
    <s v="借呗"/>
    <x v="2"/>
    <x v="1"/>
    <x v="4"/>
    <s v="一组"/>
    <s v="成都一组"/>
    <s v="普通员工"/>
    <n v="10000.14"/>
    <n v="2020"/>
    <x v="1"/>
  </r>
  <r>
    <x v="45"/>
    <n v="1000000068"/>
    <s v="借呗6期"/>
    <n v="1"/>
    <n v="9000.57"/>
    <s v="借呗"/>
    <x v="1"/>
    <x v="1"/>
    <x v="7"/>
    <s v="一组"/>
    <s v="重庆一组"/>
    <s v="管理人员"/>
    <n v="9000.57"/>
    <n v="2020"/>
    <x v="1"/>
  </r>
  <r>
    <x v="45"/>
    <n v="1000000046"/>
    <s v="借呗12期"/>
    <n v="1"/>
    <n v="9000.24"/>
    <s v="借呗"/>
    <x v="0"/>
    <x v="1"/>
    <x v="4"/>
    <s v="一组"/>
    <s v="成都一组"/>
    <s v="普通员工"/>
    <n v="9000.24"/>
    <n v="2020"/>
    <x v="1"/>
  </r>
  <r>
    <x v="45"/>
    <n v="1000000104"/>
    <s v="借呗18期"/>
    <n v="1"/>
    <n v="8999.94"/>
    <s v="借呗"/>
    <x v="2"/>
    <x v="0"/>
    <x v="5"/>
    <s v="一组"/>
    <s v="合肥一组"/>
    <s v="普通员工"/>
    <n v="8999.94"/>
    <n v="2020"/>
    <x v="1"/>
  </r>
  <r>
    <x v="45"/>
    <n v="1000000040"/>
    <s v="借呗6期"/>
    <n v="1"/>
    <n v="8000.75"/>
    <s v="借呗"/>
    <x v="1"/>
    <x v="1"/>
    <x v="2"/>
    <s v="四组"/>
    <s v="北京四组"/>
    <s v="管理人员"/>
    <n v="8000.75"/>
    <n v="2020"/>
    <x v="1"/>
  </r>
  <r>
    <x v="45"/>
    <n v="1000000040"/>
    <s v="借呗12期"/>
    <n v="1"/>
    <n v="8000.23"/>
    <s v="借呗"/>
    <x v="0"/>
    <x v="1"/>
    <x v="2"/>
    <s v="四组"/>
    <s v="北京四组"/>
    <s v="管理人员"/>
    <n v="8000.23"/>
    <n v="2020"/>
    <x v="1"/>
  </r>
  <r>
    <x v="45"/>
    <n v="1000000043"/>
    <s v="借呗12期"/>
    <n v="1"/>
    <n v="7000.28"/>
    <s v="借呗"/>
    <x v="0"/>
    <x v="1"/>
    <x v="4"/>
    <s v="一组"/>
    <s v="成都一组"/>
    <s v="普通员工"/>
    <n v="7000.28"/>
    <n v="2020"/>
    <x v="1"/>
  </r>
  <r>
    <x v="45"/>
    <n v="1000003803"/>
    <s v="借呗6期"/>
    <n v="1"/>
    <n v="6999.99"/>
    <s v="借呗"/>
    <x v="1"/>
    <x v="1"/>
    <x v="2"/>
    <s v="三组"/>
    <s v="北京三组"/>
    <s v="普通员工"/>
    <n v="6999.99"/>
    <n v="2020"/>
    <x v="1"/>
  </r>
  <r>
    <x v="45"/>
    <n v="1000006867"/>
    <s v="借呗12期"/>
    <n v="1"/>
    <n v="6999.99"/>
    <s v="借呗"/>
    <x v="0"/>
    <x v="0"/>
    <x v="10"/>
    <s v="一组"/>
    <s v="南京一组"/>
    <s v="普通员工"/>
    <n v="6999.99"/>
    <n v="2020"/>
    <x v="1"/>
  </r>
  <r>
    <x v="45"/>
    <n v="1000000041"/>
    <s v="借呗6期"/>
    <n v="1"/>
    <n v="6000.3"/>
    <s v="借呗"/>
    <x v="1"/>
    <x v="1"/>
    <x v="2"/>
    <s v="四组"/>
    <s v="北京四组"/>
    <s v="普通员工"/>
    <n v="6000.3"/>
    <n v="2020"/>
    <x v="1"/>
  </r>
  <r>
    <x v="45"/>
    <n v="1000000043"/>
    <s v="借呗6期"/>
    <n v="1"/>
    <n v="5500.74"/>
    <s v="借呗"/>
    <x v="1"/>
    <x v="1"/>
    <x v="4"/>
    <s v="一组"/>
    <s v="成都一组"/>
    <s v="普通员工"/>
    <n v="5500.74"/>
    <n v="2020"/>
    <x v="1"/>
  </r>
  <r>
    <x v="45"/>
    <n v="1000000049"/>
    <s v="借呗18期"/>
    <n v="1"/>
    <n v="5000.1499999999996"/>
    <s v="借呗"/>
    <x v="2"/>
    <x v="0"/>
    <x v="5"/>
    <s v="一组"/>
    <s v="合肥一组"/>
    <s v="普通员工"/>
    <n v="5000.1499999999996"/>
    <n v="2020"/>
    <x v="1"/>
  </r>
  <r>
    <x v="45"/>
    <n v="1000000237"/>
    <s v="借呗12期"/>
    <n v="1"/>
    <n v="5000.1400000000003"/>
    <s v="借呗"/>
    <x v="0"/>
    <x v="0"/>
    <x v="5"/>
    <s v="一组"/>
    <s v="合肥一组"/>
    <s v="普通员工"/>
    <n v="5000.1400000000003"/>
    <n v="2020"/>
    <x v="1"/>
  </r>
  <r>
    <x v="45"/>
    <n v="1000000037"/>
    <s v="借呗18期"/>
    <n v="1"/>
    <n v="4401.42"/>
    <s v="借呗"/>
    <x v="2"/>
    <x v="0"/>
    <x v="0"/>
    <s v="二组"/>
    <s v="杭州二组"/>
    <s v="普通员工"/>
    <n v="4401.42"/>
    <n v="2020"/>
    <x v="1"/>
  </r>
  <r>
    <x v="45"/>
    <n v="1000000044"/>
    <s v="借呗12期"/>
    <n v="1"/>
    <n v="4000.73"/>
    <s v="借呗"/>
    <x v="0"/>
    <x v="1"/>
    <x v="2"/>
    <s v="三组"/>
    <s v="北京三组"/>
    <s v="管理人员"/>
    <n v="4000.73"/>
    <n v="2020"/>
    <x v="1"/>
  </r>
  <r>
    <x v="45"/>
    <n v="1000000036"/>
    <s v="借呗18期"/>
    <n v="1"/>
    <n v="3000.67"/>
    <s v="借呗"/>
    <x v="2"/>
    <x v="2"/>
    <x v="6"/>
    <s v="三组"/>
    <s v="广州三组"/>
    <s v="管理人员"/>
    <n v="3000.67"/>
    <n v="2020"/>
    <x v="1"/>
  </r>
  <r>
    <x v="45"/>
    <n v="1000000057"/>
    <s v="借呗18期"/>
    <n v="1"/>
    <n v="762.28"/>
    <s v="借呗"/>
    <x v="2"/>
    <x v="0"/>
    <x v="3"/>
    <s v="二组"/>
    <s v="上海二组"/>
    <s v="普通员工"/>
    <n v="762.28"/>
    <n v="2020"/>
    <x v="1"/>
  </r>
  <r>
    <x v="46"/>
    <n v="1000000028"/>
    <s v="借呗12期"/>
    <n v="4"/>
    <n v="60001.53"/>
    <s v="借呗"/>
    <x v="0"/>
    <x v="0"/>
    <x v="0"/>
    <s v="二组"/>
    <s v="杭州二组"/>
    <s v="普通员工"/>
    <n v="15000.3825"/>
    <n v="2020"/>
    <x v="1"/>
  </r>
  <r>
    <x v="46"/>
    <n v="1000003926"/>
    <s v="借呗6期"/>
    <n v="3"/>
    <n v="36000.36"/>
    <s v="借呗"/>
    <x v="1"/>
    <x v="2"/>
    <x v="6"/>
    <s v="一组"/>
    <s v="广州一组"/>
    <s v="管理人员"/>
    <n v="12000.12"/>
    <n v="2020"/>
    <x v="1"/>
  </r>
  <r>
    <x v="46"/>
    <n v="1000006064"/>
    <s v="借呗18期"/>
    <n v="2"/>
    <n v="31000.42"/>
    <s v="借呗"/>
    <x v="2"/>
    <x v="0"/>
    <x v="5"/>
    <s v="一组"/>
    <s v="合肥一组"/>
    <s v="普通员工"/>
    <n v="15500.21"/>
    <n v="2020"/>
    <x v="1"/>
  </r>
  <r>
    <x v="46"/>
    <n v="1000000043"/>
    <s v="借呗18期"/>
    <n v="1"/>
    <n v="25000.66"/>
    <s v="借呗"/>
    <x v="2"/>
    <x v="1"/>
    <x v="4"/>
    <s v="一组"/>
    <s v="成都一组"/>
    <s v="普通员工"/>
    <n v="25000.66"/>
    <n v="2020"/>
    <x v="1"/>
  </r>
  <r>
    <x v="46"/>
    <n v="1000000928"/>
    <s v="借呗12期"/>
    <n v="2"/>
    <n v="25000.57"/>
    <s v="借呗"/>
    <x v="0"/>
    <x v="1"/>
    <x v="8"/>
    <s v="一组"/>
    <s v="西安一组"/>
    <s v="普通员工"/>
    <n v="12500.285"/>
    <n v="2020"/>
    <x v="1"/>
  </r>
  <r>
    <x v="46"/>
    <n v="1000000068"/>
    <s v="借呗12期"/>
    <n v="1"/>
    <n v="22000.41"/>
    <s v="借呗"/>
    <x v="0"/>
    <x v="1"/>
    <x v="7"/>
    <s v="一组"/>
    <s v="重庆一组"/>
    <s v="管理人员"/>
    <n v="22000.41"/>
    <n v="2020"/>
    <x v="1"/>
  </r>
  <r>
    <x v="46"/>
    <n v="1000003803"/>
    <s v="借呗12期"/>
    <n v="1"/>
    <n v="20000.61"/>
    <s v="借呗"/>
    <x v="0"/>
    <x v="1"/>
    <x v="2"/>
    <s v="三组"/>
    <s v="北京三组"/>
    <s v="普通员工"/>
    <n v="20000.61"/>
    <n v="2020"/>
    <x v="1"/>
  </r>
  <r>
    <x v="46"/>
    <n v="1000000056"/>
    <s v="借呗12期"/>
    <n v="2"/>
    <n v="19500.57"/>
    <s v="借呗"/>
    <x v="0"/>
    <x v="0"/>
    <x v="3"/>
    <s v="一组"/>
    <s v="上海一组"/>
    <s v="管理人员"/>
    <n v="9750.2849999999999"/>
    <n v="2020"/>
    <x v="1"/>
  </r>
  <r>
    <x v="46"/>
    <n v="1000000050"/>
    <s v="借呗18期"/>
    <n v="2"/>
    <n v="19000.79"/>
    <s v="借呗"/>
    <x v="2"/>
    <x v="0"/>
    <x v="5"/>
    <s v="一组"/>
    <s v="合肥一组"/>
    <s v="普通员工"/>
    <n v="9500.3950000000004"/>
    <n v="2020"/>
    <x v="1"/>
  </r>
  <r>
    <x v="46"/>
    <n v="1000000566"/>
    <s v="借呗12期"/>
    <n v="1"/>
    <n v="18000.419999999998"/>
    <s v="借呗"/>
    <x v="0"/>
    <x v="2"/>
    <x v="6"/>
    <s v="三组"/>
    <s v="广州三组"/>
    <s v="普通员工"/>
    <n v="18000.419999999998"/>
    <n v="2020"/>
    <x v="1"/>
  </r>
  <r>
    <x v="46"/>
    <n v="1000006867"/>
    <s v="借呗12期"/>
    <n v="1"/>
    <n v="18000.189999999999"/>
    <s v="借呗"/>
    <x v="0"/>
    <x v="0"/>
    <x v="10"/>
    <s v="一组"/>
    <s v="南京一组"/>
    <s v="普通员工"/>
    <n v="18000.189999999999"/>
    <n v="2020"/>
    <x v="1"/>
  </r>
  <r>
    <x v="46"/>
    <n v="1000000041"/>
    <s v="借呗6期"/>
    <n v="2"/>
    <n v="17500.96"/>
    <s v="借呗"/>
    <x v="1"/>
    <x v="1"/>
    <x v="2"/>
    <s v="四组"/>
    <s v="北京四组"/>
    <s v="普通员工"/>
    <n v="8750.48"/>
    <n v="2020"/>
    <x v="1"/>
  </r>
  <r>
    <x v="46"/>
    <n v="1000000576"/>
    <s v="借呗12期"/>
    <n v="1"/>
    <n v="16999.95"/>
    <s v="借呗"/>
    <x v="0"/>
    <x v="0"/>
    <x v="1"/>
    <s v="三组"/>
    <s v="苏州三组"/>
    <s v="普通员工"/>
    <n v="16999.95"/>
    <n v="2020"/>
    <x v="1"/>
  </r>
  <r>
    <x v="46"/>
    <n v="1000000054"/>
    <s v="借呗12期"/>
    <n v="2"/>
    <n v="16000.93"/>
    <s v="借呗"/>
    <x v="0"/>
    <x v="0"/>
    <x v="3"/>
    <s v="一组"/>
    <s v="上海一组"/>
    <s v="普通员工"/>
    <n v="8000.4650000000001"/>
    <n v="2020"/>
    <x v="1"/>
  </r>
  <r>
    <x v="46"/>
    <n v="1000000028"/>
    <s v="借呗18期"/>
    <n v="1"/>
    <n v="16000.74"/>
    <s v="借呗"/>
    <x v="2"/>
    <x v="0"/>
    <x v="0"/>
    <s v="二组"/>
    <s v="杭州二组"/>
    <s v="普通员工"/>
    <n v="16000.74"/>
    <n v="2020"/>
    <x v="1"/>
  </r>
  <r>
    <x v="46"/>
    <n v="1000006860"/>
    <s v="借呗12期"/>
    <n v="1"/>
    <n v="16000.68"/>
    <s v="借呗"/>
    <x v="0"/>
    <x v="0"/>
    <x v="10"/>
    <s v="一组"/>
    <s v="南京一组"/>
    <s v="普通员工"/>
    <n v="16000.68"/>
    <n v="2020"/>
    <x v="1"/>
  </r>
  <r>
    <x v="46"/>
    <n v="1000007197"/>
    <s v="借呗18期"/>
    <n v="1"/>
    <n v="16000.43"/>
    <s v="借呗"/>
    <x v="2"/>
    <x v="0"/>
    <x v="5"/>
    <s v="一组"/>
    <s v="合肥一组"/>
    <s v="普通员工"/>
    <n v="16000.43"/>
    <n v="2020"/>
    <x v="1"/>
  </r>
  <r>
    <x v="46"/>
    <n v="1000000034"/>
    <s v="借呗12期"/>
    <n v="1"/>
    <n v="15000"/>
    <s v="借呗"/>
    <x v="0"/>
    <x v="0"/>
    <x v="1"/>
    <s v="一组"/>
    <s v="苏州一组"/>
    <s v="普通员工"/>
    <n v="15000"/>
    <n v="2020"/>
    <x v="1"/>
  </r>
  <r>
    <x v="46"/>
    <n v="1000000104"/>
    <s v="借呗12期"/>
    <n v="1"/>
    <n v="13000.36"/>
    <s v="借呗"/>
    <x v="0"/>
    <x v="0"/>
    <x v="5"/>
    <s v="一组"/>
    <s v="合肥一组"/>
    <s v="普通员工"/>
    <n v="13000.36"/>
    <n v="2020"/>
    <x v="1"/>
  </r>
  <r>
    <x v="46"/>
    <n v="1000007320"/>
    <s v="借呗12期"/>
    <n v="1"/>
    <n v="12999.96"/>
    <s v="借呗"/>
    <x v="0"/>
    <x v="0"/>
    <x v="3"/>
    <s v="一组"/>
    <s v="上海一组"/>
    <s v="普通员工"/>
    <n v="12999.96"/>
    <n v="2020"/>
    <x v="1"/>
  </r>
  <r>
    <x v="46"/>
    <n v="1000000237"/>
    <s v="借呗12期"/>
    <n v="1"/>
    <n v="12000.55"/>
    <s v="借呗"/>
    <x v="0"/>
    <x v="0"/>
    <x v="5"/>
    <s v="一组"/>
    <s v="合肥一组"/>
    <s v="普通员工"/>
    <n v="12000.55"/>
    <n v="2020"/>
    <x v="1"/>
  </r>
  <r>
    <x v="46"/>
    <n v="1000000032"/>
    <s v="借呗6期"/>
    <n v="2"/>
    <n v="11000.47"/>
    <s v="借呗"/>
    <x v="1"/>
    <x v="0"/>
    <x v="1"/>
    <s v="一组"/>
    <s v="苏州一组"/>
    <s v="管理人员"/>
    <n v="5500.2349999999997"/>
    <n v="2020"/>
    <x v="1"/>
  </r>
  <r>
    <x v="46"/>
    <n v="1000000036"/>
    <s v="借呗12期"/>
    <n v="1"/>
    <n v="10000.31"/>
    <s v="借呗"/>
    <x v="0"/>
    <x v="2"/>
    <x v="6"/>
    <s v="三组"/>
    <s v="广州三组"/>
    <s v="管理人员"/>
    <n v="10000.31"/>
    <n v="2020"/>
    <x v="1"/>
  </r>
  <r>
    <x v="46"/>
    <n v="1000000045"/>
    <s v="借呗12期"/>
    <n v="1"/>
    <n v="10000.25"/>
    <s v="借呗"/>
    <x v="0"/>
    <x v="2"/>
    <x v="9"/>
    <s v="一组"/>
    <s v="深圳一组"/>
    <s v="普通员工"/>
    <n v="10000.25"/>
    <n v="2020"/>
    <x v="1"/>
  </r>
  <r>
    <x v="46"/>
    <n v="1000000104"/>
    <s v="借呗18期"/>
    <n v="1"/>
    <n v="9999.9699999999993"/>
    <s v="借呗"/>
    <x v="2"/>
    <x v="0"/>
    <x v="5"/>
    <s v="一组"/>
    <s v="合肥一组"/>
    <s v="普通员工"/>
    <n v="9999.9699999999993"/>
    <n v="2020"/>
    <x v="1"/>
  </r>
  <r>
    <x v="46"/>
    <n v="1000003803"/>
    <s v="借呗6期"/>
    <n v="1"/>
    <n v="9000.51"/>
    <s v="借呗"/>
    <x v="1"/>
    <x v="1"/>
    <x v="2"/>
    <s v="三组"/>
    <s v="北京三组"/>
    <s v="普通员工"/>
    <n v="9000.51"/>
    <n v="2020"/>
    <x v="1"/>
  </r>
  <r>
    <x v="46"/>
    <n v="1000004256"/>
    <s v="借呗12期"/>
    <n v="1"/>
    <n v="8000.5"/>
    <s v="借呗"/>
    <x v="0"/>
    <x v="0"/>
    <x v="5"/>
    <s v="一组"/>
    <s v="合肥一组"/>
    <s v="普通员工"/>
    <n v="8000.5"/>
    <n v="2020"/>
    <x v="1"/>
  </r>
  <r>
    <x v="46"/>
    <n v="1000004170"/>
    <s v="借呗12期"/>
    <n v="1"/>
    <n v="7500.25"/>
    <s v="借呗"/>
    <x v="0"/>
    <x v="0"/>
    <x v="3"/>
    <s v="二组"/>
    <s v="上海二组"/>
    <s v="管理人员"/>
    <n v="7500.25"/>
    <n v="2020"/>
    <x v="1"/>
  </r>
  <r>
    <x v="46"/>
    <n v="1000000237"/>
    <s v="借呗18期"/>
    <n v="1"/>
    <n v="7000.04"/>
    <s v="借呗"/>
    <x v="2"/>
    <x v="0"/>
    <x v="5"/>
    <s v="一组"/>
    <s v="合肥一组"/>
    <s v="普通员工"/>
    <n v="7000.04"/>
    <n v="2020"/>
    <x v="1"/>
  </r>
  <r>
    <x v="46"/>
    <n v="1000000036"/>
    <s v="借呗6期"/>
    <n v="2"/>
    <n v="6573.13"/>
    <s v="借呗"/>
    <x v="1"/>
    <x v="2"/>
    <x v="6"/>
    <s v="三组"/>
    <s v="广州三组"/>
    <s v="管理人员"/>
    <n v="3286.5650000000001"/>
    <n v="2020"/>
    <x v="1"/>
  </r>
  <r>
    <x v="46"/>
    <n v="1000000040"/>
    <s v="借呗12期"/>
    <n v="1"/>
    <n v="6500.73"/>
    <s v="借呗"/>
    <x v="0"/>
    <x v="1"/>
    <x v="2"/>
    <s v="四组"/>
    <s v="北京四组"/>
    <s v="管理人员"/>
    <n v="6500.73"/>
    <n v="2020"/>
    <x v="1"/>
  </r>
  <r>
    <x v="46"/>
    <n v="1000000037"/>
    <s v="借呗12期"/>
    <n v="1"/>
    <n v="6500.6"/>
    <s v="借呗"/>
    <x v="0"/>
    <x v="0"/>
    <x v="0"/>
    <s v="二组"/>
    <s v="杭州二组"/>
    <s v="普通员工"/>
    <n v="6500.6"/>
    <n v="2020"/>
    <x v="1"/>
  </r>
  <r>
    <x v="46"/>
    <n v="1000000041"/>
    <s v="借呗12期"/>
    <n v="1"/>
    <n v="5000.6000000000004"/>
    <s v="借呗"/>
    <x v="0"/>
    <x v="1"/>
    <x v="2"/>
    <s v="四组"/>
    <s v="北京四组"/>
    <s v="普通员工"/>
    <n v="5000.6000000000004"/>
    <n v="2020"/>
    <x v="1"/>
  </r>
  <r>
    <x v="46"/>
    <n v="1000000566"/>
    <s v="借呗6期"/>
    <n v="1"/>
    <n v="5000.42"/>
    <s v="借呗"/>
    <x v="1"/>
    <x v="2"/>
    <x v="6"/>
    <s v="三组"/>
    <s v="广州三组"/>
    <s v="普通员工"/>
    <n v="5000.42"/>
    <n v="2020"/>
    <x v="1"/>
  </r>
  <r>
    <x v="46"/>
    <n v="1000006064"/>
    <s v="借呗12期"/>
    <n v="1"/>
    <n v="5000.3999999999996"/>
    <s v="借呗"/>
    <x v="0"/>
    <x v="0"/>
    <x v="5"/>
    <s v="一组"/>
    <s v="合肥一组"/>
    <s v="普通员工"/>
    <n v="5000.3999999999996"/>
    <n v="2020"/>
    <x v="1"/>
  </r>
  <r>
    <x v="46"/>
    <n v="1000000576"/>
    <s v="借呗6期"/>
    <n v="1"/>
    <n v="5000.3900000000003"/>
    <s v="借呗"/>
    <x v="1"/>
    <x v="0"/>
    <x v="1"/>
    <s v="三组"/>
    <s v="苏州三组"/>
    <s v="普通员工"/>
    <n v="5000.3900000000003"/>
    <n v="2020"/>
    <x v="1"/>
  </r>
  <r>
    <x v="46"/>
    <n v="1000003489"/>
    <s v="借呗6期"/>
    <n v="1"/>
    <n v="5000.08"/>
    <s v="借呗"/>
    <x v="1"/>
    <x v="2"/>
    <x v="6"/>
    <s v="一组"/>
    <s v="广州一组"/>
    <s v="普通员工"/>
    <n v="5000.08"/>
    <n v="2020"/>
    <x v="1"/>
  </r>
  <r>
    <x v="46"/>
    <n v="1000000056"/>
    <s v="借呗6期"/>
    <n v="1"/>
    <n v="3000.52"/>
    <s v="借呗"/>
    <x v="1"/>
    <x v="0"/>
    <x v="3"/>
    <s v="一组"/>
    <s v="上海一组"/>
    <s v="管理人员"/>
    <n v="3000.52"/>
    <n v="2020"/>
    <x v="1"/>
  </r>
  <r>
    <x v="46"/>
    <n v="1000000052"/>
    <s v="借呗18期"/>
    <n v="1"/>
    <n v="2439.7399999999998"/>
    <s v="借呗"/>
    <x v="2"/>
    <x v="0"/>
    <x v="3"/>
    <s v="二组"/>
    <s v="上海二组"/>
    <s v="普通员工"/>
    <n v="2439.7399999999998"/>
    <n v="2020"/>
    <x v="1"/>
  </r>
  <r>
    <x v="46"/>
    <n v="1000000034"/>
    <s v="借呗6期"/>
    <n v="1"/>
    <n v="1900.75"/>
    <s v="借呗"/>
    <x v="1"/>
    <x v="0"/>
    <x v="1"/>
    <s v="一组"/>
    <s v="苏州一组"/>
    <s v="普通员工"/>
    <n v="1900.75"/>
    <n v="2020"/>
    <x v="1"/>
  </r>
  <r>
    <x v="46"/>
    <n v="1000000057"/>
    <s v="借呗6期"/>
    <n v="1"/>
    <n v="1257.68"/>
    <s v="借呗"/>
    <x v="1"/>
    <x v="0"/>
    <x v="3"/>
    <s v="二组"/>
    <s v="上海二组"/>
    <s v="普通员工"/>
    <n v="1257.68"/>
    <n v="2020"/>
    <x v="1"/>
  </r>
  <r>
    <x v="46"/>
    <n v="1000000039"/>
    <s v="借呗6期"/>
    <n v="1"/>
    <n v="1000.51"/>
    <s v="借呗"/>
    <x v="1"/>
    <x v="0"/>
    <x v="1"/>
    <s v="二组"/>
    <s v="苏州二组"/>
    <s v="管理人员"/>
    <n v="1000.51"/>
    <n v="2020"/>
    <x v="1"/>
  </r>
  <r>
    <x v="46"/>
    <n v="1000001513"/>
    <s v="借呗12期"/>
    <n v="1"/>
    <n v="623.54"/>
    <s v="借呗"/>
    <x v="0"/>
    <x v="0"/>
    <x v="3"/>
    <s v="二组"/>
    <s v="上海二组"/>
    <s v="普通员工"/>
    <n v="623.54"/>
    <n v="2020"/>
    <x v="1"/>
  </r>
  <r>
    <x v="47"/>
    <n v="1000003926"/>
    <s v="借呗12期"/>
    <n v="4"/>
    <n v="48001.22"/>
    <s v="借呗"/>
    <x v="0"/>
    <x v="2"/>
    <x v="6"/>
    <s v="一组"/>
    <s v="广州一组"/>
    <s v="管理人员"/>
    <n v="12000.305"/>
    <n v="2020"/>
    <x v="1"/>
  </r>
  <r>
    <x v="47"/>
    <n v="1000005873"/>
    <s v="借呗18期"/>
    <n v="1"/>
    <n v="25000.62"/>
    <s v="借呗"/>
    <x v="2"/>
    <x v="0"/>
    <x v="0"/>
    <s v="二组"/>
    <s v="杭州二组"/>
    <s v="管理人员"/>
    <n v="25000.62"/>
    <n v="2020"/>
    <x v="1"/>
  </r>
  <r>
    <x v="47"/>
    <n v="1000000067"/>
    <s v="借呗6期"/>
    <n v="1"/>
    <n v="22000.63"/>
    <s v="借呗"/>
    <x v="1"/>
    <x v="0"/>
    <x v="1"/>
    <s v="二组"/>
    <s v="苏州二组"/>
    <s v="普通员工"/>
    <n v="22000.63"/>
    <n v="2020"/>
    <x v="1"/>
  </r>
  <r>
    <x v="47"/>
    <n v="1000000576"/>
    <s v="借呗12期"/>
    <n v="1"/>
    <n v="20000.66"/>
    <s v="借呗"/>
    <x v="0"/>
    <x v="0"/>
    <x v="1"/>
    <s v="三组"/>
    <s v="苏州三组"/>
    <s v="普通员工"/>
    <n v="20000.66"/>
    <n v="2020"/>
    <x v="1"/>
  </r>
  <r>
    <x v="47"/>
    <n v="1000001524"/>
    <s v="借呗18期"/>
    <n v="1"/>
    <n v="20000.41"/>
    <s v="借呗"/>
    <x v="2"/>
    <x v="0"/>
    <x v="1"/>
    <s v="二组"/>
    <s v="苏州二组"/>
    <s v="普通员工"/>
    <n v="20000.41"/>
    <n v="2020"/>
    <x v="1"/>
  </r>
  <r>
    <x v="47"/>
    <n v="1000000034"/>
    <s v="借呗12期"/>
    <n v="1"/>
    <n v="20000.13"/>
    <s v="借呗"/>
    <x v="0"/>
    <x v="0"/>
    <x v="1"/>
    <s v="一组"/>
    <s v="苏州一组"/>
    <s v="普通员工"/>
    <n v="20000.13"/>
    <n v="2020"/>
    <x v="1"/>
  </r>
  <r>
    <x v="47"/>
    <n v="1000000028"/>
    <s v="借呗12期"/>
    <n v="2"/>
    <n v="18500.28"/>
    <s v="借呗"/>
    <x v="0"/>
    <x v="0"/>
    <x v="0"/>
    <s v="二组"/>
    <s v="杭州二组"/>
    <s v="普通员工"/>
    <n v="9250.14"/>
    <n v="2020"/>
    <x v="1"/>
  </r>
  <r>
    <x v="47"/>
    <n v="1000006869"/>
    <s v="借呗12期"/>
    <n v="1"/>
    <n v="18000.2"/>
    <s v="借呗"/>
    <x v="0"/>
    <x v="0"/>
    <x v="10"/>
    <s v="一组"/>
    <s v="南京一组"/>
    <s v="普通员工"/>
    <n v="18000.2"/>
    <n v="2020"/>
    <x v="1"/>
  </r>
  <r>
    <x v="47"/>
    <n v="1000000237"/>
    <s v="借呗18期"/>
    <n v="1"/>
    <n v="17000.46"/>
    <s v="借呗"/>
    <x v="2"/>
    <x v="0"/>
    <x v="5"/>
    <s v="一组"/>
    <s v="合肥一组"/>
    <s v="普通员工"/>
    <n v="17000.46"/>
    <n v="2020"/>
    <x v="1"/>
  </r>
  <r>
    <x v="47"/>
    <n v="1000003926"/>
    <s v="借呗6期"/>
    <n v="1"/>
    <n v="16000.06"/>
    <s v="借呗"/>
    <x v="1"/>
    <x v="2"/>
    <x v="6"/>
    <s v="一组"/>
    <s v="广州一组"/>
    <s v="管理人员"/>
    <n v="16000.06"/>
    <n v="2020"/>
    <x v="1"/>
  </r>
  <r>
    <x v="47"/>
    <n v="1000000068"/>
    <s v="借呗12期"/>
    <n v="2"/>
    <n v="15500.56"/>
    <s v="借呗"/>
    <x v="0"/>
    <x v="1"/>
    <x v="7"/>
    <s v="一组"/>
    <s v="重庆一组"/>
    <s v="管理人员"/>
    <n v="7750.28"/>
    <n v="2020"/>
    <x v="1"/>
  </r>
  <r>
    <x v="47"/>
    <n v="1000000036"/>
    <s v="借呗6期"/>
    <n v="2"/>
    <n v="15500.529999999999"/>
    <s v="借呗"/>
    <x v="1"/>
    <x v="2"/>
    <x v="6"/>
    <s v="三组"/>
    <s v="广州三组"/>
    <s v="管理人员"/>
    <n v="7750.2650000000003"/>
    <n v="2020"/>
    <x v="1"/>
  </r>
  <r>
    <x v="47"/>
    <n v="1000004256"/>
    <s v="借呗18期"/>
    <n v="1"/>
    <n v="15000.47"/>
    <s v="借呗"/>
    <x v="2"/>
    <x v="0"/>
    <x v="5"/>
    <s v="一组"/>
    <s v="合肥一组"/>
    <s v="普通员工"/>
    <n v="15000.47"/>
    <n v="2020"/>
    <x v="1"/>
  </r>
  <r>
    <x v="47"/>
    <n v="1000000928"/>
    <s v="借呗12期"/>
    <n v="1"/>
    <n v="15000.35"/>
    <s v="借呗"/>
    <x v="0"/>
    <x v="1"/>
    <x v="8"/>
    <s v="一组"/>
    <s v="西安一组"/>
    <s v="普通员工"/>
    <n v="15000.35"/>
    <n v="2020"/>
    <x v="1"/>
  </r>
  <r>
    <x v="47"/>
    <n v="1000000928"/>
    <s v="借呗18期"/>
    <n v="1"/>
    <n v="14000.14"/>
    <s v="借呗"/>
    <x v="2"/>
    <x v="1"/>
    <x v="8"/>
    <s v="一组"/>
    <s v="西安一组"/>
    <s v="普通员工"/>
    <n v="14000.14"/>
    <n v="2020"/>
    <x v="1"/>
  </r>
  <r>
    <x v="47"/>
    <n v="1000005873"/>
    <s v="借呗12期"/>
    <n v="1"/>
    <n v="12999.97"/>
    <s v="借呗"/>
    <x v="0"/>
    <x v="0"/>
    <x v="0"/>
    <s v="二组"/>
    <s v="杭州二组"/>
    <s v="管理人员"/>
    <n v="12999.97"/>
    <n v="2020"/>
    <x v="1"/>
  </r>
  <r>
    <x v="47"/>
    <n v="1000000032"/>
    <s v="借呗12期"/>
    <n v="1"/>
    <n v="11000.47"/>
    <s v="借呗"/>
    <x v="0"/>
    <x v="0"/>
    <x v="1"/>
    <s v="一组"/>
    <s v="苏州一组"/>
    <s v="管理人员"/>
    <n v="11000.47"/>
    <n v="2020"/>
    <x v="1"/>
  </r>
  <r>
    <x v="47"/>
    <n v="1000006867"/>
    <s v="借呗6期"/>
    <n v="1"/>
    <n v="10000.64"/>
    <s v="借呗"/>
    <x v="1"/>
    <x v="0"/>
    <x v="10"/>
    <s v="一组"/>
    <s v="南京一组"/>
    <s v="普通员工"/>
    <n v="10000.64"/>
    <n v="2020"/>
    <x v="1"/>
  </r>
  <r>
    <x v="47"/>
    <n v="1000000566"/>
    <s v="借呗18期"/>
    <n v="1"/>
    <n v="10000.120000000001"/>
    <s v="借呗"/>
    <x v="2"/>
    <x v="2"/>
    <x v="6"/>
    <s v="三组"/>
    <s v="广州三组"/>
    <s v="普通员工"/>
    <n v="10000.120000000001"/>
    <n v="2020"/>
    <x v="1"/>
  </r>
  <r>
    <x v="47"/>
    <n v="1000000037"/>
    <s v="借呗12期"/>
    <n v="1"/>
    <n v="9000.6200000000008"/>
    <s v="借呗"/>
    <x v="0"/>
    <x v="0"/>
    <x v="0"/>
    <s v="二组"/>
    <s v="杭州二组"/>
    <s v="普通员工"/>
    <n v="9000.6200000000008"/>
    <n v="2020"/>
    <x v="1"/>
  </r>
  <r>
    <x v="47"/>
    <n v="1000004170"/>
    <s v="借呗6期"/>
    <n v="1"/>
    <n v="9000.59"/>
    <s v="借呗"/>
    <x v="1"/>
    <x v="0"/>
    <x v="3"/>
    <s v="二组"/>
    <s v="上海二组"/>
    <s v="管理人员"/>
    <n v="9000.59"/>
    <n v="2020"/>
    <x v="1"/>
  </r>
  <r>
    <x v="47"/>
    <n v="1000000037"/>
    <s v="借呗6期"/>
    <n v="1"/>
    <n v="9000.49"/>
    <s v="借呗"/>
    <x v="1"/>
    <x v="0"/>
    <x v="0"/>
    <s v="二组"/>
    <s v="杭州二组"/>
    <s v="普通员工"/>
    <n v="9000.49"/>
    <n v="2020"/>
    <x v="1"/>
  </r>
  <r>
    <x v="47"/>
    <n v="1000000104"/>
    <s v="借呗6期"/>
    <n v="1"/>
    <n v="9000.24"/>
    <s v="借呗"/>
    <x v="1"/>
    <x v="0"/>
    <x v="5"/>
    <s v="一组"/>
    <s v="合肥一组"/>
    <s v="普通员工"/>
    <n v="9000.24"/>
    <n v="2020"/>
    <x v="1"/>
  </r>
  <r>
    <x v="47"/>
    <n v="1000000576"/>
    <s v="借呗18期"/>
    <n v="1"/>
    <n v="9000.24"/>
    <s v="借呗"/>
    <x v="2"/>
    <x v="0"/>
    <x v="1"/>
    <s v="三组"/>
    <s v="苏州三组"/>
    <s v="普通员工"/>
    <n v="9000.24"/>
    <n v="2020"/>
    <x v="1"/>
  </r>
  <r>
    <x v="47"/>
    <n v="1000000566"/>
    <s v="借呗6期"/>
    <n v="1"/>
    <n v="8000.36"/>
    <s v="借呗"/>
    <x v="1"/>
    <x v="2"/>
    <x v="6"/>
    <s v="三组"/>
    <s v="广州三组"/>
    <s v="普通员工"/>
    <n v="8000.36"/>
    <n v="2020"/>
    <x v="1"/>
  </r>
  <r>
    <x v="47"/>
    <n v="1000006064"/>
    <s v="借呗18期"/>
    <n v="1"/>
    <n v="8000.23"/>
    <s v="借呗"/>
    <x v="2"/>
    <x v="0"/>
    <x v="5"/>
    <s v="一组"/>
    <s v="合肥一组"/>
    <s v="普通员工"/>
    <n v="8000.23"/>
    <n v="2020"/>
    <x v="1"/>
  </r>
  <r>
    <x v="47"/>
    <n v="1000006860"/>
    <s v="借呗6期"/>
    <n v="1"/>
    <n v="5000.3100000000004"/>
    <s v="借呗"/>
    <x v="1"/>
    <x v="0"/>
    <x v="10"/>
    <s v="一组"/>
    <s v="南京一组"/>
    <s v="普通员工"/>
    <n v="5000.3100000000004"/>
    <n v="2020"/>
    <x v="1"/>
  </r>
  <r>
    <x v="47"/>
    <n v="1000000036"/>
    <s v="借呗18期"/>
    <n v="1"/>
    <n v="4030.14"/>
    <s v="借呗"/>
    <x v="2"/>
    <x v="2"/>
    <x v="6"/>
    <s v="三组"/>
    <s v="广州三组"/>
    <s v="管理人员"/>
    <n v="4030.14"/>
    <n v="2020"/>
    <x v="1"/>
  </r>
  <r>
    <x v="47"/>
    <n v="1000000028"/>
    <s v="借呗6期"/>
    <n v="1"/>
    <n v="2000.72"/>
    <s v="借呗"/>
    <x v="1"/>
    <x v="0"/>
    <x v="0"/>
    <s v="二组"/>
    <s v="杭州二组"/>
    <s v="普通员工"/>
    <n v="2000.72"/>
    <n v="2020"/>
    <x v="1"/>
  </r>
  <r>
    <x v="47"/>
    <n v="1000000032"/>
    <s v="借呗6期"/>
    <n v="2"/>
    <n v="1500.39"/>
    <s v="借呗"/>
    <x v="1"/>
    <x v="0"/>
    <x v="1"/>
    <s v="一组"/>
    <s v="苏州一组"/>
    <s v="管理人员"/>
    <n v="750.19500000000005"/>
    <n v="2020"/>
    <x v="1"/>
  </r>
  <r>
    <x v="47"/>
    <n v="1000000050"/>
    <s v="借呗6期"/>
    <n v="2"/>
    <n v="1486.25"/>
    <s v="借呗"/>
    <x v="1"/>
    <x v="0"/>
    <x v="5"/>
    <s v="一组"/>
    <s v="合肥一组"/>
    <s v="普通员工"/>
    <n v="743.125"/>
    <n v="2020"/>
    <x v="1"/>
  </r>
  <r>
    <x v="47"/>
    <n v="1000000029"/>
    <s v="借呗6期"/>
    <n v="1"/>
    <n v="984.97"/>
    <s v="借呗"/>
    <x v="1"/>
    <x v="0"/>
    <x v="0"/>
    <s v="二组"/>
    <s v="杭州二组"/>
    <s v="普通员工"/>
    <n v="984.97"/>
    <n v="2020"/>
    <x v="1"/>
  </r>
  <r>
    <x v="47"/>
    <n v="1000000034"/>
    <s v="借呗6期"/>
    <n v="1"/>
    <n v="981.99"/>
    <s v="借呗"/>
    <x v="1"/>
    <x v="0"/>
    <x v="1"/>
    <s v="一组"/>
    <s v="苏州一组"/>
    <s v="普通员工"/>
    <n v="981.99"/>
    <n v="2020"/>
    <x v="1"/>
  </r>
  <r>
    <x v="47"/>
    <n v="1000000034"/>
    <s v="借呗18期"/>
    <n v="1"/>
    <n v="762.28"/>
    <s v="借呗"/>
    <x v="2"/>
    <x v="0"/>
    <x v="1"/>
    <s v="一组"/>
    <s v="苏州一组"/>
    <s v="普通员工"/>
    <n v="762.28"/>
    <n v="2020"/>
    <x v="1"/>
  </r>
  <r>
    <x v="48"/>
    <n v="1000006064"/>
    <s v="借呗18期"/>
    <n v="2"/>
    <n v="32000.94"/>
    <s v="借呗"/>
    <x v="2"/>
    <x v="0"/>
    <x v="5"/>
    <s v="一组"/>
    <s v="合肥一组"/>
    <s v="普通员工"/>
    <n v="16000.47"/>
    <n v="2020"/>
    <x v="1"/>
  </r>
  <r>
    <x v="48"/>
    <n v="1000004256"/>
    <s v="借呗18期"/>
    <n v="1"/>
    <n v="25000.16"/>
    <s v="借呗"/>
    <x v="2"/>
    <x v="0"/>
    <x v="5"/>
    <s v="一组"/>
    <s v="合肥一组"/>
    <s v="普通员工"/>
    <n v="25000.16"/>
    <n v="2020"/>
    <x v="1"/>
  </r>
  <r>
    <x v="48"/>
    <n v="1000000054"/>
    <s v="借呗12期"/>
    <n v="2"/>
    <n v="23000.799999999999"/>
    <s v="借呗"/>
    <x v="0"/>
    <x v="0"/>
    <x v="3"/>
    <s v="一组"/>
    <s v="上海一组"/>
    <s v="普通员工"/>
    <n v="11500.4"/>
    <n v="2020"/>
    <x v="1"/>
  </r>
  <r>
    <x v="48"/>
    <n v="1000000036"/>
    <s v="借呗12期"/>
    <n v="1"/>
    <n v="22000.45"/>
    <s v="借呗"/>
    <x v="0"/>
    <x v="2"/>
    <x v="6"/>
    <s v="三组"/>
    <s v="广州三组"/>
    <s v="管理人员"/>
    <n v="22000.45"/>
    <n v="2020"/>
    <x v="1"/>
  </r>
  <r>
    <x v="48"/>
    <n v="1000000028"/>
    <s v="借呗12期"/>
    <n v="1"/>
    <n v="22000"/>
    <s v="借呗"/>
    <x v="0"/>
    <x v="0"/>
    <x v="0"/>
    <s v="二组"/>
    <s v="杭州二组"/>
    <s v="普通员工"/>
    <n v="22000"/>
    <n v="2020"/>
    <x v="1"/>
  </r>
  <r>
    <x v="48"/>
    <n v="1000000052"/>
    <s v="借呗6期"/>
    <n v="1"/>
    <n v="20000.740000000002"/>
    <s v="借呗"/>
    <x v="1"/>
    <x v="0"/>
    <x v="3"/>
    <s v="二组"/>
    <s v="上海二组"/>
    <s v="普通员工"/>
    <n v="20000.740000000002"/>
    <n v="2020"/>
    <x v="1"/>
  </r>
  <r>
    <x v="48"/>
    <n v="1000000046"/>
    <s v="借呗12期"/>
    <n v="1"/>
    <n v="20000.45"/>
    <s v="借呗"/>
    <x v="0"/>
    <x v="1"/>
    <x v="4"/>
    <s v="一组"/>
    <s v="成都一组"/>
    <s v="普通员工"/>
    <n v="20000.45"/>
    <n v="2020"/>
    <x v="1"/>
  </r>
  <r>
    <x v="48"/>
    <n v="1000000050"/>
    <s v="借呗18期"/>
    <n v="2"/>
    <n v="19000.68"/>
    <s v="借呗"/>
    <x v="2"/>
    <x v="0"/>
    <x v="5"/>
    <s v="一组"/>
    <s v="合肥一组"/>
    <s v="普通员工"/>
    <n v="9500.34"/>
    <n v="2020"/>
    <x v="1"/>
  </r>
  <r>
    <x v="48"/>
    <n v="1000000043"/>
    <s v="借呗6期"/>
    <n v="1"/>
    <n v="17000.259999999998"/>
    <s v="借呗"/>
    <x v="1"/>
    <x v="1"/>
    <x v="4"/>
    <s v="一组"/>
    <s v="成都一组"/>
    <s v="普通员工"/>
    <n v="17000.259999999998"/>
    <n v="2020"/>
    <x v="1"/>
  </r>
  <r>
    <x v="48"/>
    <n v="1000000045"/>
    <s v="借呗12期"/>
    <n v="1"/>
    <n v="15800.63"/>
    <s v="借呗"/>
    <x v="0"/>
    <x v="2"/>
    <x v="9"/>
    <s v="一组"/>
    <s v="深圳一组"/>
    <s v="普通员工"/>
    <n v="15800.63"/>
    <n v="2020"/>
    <x v="1"/>
  </r>
  <r>
    <x v="48"/>
    <n v="1000000068"/>
    <s v="借呗6期"/>
    <n v="2"/>
    <n v="15001.130000000001"/>
    <s v="借呗"/>
    <x v="1"/>
    <x v="1"/>
    <x v="7"/>
    <s v="一组"/>
    <s v="重庆一组"/>
    <s v="管理人员"/>
    <n v="7500.5649999999996"/>
    <n v="2020"/>
    <x v="1"/>
  </r>
  <r>
    <x v="48"/>
    <n v="1000000040"/>
    <s v="借呗6期"/>
    <n v="1"/>
    <n v="15000.5"/>
    <s v="借呗"/>
    <x v="1"/>
    <x v="1"/>
    <x v="2"/>
    <s v="四组"/>
    <s v="北京四组"/>
    <s v="管理人员"/>
    <n v="15000.5"/>
    <n v="2020"/>
    <x v="1"/>
  </r>
  <r>
    <x v="48"/>
    <n v="1000000104"/>
    <s v="借呗12期"/>
    <n v="1"/>
    <n v="15000.4"/>
    <s v="借呗"/>
    <x v="0"/>
    <x v="0"/>
    <x v="5"/>
    <s v="一组"/>
    <s v="合肥一组"/>
    <s v="普通员工"/>
    <n v="15000.4"/>
    <n v="2020"/>
    <x v="1"/>
  </r>
  <r>
    <x v="48"/>
    <n v="1000000039"/>
    <s v="借呗6期"/>
    <n v="3"/>
    <n v="14501.84"/>
    <s v="借呗"/>
    <x v="1"/>
    <x v="0"/>
    <x v="1"/>
    <s v="二组"/>
    <s v="苏州二组"/>
    <s v="管理人员"/>
    <n v="4833.9466666666667"/>
    <n v="2020"/>
    <x v="1"/>
  </r>
  <r>
    <x v="48"/>
    <n v="1000000566"/>
    <s v="借呗18期"/>
    <n v="1"/>
    <n v="14000.71"/>
    <s v="借呗"/>
    <x v="2"/>
    <x v="2"/>
    <x v="6"/>
    <s v="三组"/>
    <s v="广州三组"/>
    <s v="普通员工"/>
    <n v="14000.71"/>
    <n v="2020"/>
    <x v="1"/>
  </r>
  <r>
    <x v="48"/>
    <n v="1000000928"/>
    <s v="借呗12期"/>
    <n v="1"/>
    <n v="13000.11"/>
    <s v="借呗"/>
    <x v="0"/>
    <x v="1"/>
    <x v="8"/>
    <s v="一组"/>
    <s v="西安一组"/>
    <s v="普通员工"/>
    <n v="13000.11"/>
    <n v="2020"/>
    <x v="1"/>
  </r>
  <r>
    <x v="48"/>
    <n v="1000000044"/>
    <s v="借呗6期"/>
    <n v="2"/>
    <n v="12500.900000000001"/>
    <s v="借呗"/>
    <x v="1"/>
    <x v="1"/>
    <x v="2"/>
    <s v="三组"/>
    <s v="北京三组"/>
    <s v="管理人员"/>
    <n v="6250.4500000000007"/>
    <n v="2020"/>
    <x v="1"/>
  </r>
  <r>
    <x v="48"/>
    <n v="1000000056"/>
    <s v="借呗12期"/>
    <n v="1"/>
    <n v="12000.32"/>
    <s v="借呗"/>
    <x v="0"/>
    <x v="0"/>
    <x v="3"/>
    <s v="一组"/>
    <s v="上海一组"/>
    <s v="管理人员"/>
    <n v="12000.32"/>
    <n v="2020"/>
    <x v="1"/>
  </r>
  <r>
    <x v="48"/>
    <n v="1000006867"/>
    <s v="借呗12期"/>
    <n v="1"/>
    <n v="11000.35"/>
    <s v="借呗"/>
    <x v="0"/>
    <x v="0"/>
    <x v="10"/>
    <s v="一组"/>
    <s v="南京一组"/>
    <s v="普通员工"/>
    <n v="11000.35"/>
    <n v="2020"/>
    <x v="1"/>
  </r>
  <r>
    <x v="48"/>
    <n v="1000000040"/>
    <s v="借呗12期"/>
    <n v="1"/>
    <n v="10000.23"/>
    <s v="借呗"/>
    <x v="0"/>
    <x v="1"/>
    <x v="2"/>
    <s v="四组"/>
    <s v="北京四组"/>
    <s v="管理人员"/>
    <n v="10000.23"/>
    <n v="2020"/>
    <x v="1"/>
  </r>
  <r>
    <x v="48"/>
    <n v="1000000031"/>
    <s v="借呗6期"/>
    <n v="1"/>
    <n v="10000.17"/>
    <s v="借呗"/>
    <x v="1"/>
    <x v="0"/>
    <x v="0"/>
    <s v="一组"/>
    <s v="杭州一组"/>
    <s v="管理人员"/>
    <n v="10000.17"/>
    <n v="2020"/>
    <x v="1"/>
  </r>
  <r>
    <x v="48"/>
    <n v="1000000044"/>
    <s v="借呗12期"/>
    <n v="1"/>
    <n v="9000.43"/>
    <s v="借呗"/>
    <x v="0"/>
    <x v="1"/>
    <x v="2"/>
    <s v="三组"/>
    <s v="北京三组"/>
    <s v="管理人员"/>
    <n v="9000.43"/>
    <n v="2020"/>
    <x v="1"/>
  </r>
  <r>
    <x v="48"/>
    <n v="1000005873"/>
    <s v="借呗6期"/>
    <n v="1"/>
    <n v="7000.43"/>
    <s v="借呗"/>
    <x v="1"/>
    <x v="0"/>
    <x v="0"/>
    <s v="二组"/>
    <s v="杭州二组"/>
    <s v="管理人员"/>
    <n v="7000.43"/>
    <n v="2020"/>
    <x v="1"/>
  </r>
  <r>
    <x v="48"/>
    <n v="1000000037"/>
    <s v="借呗12期"/>
    <n v="1"/>
    <n v="7000.14"/>
    <s v="借呗"/>
    <x v="0"/>
    <x v="0"/>
    <x v="0"/>
    <s v="二组"/>
    <s v="杭州二组"/>
    <s v="普通员工"/>
    <n v="7000.14"/>
    <n v="2020"/>
    <x v="1"/>
  </r>
  <r>
    <x v="48"/>
    <n v="1000000041"/>
    <s v="借呗6期"/>
    <n v="1"/>
    <n v="6499.99"/>
    <s v="借呗"/>
    <x v="1"/>
    <x v="1"/>
    <x v="2"/>
    <s v="四组"/>
    <s v="北京四组"/>
    <s v="普通员工"/>
    <n v="6499.99"/>
    <n v="2020"/>
    <x v="1"/>
  </r>
  <r>
    <x v="48"/>
    <n v="1000007320"/>
    <s v="借呗12期"/>
    <n v="1"/>
    <n v="5999.99"/>
    <s v="借呗"/>
    <x v="0"/>
    <x v="0"/>
    <x v="3"/>
    <s v="一组"/>
    <s v="上海一组"/>
    <s v="普通员工"/>
    <n v="5999.99"/>
    <n v="2020"/>
    <x v="1"/>
  </r>
  <r>
    <x v="48"/>
    <n v="1000000045"/>
    <s v="借呗6期"/>
    <n v="1"/>
    <n v="5500.56"/>
    <s v="借呗"/>
    <x v="1"/>
    <x v="2"/>
    <x v="9"/>
    <s v="一组"/>
    <s v="深圳一组"/>
    <s v="普通员工"/>
    <n v="5500.56"/>
    <n v="2020"/>
    <x v="1"/>
  </r>
  <r>
    <x v="48"/>
    <n v="1000006860"/>
    <s v="借呗12期"/>
    <n v="1"/>
    <n v="5500.08"/>
    <s v="借呗"/>
    <x v="0"/>
    <x v="0"/>
    <x v="10"/>
    <s v="一组"/>
    <s v="南京一组"/>
    <s v="普通员工"/>
    <n v="5500.08"/>
    <n v="2020"/>
    <x v="1"/>
  </r>
  <r>
    <x v="48"/>
    <n v="1000000237"/>
    <s v="借呗6期"/>
    <n v="1"/>
    <n v="1872.26"/>
    <s v="借呗"/>
    <x v="1"/>
    <x v="0"/>
    <x v="5"/>
    <s v="一组"/>
    <s v="合肥一组"/>
    <s v="普通员工"/>
    <n v="1872.26"/>
    <n v="2020"/>
    <x v="1"/>
  </r>
  <r>
    <x v="48"/>
    <n v="1000000030"/>
    <s v="借呗6期"/>
    <n v="1"/>
    <n v="1500.64"/>
    <s v="借呗"/>
    <x v="1"/>
    <x v="2"/>
    <x v="6"/>
    <s v="三组"/>
    <s v="广州三组"/>
    <s v="普通员工"/>
    <n v="1500.64"/>
    <n v="2020"/>
    <x v="1"/>
  </r>
  <r>
    <x v="48"/>
    <n v="1000000032"/>
    <s v="借呗6期"/>
    <n v="1"/>
    <n v="1200.74"/>
    <s v="借呗"/>
    <x v="1"/>
    <x v="0"/>
    <x v="1"/>
    <s v="一组"/>
    <s v="苏州一组"/>
    <s v="管理人员"/>
    <n v="1200.74"/>
    <n v="2020"/>
    <x v="1"/>
  </r>
  <r>
    <x v="48"/>
    <n v="1000000056"/>
    <s v="借呗6期"/>
    <n v="1"/>
    <n v="1000.68"/>
    <s v="借呗"/>
    <x v="1"/>
    <x v="0"/>
    <x v="3"/>
    <s v="一组"/>
    <s v="上海一组"/>
    <s v="管理人员"/>
    <n v="1000.68"/>
    <n v="2020"/>
    <x v="1"/>
  </r>
  <r>
    <x v="48"/>
    <n v="1000000031"/>
    <s v="借呗18期"/>
    <n v="1"/>
    <n v="500.23"/>
    <s v="借呗"/>
    <x v="2"/>
    <x v="0"/>
    <x v="0"/>
    <s v="一组"/>
    <s v="杭州一组"/>
    <s v="管理人员"/>
    <n v="500.23"/>
    <n v="2020"/>
    <x v="1"/>
  </r>
  <r>
    <x v="49"/>
    <n v="1000000067"/>
    <s v="借呗12期"/>
    <n v="3"/>
    <n v="53000.5"/>
    <s v="借呗"/>
    <x v="0"/>
    <x v="0"/>
    <x v="1"/>
    <s v="二组"/>
    <s v="苏州二组"/>
    <s v="普通员工"/>
    <n v="17666.833333333332"/>
    <n v="2020"/>
    <x v="1"/>
  </r>
  <r>
    <x v="49"/>
    <n v="1000000035"/>
    <s v="借呗18期"/>
    <n v="3"/>
    <n v="47001.55"/>
    <s v="借呗"/>
    <x v="2"/>
    <x v="0"/>
    <x v="1"/>
    <s v="三组"/>
    <s v="苏州三组"/>
    <s v="普通员工"/>
    <n v="15667.183333333334"/>
    <n v="2020"/>
    <x v="1"/>
  </r>
  <r>
    <x v="49"/>
    <n v="1000000045"/>
    <s v="借呗6期"/>
    <n v="4"/>
    <n v="34980.019999999997"/>
    <s v="借呗"/>
    <x v="1"/>
    <x v="2"/>
    <x v="9"/>
    <s v="一组"/>
    <s v="深圳一组"/>
    <s v="普通员工"/>
    <n v="8745.0049999999992"/>
    <n v="2020"/>
    <x v="1"/>
  </r>
  <r>
    <x v="49"/>
    <n v="1000000029"/>
    <s v="借呗12期"/>
    <n v="3"/>
    <n v="34384.520000000004"/>
    <s v="借呗"/>
    <x v="0"/>
    <x v="0"/>
    <x v="0"/>
    <s v="二组"/>
    <s v="杭州二组"/>
    <s v="普通员工"/>
    <n v="11461.506666666668"/>
    <n v="2020"/>
    <x v="1"/>
  </r>
  <r>
    <x v="49"/>
    <n v="1000000029"/>
    <s v="借呗6期"/>
    <n v="3"/>
    <n v="34000.630000000005"/>
    <s v="借呗"/>
    <x v="1"/>
    <x v="0"/>
    <x v="0"/>
    <s v="二组"/>
    <s v="杭州二组"/>
    <s v="普通员工"/>
    <n v="11333.543333333337"/>
    <n v="2020"/>
    <x v="1"/>
  </r>
  <r>
    <x v="49"/>
    <n v="1000000033"/>
    <s v="借呗12期"/>
    <n v="2"/>
    <n v="27000.68"/>
    <s v="借呗"/>
    <x v="0"/>
    <x v="0"/>
    <x v="1"/>
    <s v="一组"/>
    <s v="苏州一组"/>
    <s v="普通员工"/>
    <n v="13500.34"/>
    <n v="2020"/>
    <x v="1"/>
  </r>
  <r>
    <x v="49"/>
    <n v="1000000056"/>
    <s v="借呗12期"/>
    <n v="2"/>
    <n v="24000.16"/>
    <s v="借呗"/>
    <x v="0"/>
    <x v="0"/>
    <x v="3"/>
    <s v="一组"/>
    <s v="上海一组"/>
    <s v="管理人员"/>
    <n v="12000.08"/>
    <n v="2020"/>
    <x v="1"/>
  </r>
  <r>
    <x v="49"/>
    <n v="1000000041"/>
    <s v="借呗6期"/>
    <n v="2"/>
    <n v="23000.370000000003"/>
    <s v="借呗"/>
    <x v="1"/>
    <x v="1"/>
    <x v="2"/>
    <s v="四组"/>
    <s v="北京四组"/>
    <s v="普通员工"/>
    <n v="11500.184999999999"/>
    <n v="2020"/>
    <x v="1"/>
  </r>
  <r>
    <x v="49"/>
    <n v="1000000237"/>
    <s v="借呗18期"/>
    <n v="2"/>
    <n v="21000.620000000003"/>
    <s v="借呗"/>
    <x v="2"/>
    <x v="0"/>
    <x v="5"/>
    <s v="一组"/>
    <s v="合肥一组"/>
    <s v="普通员工"/>
    <n v="10500.31"/>
    <n v="2020"/>
    <x v="1"/>
  </r>
  <r>
    <x v="49"/>
    <n v="1000000034"/>
    <s v="借呗12期"/>
    <n v="2"/>
    <n v="20000.68"/>
    <s v="借呗"/>
    <x v="0"/>
    <x v="0"/>
    <x v="1"/>
    <s v="一组"/>
    <s v="苏州一组"/>
    <s v="普通员工"/>
    <n v="10000.34"/>
    <n v="2020"/>
    <x v="1"/>
  </r>
  <r>
    <x v="49"/>
    <n v="1000000928"/>
    <s v="借呗12期"/>
    <n v="1"/>
    <n v="20000.599999999999"/>
    <s v="借呗"/>
    <x v="0"/>
    <x v="1"/>
    <x v="8"/>
    <s v="一组"/>
    <s v="西安一组"/>
    <s v="普通员工"/>
    <n v="20000.599999999999"/>
    <n v="2020"/>
    <x v="1"/>
  </r>
  <r>
    <x v="49"/>
    <n v="1000006859"/>
    <s v="借呗12期"/>
    <n v="2"/>
    <n v="20000.55"/>
    <s v="借呗"/>
    <x v="0"/>
    <x v="0"/>
    <x v="10"/>
    <s v="一组"/>
    <s v="南京一组"/>
    <s v="普通员工"/>
    <n v="10000.275"/>
    <n v="2020"/>
    <x v="1"/>
  </r>
  <r>
    <x v="49"/>
    <n v="1000003803"/>
    <s v="借呗12期"/>
    <n v="1"/>
    <n v="20000.21"/>
    <s v="借呗"/>
    <x v="0"/>
    <x v="1"/>
    <x v="2"/>
    <s v="三组"/>
    <s v="北京三组"/>
    <s v="普通员工"/>
    <n v="20000.21"/>
    <n v="2020"/>
    <x v="1"/>
  </r>
  <r>
    <x v="49"/>
    <n v="1000000029"/>
    <s v="借呗18期"/>
    <n v="2"/>
    <n v="19999.96"/>
    <s v="借呗"/>
    <x v="2"/>
    <x v="0"/>
    <x v="0"/>
    <s v="二组"/>
    <s v="杭州二组"/>
    <s v="普通员工"/>
    <n v="9999.98"/>
    <n v="2020"/>
    <x v="1"/>
  </r>
  <r>
    <x v="49"/>
    <n v="1000000036"/>
    <s v="借呗6期"/>
    <n v="1"/>
    <n v="18000.509999999998"/>
    <s v="借呗"/>
    <x v="1"/>
    <x v="2"/>
    <x v="6"/>
    <s v="三组"/>
    <s v="广州三组"/>
    <s v="管理人员"/>
    <n v="18000.509999999998"/>
    <n v="2020"/>
    <x v="1"/>
  </r>
  <r>
    <x v="49"/>
    <n v="1000006867"/>
    <s v="借呗12期"/>
    <n v="1"/>
    <n v="18000.27"/>
    <s v="借呗"/>
    <x v="0"/>
    <x v="0"/>
    <x v="10"/>
    <s v="一组"/>
    <s v="南京一组"/>
    <s v="普通员工"/>
    <n v="18000.27"/>
    <n v="2020"/>
    <x v="1"/>
  </r>
  <r>
    <x v="49"/>
    <n v="1000000043"/>
    <s v="借呗18期"/>
    <n v="1"/>
    <n v="17000.009999999998"/>
    <s v="借呗"/>
    <x v="2"/>
    <x v="1"/>
    <x v="4"/>
    <s v="一组"/>
    <s v="成都一组"/>
    <s v="普通员工"/>
    <n v="17000.009999999998"/>
    <n v="2020"/>
    <x v="1"/>
  </r>
  <r>
    <x v="49"/>
    <n v="1000000035"/>
    <s v="借呗6期"/>
    <n v="1"/>
    <n v="16000.69"/>
    <s v="借呗"/>
    <x v="1"/>
    <x v="0"/>
    <x v="1"/>
    <s v="三组"/>
    <s v="苏州三组"/>
    <s v="普通员工"/>
    <n v="16000.69"/>
    <n v="2020"/>
    <x v="1"/>
  </r>
  <r>
    <x v="49"/>
    <n v="1000000054"/>
    <s v="借呗12期"/>
    <n v="2"/>
    <n v="15001.060000000001"/>
    <s v="借呗"/>
    <x v="0"/>
    <x v="0"/>
    <x v="3"/>
    <s v="一组"/>
    <s v="上海一组"/>
    <s v="普通员工"/>
    <n v="7500.53"/>
    <n v="2020"/>
    <x v="1"/>
  </r>
  <r>
    <x v="49"/>
    <n v="1000000035"/>
    <s v="借呗12期"/>
    <n v="1"/>
    <n v="14000.16"/>
    <s v="借呗"/>
    <x v="0"/>
    <x v="0"/>
    <x v="1"/>
    <s v="三组"/>
    <s v="苏州三组"/>
    <s v="普通员工"/>
    <n v="14000.16"/>
    <n v="2020"/>
    <x v="1"/>
  </r>
  <r>
    <x v="49"/>
    <n v="1000000037"/>
    <s v="借呗12期"/>
    <n v="1"/>
    <n v="13000.69"/>
    <s v="借呗"/>
    <x v="0"/>
    <x v="0"/>
    <x v="0"/>
    <s v="二组"/>
    <s v="杭州二组"/>
    <s v="普通员工"/>
    <n v="13000.69"/>
    <n v="2020"/>
    <x v="1"/>
  </r>
  <r>
    <x v="49"/>
    <n v="1000006064"/>
    <s v="借呗18期"/>
    <n v="1"/>
    <n v="11000.36"/>
    <s v="借呗"/>
    <x v="2"/>
    <x v="0"/>
    <x v="5"/>
    <s v="一组"/>
    <s v="合肥一组"/>
    <s v="普通员工"/>
    <n v="11000.36"/>
    <n v="2020"/>
    <x v="1"/>
  </r>
  <r>
    <x v="49"/>
    <n v="1000000576"/>
    <s v="借呗12期"/>
    <n v="1"/>
    <n v="11000.08"/>
    <s v="借呗"/>
    <x v="0"/>
    <x v="0"/>
    <x v="1"/>
    <s v="三组"/>
    <s v="苏州三组"/>
    <s v="普通员工"/>
    <n v="11000.08"/>
    <n v="2020"/>
    <x v="1"/>
  </r>
  <r>
    <x v="49"/>
    <n v="1000004256"/>
    <s v="借呗12期"/>
    <n v="1"/>
    <n v="9000.4699999999993"/>
    <s v="借呗"/>
    <x v="0"/>
    <x v="0"/>
    <x v="5"/>
    <s v="一组"/>
    <s v="合肥一组"/>
    <s v="普通员工"/>
    <n v="9000.4699999999993"/>
    <n v="2020"/>
    <x v="1"/>
  </r>
  <r>
    <x v="49"/>
    <n v="1000000056"/>
    <s v="借呗6期"/>
    <n v="2"/>
    <n v="8001.07"/>
    <s v="借呗"/>
    <x v="1"/>
    <x v="0"/>
    <x v="3"/>
    <s v="一组"/>
    <s v="上海一组"/>
    <s v="管理人员"/>
    <n v="4000.5349999999999"/>
    <n v="2020"/>
    <x v="1"/>
  </r>
  <r>
    <x v="49"/>
    <n v="1000000067"/>
    <s v="借呗18期"/>
    <n v="1"/>
    <n v="8000.31"/>
    <s v="借呗"/>
    <x v="2"/>
    <x v="0"/>
    <x v="1"/>
    <s v="二组"/>
    <s v="苏州二组"/>
    <s v="普通员工"/>
    <n v="8000.31"/>
    <n v="2020"/>
    <x v="1"/>
  </r>
  <r>
    <x v="49"/>
    <n v="1000005873"/>
    <s v="借呗18期"/>
    <n v="1"/>
    <n v="8000.23"/>
    <s v="借呗"/>
    <x v="2"/>
    <x v="0"/>
    <x v="0"/>
    <s v="二组"/>
    <s v="杭州二组"/>
    <s v="管理人员"/>
    <n v="8000.23"/>
    <n v="2020"/>
    <x v="1"/>
  </r>
  <r>
    <x v="49"/>
    <n v="1000007320"/>
    <s v="借呗6期"/>
    <n v="1"/>
    <n v="8000"/>
    <s v="借呗"/>
    <x v="1"/>
    <x v="0"/>
    <x v="3"/>
    <s v="一组"/>
    <s v="上海一组"/>
    <s v="普通员工"/>
    <n v="8000"/>
    <n v="2020"/>
    <x v="1"/>
  </r>
  <r>
    <x v="49"/>
    <n v="1000003926"/>
    <s v="借呗6期"/>
    <n v="1"/>
    <n v="6000.61"/>
    <s v="借呗"/>
    <x v="1"/>
    <x v="2"/>
    <x v="6"/>
    <s v="一组"/>
    <s v="广州一组"/>
    <s v="管理人员"/>
    <n v="6000.61"/>
    <n v="2020"/>
    <x v="1"/>
  </r>
  <r>
    <x v="49"/>
    <n v="1000000037"/>
    <s v="借呗18期"/>
    <n v="1"/>
    <n v="5000.5200000000004"/>
    <s v="借呗"/>
    <x v="2"/>
    <x v="0"/>
    <x v="0"/>
    <s v="二组"/>
    <s v="杭州二组"/>
    <s v="普通员工"/>
    <n v="5000.5200000000004"/>
    <n v="2020"/>
    <x v="1"/>
  </r>
  <r>
    <x v="49"/>
    <n v="1000000040"/>
    <s v="借呗6期"/>
    <n v="1"/>
    <n v="5000.29"/>
    <s v="借呗"/>
    <x v="1"/>
    <x v="1"/>
    <x v="2"/>
    <s v="四组"/>
    <s v="北京四组"/>
    <s v="管理人员"/>
    <n v="5000.29"/>
    <n v="2020"/>
    <x v="1"/>
  </r>
  <r>
    <x v="49"/>
    <n v="1000000104"/>
    <s v="借呗6期"/>
    <n v="1"/>
    <n v="5000.2"/>
    <s v="借呗"/>
    <x v="1"/>
    <x v="0"/>
    <x v="5"/>
    <s v="一组"/>
    <s v="合肥一组"/>
    <s v="普通员工"/>
    <n v="5000.2"/>
    <n v="2020"/>
    <x v="1"/>
  </r>
  <r>
    <x v="49"/>
    <n v="1000000043"/>
    <s v="借呗12期"/>
    <n v="1"/>
    <n v="3000.72"/>
    <s v="借呗"/>
    <x v="0"/>
    <x v="1"/>
    <x v="4"/>
    <s v="一组"/>
    <s v="成都一组"/>
    <s v="普通员工"/>
    <n v="3000.72"/>
    <n v="2020"/>
    <x v="1"/>
  </r>
  <r>
    <x v="49"/>
    <n v="1000006064"/>
    <s v="借呗6期"/>
    <n v="1"/>
    <n v="3000.51"/>
    <s v="借呗"/>
    <x v="1"/>
    <x v="0"/>
    <x v="5"/>
    <s v="一组"/>
    <s v="合肥一组"/>
    <s v="普通员工"/>
    <n v="3000.51"/>
    <n v="2020"/>
    <x v="1"/>
  </r>
  <r>
    <x v="49"/>
    <n v="1000000032"/>
    <s v="借呗6期"/>
    <n v="1"/>
    <n v="2100.37"/>
    <s v="借呗"/>
    <x v="1"/>
    <x v="0"/>
    <x v="1"/>
    <s v="一组"/>
    <s v="苏州一组"/>
    <s v="管理人员"/>
    <n v="2100.37"/>
    <n v="2020"/>
    <x v="1"/>
  </r>
  <r>
    <x v="49"/>
    <n v="1000003489"/>
    <s v="借呗12期"/>
    <n v="1"/>
    <n v="2000.26"/>
    <s v="借呗"/>
    <x v="0"/>
    <x v="2"/>
    <x v="6"/>
    <s v="一组"/>
    <s v="广州一组"/>
    <s v="普通员工"/>
    <n v="2000.26"/>
    <n v="2020"/>
    <x v="1"/>
  </r>
  <r>
    <x v="49"/>
    <n v="1000000047"/>
    <s v="借呗12期"/>
    <n v="1"/>
    <n v="1600.72"/>
    <s v="借呗"/>
    <x v="0"/>
    <x v="2"/>
    <x v="6"/>
    <s v="一组"/>
    <s v="广州一组"/>
    <s v="普通员工"/>
    <n v="1600.72"/>
    <n v="2020"/>
    <x v="1"/>
  </r>
  <r>
    <x v="49"/>
    <n v="1000000576"/>
    <s v="借呗6期"/>
    <n v="1"/>
    <n v="1127.42"/>
    <s v="借呗"/>
    <x v="1"/>
    <x v="0"/>
    <x v="1"/>
    <s v="三组"/>
    <s v="苏州三组"/>
    <s v="普通员工"/>
    <n v="1127.42"/>
    <n v="2020"/>
    <x v="1"/>
  </r>
  <r>
    <x v="49"/>
    <n v="1000001513"/>
    <s v="借呗6期"/>
    <n v="1"/>
    <n v="1000.31"/>
    <s v="借呗"/>
    <x v="1"/>
    <x v="0"/>
    <x v="3"/>
    <s v="二组"/>
    <s v="上海二组"/>
    <s v="普通员工"/>
    <n v="1000.31"/>
    <n v="2020"/>
    <x v="1"/>
  </r>
  <r>
    <x v="49"/>
    <n v="1000000052"/>
    <s v="借呗6期"/>
    <n v="1"/>
    <n v="999.98"/>
    <s v="借呗"/>
    <x v="1"/>
    <x v="0"/>
    <x v="3"/>
    <s v="二组"/>
    <s v="上海二组"/>
    <s v="普通员工"/>
    <n v="999.98"/>
    <n v="2020"/>
    <x v="1"/>
  </r>
  <r>
    <x v="49"/>
    <n v="1000000068"/>
    <s v="借呗18期"/>
    <n v="1"/>
    <n v="600.12"/>
    <s v="借呗"/>
    <x v="2"/>
    <x v="1"/>
    <x v="7"/>
    <s v="一组"/>
    <s v="重庆一组"/>
    <s v="管理人员"/>
    <n v="600.12"/>
    <n v="2020"/>
    <x v="1"/>
  </r>
  <r>
    <x v="50"/>
    <n v="1000003926"/>
    <s v="借呗6期"/>
    <n v="2"/>
    <n v="38000.880000000005"/>
    <s v="借呗"/>
    <x v="1"/>
    <x v="2"/>
    <x v="6"/>
    <s v="一组"/>
    <s v="广州一组"/>
    <s v="管理人员"/>
    <n v="19000.439999999999"/>
    <n v="2020"/>
    <x v="1"/>
  </r>
  <r>
    <x v="50"/>
    <n v="1000000028"/>
    <s v="借呗12期"/>
    <n v="2"/>
    <n v="31000.170000000002"/>
    <s v="借呗"/>
    <x v="0"/>
    <x v="0"/>
    <x v="0"/>
    <s v="二组"/>
    <s v="杭州二组"/>
    <s v="普通员工"/>
    <n v="15500.084999999999"/>
    <n v="2020"/>
    <x v="1"/>
  </r>
  <r>
    <x v="50"/>
    <n v="1000000043"/>
    <s v="借呗6期"/>
    <n v="2"/>
    <n v="27000.87"/>
    <s v="借呗"/>
    <x v="1"/>
    <x v="1"/>
    <x v="4"/>
    <s v="一组"/>
    <s v="成都一组"/>
    <s v="普通员工"/>
    <n v="13500.434999999999"/>
    <n v="2020"/>
    <x v="1"/>
  </r>
  <r>
    <x v="50"/>
    <n v="1000000043"/>
    <s v="借呗18期"/>
    <n v="1"/>
    <n v="25000.73"/>
    <s v="借呗"/>
    <x v="2"/>
    <x v="1"/>
    <x v="4"/>
    <s v="一组"/>
    <s v="成都一组"/>
    <s v="普通员工"/>
    <n v="25000.73"/>
    <n v="2020"/>
    <x v="1"/>
  </r>
  <r>
    <x v="50"/>
    <n v="1000004256"/>
    <s v="借呗12期"/>
    <n v="2"/>
    <n v="24000.45"/>
    <s v="借呗"/>
    <x v="0"/>
    <x v="0"/>
    <x v="5"/>
    <s v="一组"/>
    <s v="合肥一组"/>
    <s v="普通员工"/>
    <n v="12000.225"/>
    <n v="2020"/>
    <x v="1"/>
  </r>
  <r>
    <x v="50"/>
    <n v="1000000054"/>
    <s v="借呗12期"/>
    <n v="2"/>
    <n v="21500.66"/>
    <s v="借呗"/>
    <x v="0"/>
    <x v="0"/>
    <x v="3"/>
    <s v="一组"/>
    <s v="上海一组"/>
    <s v="普通员工"/>
    <n v="10750.33"/>
    <n v="2020"/>
    <x v="1"/>
  </r>
  <r>
    <x v="50"/>
    <n v="1000000045"/>
    <s v="借呗6期"/>
    <n v="2"/>
    <n v="20000.510000000002"/>
    <s v="借呗"/>
    <x v="1"/>
    <x v="2"/>
    <x v="9"/>
    <s v="一组"/>
    <s v="深圳一组"/>
    <s v="普通员工"/>
    <n v="10000.254999999999"/>
    <n v="2020"/>
    <x v="1"/>
  </r>
  <r>
    <x v="50"/>
    <n v="1000005873"/>
    <s v="借呗12期"/>
    <n v="2"/>
    <n v="19000.949999999997"/>
    <s v="借呗"/>
    <x v="0"/>
    <x v="0"/>
    <x v="0"/>
    <s v="二组"/>
    <s v="杭州二组"/>
    <s v="管理人员"/>
    <n v="9500.4749999999985"/>
    <n v="2020"/>
    <x v="1"/>
  </r>
  <r>
    <x v="50"/>
    <n v="1000000576"/>
    <s v="借呗12期"/>
    <n v="1"/>
    <n v="17999.95"/>
    <s v="借呗"/>
    <x v="0"/>
    <x v="0"/>
    <x v="1"/>
    <s v="三组"/>
    <s v="苏州三组"/>
    <s v="普通员工"/>
    <n v="17999.95"/>
    <n v="2020"/>
    <x v="1"/>
  </r>
  <r>
    <x v="50"/>
    <n v="1000003803"/>
    <s v="借呗18期"/>
    <n v="1"/>
    <n v="17000.62"/>
    <s v="借呗"/>
    <x v="2"/>
    <x v="1"/>
    <x v="2"/>
    <s v="三组"/>
    <s v="北京三组"/>
    <s v="普通员工"/>
    <n v="17000.62"/>
    <n v="2020"/>
    <x v="1"/>
  </r>
  <r>
    <x v="50"/>
    <n v="1000000041"/>
    <s v="借呗12期"/>
    <n v="1"/>
    <n v="16000.24"/>
    <s v="借呗"/>
    <x v="0"/>
    <x v="1"/>
    <x v="2"/>
    <s v="四组"/>
    <s v="北京四组"/>
    <s v="普通员工"/>
    <n v="16000.24"/>
    <n v="2020"/>
    <x v="1"/>
  </r>
  <r>
    <x v="50"/>
    <n v="1000000040"/>
    <s v="借呗6期"/>
    <n v="2"/>
    <n v="15854.02"/>
    <s v="借呗"/>
    <x v="1"/>
    <x v="1"/>
    <x v="2"/>
    <s v="四组"/>
    <s v="北京四组"/>
    <s v="管理人员"/>
    <n v="7927.01"/>
    <n v="2020"/>
    <x v="1"/>
  </r>
  <r>
    <x v="50"/>
    <n v="1000000068"/>
    <s v="借呗12期"/>
    <n v="1"/>
    <n v="15000.7"/>
    <s v="借呗"/>
    <x v="0"/>
    <x v="1"/>
    <x v="7"/>
    <s v="一组"/>
    <s v="重庆一组"/>
    <s v="管理人员"/>
    <n v="15000.7"/>
    <n v="2020"/>
    <x v="1"/>
  </r>
  <r>
    <x v="50"/>
    <n v="1000000034"/>
    <s v="借呗12期"/>
    <n v="1"/>
    <n v="15000.21"/>
    <s v="借呗"/>
    <x v="0"/>
    <x v="0"/>
    <x v="1"/>
    <s v="一组"/>
    <s v="苏州一组"/>
    <s v="普通员工"/>
    <n v="15000.21"/>
    <n v="2020"/>
    <x v="1"/>
  </r>
  <r>
    <x v="50"/>
    <n v="1000000566"/>
    <s v="借呗18期"/>
    <n v="1"/>
    <n v="14000.45"/>
    <s v="借呗"/>
    <x v="2"/>
    <x v="2"/>
    <x v="6"/>
    <s v="三组"/>
    <s v="广州三组"/>
    <s v="普通员工"/>
    <n v="14000.45"/>
    <n v="2020"/>
    <x v="1"/>
  </r>
  <r>
    <x v="50"/>
    <n v="1000006867"/>
    <s v="借呗18期"/>
    <n v="1"/>
    <n v="14000"/>
    <s v="借呗"/>
    <x v="2"/>
    <x v="0"/>
    <x v="10"/>
    <s v="一组"/>
    <s v="南京一组"/>
    <s v="普通员工"/>
    <n v="14000"/>
    <n v="2020"/>
    <x v="1"/>
  </r>
  <r>
    <x v="50"/>
    <n v="1000008239"/>
    <s v="借呗12期"/>
    <n v="1"/>
    <n v="13000.77"/>
    <s v="借呗"/>
    <x v="0"/>
    <x v="0"/>
    <x v="10"/>
    <s v="一组"/>
    <s v="南京一组"/>
    <s v="管理人员"/>
    <n v="13000.77"/>
    <n v="2020"/>
    <x v="1"/>
  </r>
  <r>
    <x v="50"/>
    <n v="1000003489"/>
    <s v="借呗6期"/>
    <n v="1"/>
    <n v="13000.56"/>
    <s v="借呗"/>
    <x v="1"/>
    <x v="2"/>
    <x v="6"/>
    <s v="一组"/>
    <s v="广州一组"/>
    <s v="普通员工"/>
    <n v="13000.56"/>
    <n v="2020"/>
    <x v="1"/>
  </r>
  <r>
    <x v="50"/>
    <n v="1000007197"/>
    <s v="借呗12期"/>
    <n v="1"/>
    <n v="13000.49"/>
    <s v="借呗"/>
    <x v="0"/>
    <x v="0"/>
    <x v="5"/>
    <s v="一组"/>
    <s v="合肥一组"/>
    <s v="普通员工"/>
    <n v="13000.49"/>
    <n v="2020"/>
    <x v="1"/>
  </r>
  <r>
    <x v="50"/>
    <n v="1000000068"/>
    <s v="借呗6期"/>
    <n v="1"/>
    <n v="13000.33"/>
    <s v="借呗"/>
    <x v="1"/>
    <x v="1"/>
    <x v="7"/>
    <s v="一组"/>
    <s v="重庆一组"/>
    <s v="管理人员"/>
    <n v="13000.33"/>
    <n v="2020"/>
    <x v="1"/>
  </r>
  <r>
    <x v="50"/>
    <n v="1000000566"/>
    <s v="借呗12期"/>
    <n v="1"/>
    <n v="13000.24"/>
    <s v="借呗"/>
    <x v="0"/>
    <x v="2"/>
    <x v="6"/>
    <s v="三组"/>
    <s v="广州三组"/>
    <s v="普通员工"/>
    <n v="13000.24"/>
    <n v="2020"/>
    <x v="1"/>
  </r>
  <r>
    <x v="50"/>
    <n v="1000000928"/>
    <s v="借呗6期"/>
    <n v="1"/>
    <n v="11000.31"/>
    <s v="借呗"/>
    <x v="1"/>
    <x v="1"/>
    <x v="8"/>
    <s v="一组"/>
    <s v="西安一组"/>
    <s v="普通员工"/>
    <n v="11000.31"/>
    <n v="2020"/>
    <x v="1"/>
  </r>
  <r>
    <x v="50"/>
    <n v="1000001524"/>
    <s v="借呗12期"/>
    <n v="1"/>
    <n v="10000.73"/>
    <s v="借呗"/>
    <x v="0"/>
    <x v="0"/>
    <x v="1"/>
    <s v="二组"/>
    <s v="苏州二组"/>
    <s v="普通员工"/>
    <n v="10000.73"/>
    <n v="2020"/>
    <x v="1"/>
  </r>
  <r>
    <x v="50"/>
    <n v="1000000104"/>
    <s v="借呗6期"/>
    <n v="1"/>
    <n v="10000.4"/>
    <s v="借呗"/>
    <x v="1"/>
    <x v="0"/>
    <x v="5"/>
    <s v="一组"/>
    <s v="合肥一组"/>
    <s v="普通员工"/>
    <n v="10000.4"/>
    <n v="2020"/>
    <x v="1"/>
  </r>
  <r>
    <x v="50"/>
    <n v="1000003926"/>
    <s v="借呗18期"/>
    <n v="1"/>
    <n v="10000.32"/>
    <s v="借呗"/>
    <x v="2"/>
    <x v="2"/>
    <x v="6"/>
    <s v="一组"/>
    <s v="广州一组"/>
    <s v="管理人员"/>
    <n v="10000.32"/>
    <n v="2020"/>
    <x v="1"/>
  </r>
  <r>
    <x v="50"/>
    <n v="1000006064"/>
    <s v="借呗18期"/>
    <n v="1"/>
    <n v="9999.94"/>
    <s v="借呗"/>
    <x v="2"/>
    <x v="0"/>
    <x v="5"/>
    <s v="一组"/>
    <s v="合肥一组"/>
    <s v="普通员工"/>
    <n v="9999.94"/>
    <n v="2020"/>
    <x v="1"/>
  </r>
  <r>
    <x v="50"/>
    <n v="1000000029"/>
    <s v="借呗6期"/>
    <n v="1"/>
    <n v="9000.06"/>
    <s v="借呗"/>
    <x v="1"/>
    <x v="0"/>
    <x v="0"/>
    <s v="二组"/>
    <s v="杭州二组"/>
    <s v="普通员工"/>
    <n v="9000.06"/>
    <n v="2020"/>
    <x v="1"/>
  </r>
  <r>
    <x v="50"/>
    <n v="1000000041"/>
    <s v="借呗6期"/>
    <n v="2"/>
    <n v="8000.02"/>
    <s v="借呗"/>
    <x v="1"/>
    <x v="1"/>
    <x v="2"/>
    <s v="四组"/>
    <s v="北京四组"/>
    <s v="普通员工"/>
    <n v="4000.01"/>
    <n v="2020"/>
    <x v="1"/>
  </r>
  <r>
    <x v="50"/>
    <n v="1000006869"/>
    <s v="借呗12期"/>
    <n v="1"/>
    <n v="7000.64"/>
    <s v="借呗"/>
    <x v="0"/>
    <x v="0"/>
    <x v="10"/>
    <s v="一组"/>
    <s v="南京一组"/>
    <s v="普通员工"/>
    <n v="7000.64"/>
    <n v="2020"/>
    <x v="1"/>
  </r>
  <r>
    <x v="50"/>
    <n v="1000000056"/>
    <s v="借呗6期"/>
    <n v="1"/>
    <n v="7000.26"/>
    <s v="借呗"/>
    <x v="1"/>
    <x v="0"/>
    <x v="3"/>
    <s v="一组"/>
    <s v="上海一组"/>
    <s v="管理人员"/>
    <n v="7000.26"/>
    <n v="2020"/>
    <x v="1"/>
  </r>
  <r>
    <x v="50"/>
    <n v="1000000032"/>
    <s v="借呗6期"/>
    <n v="1"/>
    <n v="6500.59"/>
    <s v="借呗"/>
    <x v="1"/>
    <x v="0"/>
    <x v="1"/>
    <s v="一组"/>
    <s v="苏州一组"/>
    <s v="管理人员"/>
    <n v="6500.59"/>
    <n v="2020"/>
    <x v="1"/>
  </r>
  <r>
    <x v="50"/>
    <n v="1000000056"/>
    <s v="借呗12期"/>
    <n v="1"/>
    <n v="6500.33"/>
    <s v="借呗"/>
    <x v="0"/>
    <x v="0"/>
    <x v="3"/>
    <s v="一组"/>
    <s v="上海一组"/>
    <s v="管理人员"/>
    <n v="6500.33"/>
    <n v="2020"/>
    <x v="1"/>
  </r>
  <r>
    <x v="50"/>
    <n v="1000000237"/>
    <s v="借呗6期"/>
    <n v="1"/>
    <n v="6376.04"/>
    <s v="借呗"/>
    <x v="1"/>
    <x v="0"/>
    <x v="5"/>
    <s v="一组"/>
    <s v="合肥一组"/>
    <s v="普通员工"/>
    <n v="6376.04"/>
    <n v="2020"/>
    <x v="1"/>
  </r>
  <r>
    <x v="50"/>
    <n v="1000000039"/>
    <s v="借呗6期"/>
    <n v="2"/>
    <n v="6000.71"/>
    <s v="借呗"/>
    <x v="1"/>
    <x v="0"/>
    <x v="1"/>
    <s v="二组"/>
    <s v="苏州二组"/>
    <s v="管理人员"/>
    <n v="3000.355"/>
    <n v="2020"/>
    <x v="1"/>
  </r>
  <r>
    <x v="50"/>
    <n v="1000000032"/>
    <s v="借呗12期"/>
    <n v="1"/>
    <n v="5500.07"/>
    <s v="借呗"/>
    <x v="0"/>
    <x v="0"/>
    <x v="1"/>
    <s v="一组"/>
    <s v="苏州一组"/>
    <s v="管理人员"/>
    <n v="5500.07"/>
    <n v="2020"/>
    <x v="1"/>
  </r>
  <r>
    <x v="50"/>
    <n v="1000006064"/>
    <s v="借呗6期"/>
    <n v="1"/>
    <n v="5000.71"/>
    <s v="借呗"/>
    <x v="1"/>
    <x v="0"/>
    <x v="5"/>
    <s v="一组"/>
    <s v="合肥一组"/>
    <s v="普通员工"/>
    <n v="5000.71"/>
    <n v="2020"/>
    <x v="1"/>
  </r>
  <r>
    <x v="50"/>
    <n v="1000000052"/>
    <s v="借呗6期"/>
    <n v="1"/>
    <n v="5000.18"/>
    <s v="借呗"/>
    <x v="1"/>
    <x v="0"/>
    <x v="3"/>
    <s v="二组"/>
    <s v="上海二组"/>
    <s v="普通员工"/>
    <n v="5000.18"/>
    <n v="2020"/>
    <x v="1"/>
  </r>
  <r>
    <x v="50"/>
    <n v="1000000036"/>
    <s v="借呗12期"/>
    <n v="1"/>
    <n v="4400.6400000000003"/>
    <s v="借呗"/>
    <x v="0"/>
    <x v="2"/>
    <x v="6"/>
    <s v="三组"/>
    <s v="广州三组"/>
    <s v="管理人员"/>
    <n v="4400.6400000000003"/>
    <n v="2020"/>
    <x v="1"/>
  </r>
  <r>
    <x v="50"/>
    <n v="1000000036"/>
    <s v="借呗6期"/>
    <n v="1"/>
    <n v="2000.08"/>
    <s v="借呗"/>
    <x v="1"/>
    <x v="2"/>
    <x v="6"/>
    <s v="三组"/>
    <s v="广州三组"/>
    <s v="管理人员"/>
    <n v="2000.08"/>
    <n v="2020"/>
    <x v="1"/>
  </r>
  <r>
    <x v="50"/>
    <n v="1000000044"/>
    <s v="借呗18期"/>
    <n v="1"/>
    <n v="1326.93"/>
    <s v="借呗"/>
    <x v="2"/>
    <x v="1"/>
    <x v="2"/>
    <s v="三组"/>
    <s v="北京三组"/>
    <s v="管理人员"/>
    <n v="1326.93"/>
    <n v="2020"/>
    <x v="1"/>
  </r>
  <r>
    <x v="50"/>
    <n v="1000000031"/>
    <s v="借呗18期"/>
    <n v="1"/>
    <n v="1133.5899999999999"/>
    <s v="借呗"/>
    <x v="2"/>
    <x v="0"/>
    <x v="0"/>
    <s v="一组"/>
    <s v="杭州一组"/>
    <s v="管理人员"/>
    <n v="1133.5899999999999"/>
    <n v="2020"/>
    <x v="1"/>
  </r>
  <r>
    <x v="50"/>
    <n v="1000000034"/>
    <s v="借呗6期"/>
    <n v="1"/>
    <n v="1038.5899999999999"/>
    <s v="借呗"/>
    <x v="1"/>
    <x v="0"/>
    <x v="1"/>
    <s v="一组"/>
    <s v="苏州一组"/>
    <s v="普通员工"/>
    <n v="1038.5899999999999"/>
    <n v="2020"/>
    <x v="1"/>
  </r>
  <r>
    <x v="50"/>
    <n v="1000000058"/>
    <s v="借呗6期"/>
    <n v="1"/>
    <n v="1000.28"/>
    <s v="借呗"/>
    <x v="1"/>
    <x v="0"/>
    <x v="3"/>
    <s v="二组"/>
    <s v="上海二组"/>
    <s v="普通员工"/>
    <n v="1000.28"/>
    <n v="2020"/>
    <x v="1"/>
  </r>
  <r>
    <x v="50"/>
    <n v="1000000067"/>
    <s v="借呗18期"/>
    <n v="1"/>
    <n v="931.43"/>
    <s v="借呗"/>
    <x v="2"/>
    <x v="0"/>
    <x v="1"/>
    <s v="二组"/>
    <s v="苏州二组"/>
    <s v="普通员工"/>
    <n v="931.43"/>
    <n v="2020"/>
    <x v="1"/>
  </r>
  <r>
    <x v="50"/>
    <n v="1000000031"/>
    <s v="借呗12期"/>
    <n v="1"/>
    <n v="600.16999999999996"/>
    <s v="借呗"/>
    <x v="0"/>
    <x v="0"/>
    <x v="0"/>
    <s v="一组"/>
    <s v="杭州一组"/>
    <s v="管理人员"/>
    <n v="600.16999999999996"/>
    <n v="2020"/>
    <x v="1"/>
  </r>
  <r>
    <x v="50"/>
    <n v="1000003989"/>
    <s v="花呗6期"/>
    <n v="1"/>
    <n v="59.63"/>
    <s v="花呗"/>
    <x v="1"/>
    <x v="1"/>
    <x v="2"/>
    <s v="三组"/>
    <s v="北京三组"/>
    <s v="普通员工"/>
    <n v="59.63"/>
    <n v="2020"/>
    <x v="1"/>
  </r>
  <r>
    <x v="51"/>
    <n v="1000008239"/>
    <s v="借呗12期"/>
    <n v="7"/>
    <n v="80003.180000000008"/>
    <s v="借呗"/>
    <x v="0"/>
    <x v="0"/>
    <x v="10"/>
    <s v="一组"/>
    <s v="南京一组"/>
    <s v="管理人员"/>
    <n v="11429.025714285715"/>
    <n v="2020"/>
    <x v="1"/>
  </r>
  <r>
    <x v="51"/>
    <n v="1000000928"/>
    <s v="借呗12期"/>
    <n v="3"/>
    <n v="41884.36"/>
    <s v="借呗"/>
    <x v="0"/>
    <x v="1"/>
    <x v="8"/>
    <s v="一组"/>
    <s v="西安一组"/>
    <s v="普通员工"/>
    <n v="13961.453333333331"/>
    <n v="2020"/>
    <x v="1"/>
  </r>
  <r>
    <x v="51"/>
    <n v="1000000036"/>
    <s v="借呗12期"/>
    <n v="2"/>
    <n v="34000.480000000003"/>
    <s v="借呗"/>
    <x v="0"/>
    <x v="2"/>
    <x v="6"/>
    <s v="三组"/>
    <s v="广州三组"/>
    <s v="管理人员"/>
    <n v="17000.240000000002"/>
    <n v="2020"/>
    <x v="1"/>
  </r>
  <r>
    <x v="51"/>
    <n v="1000007197"/>
    <s v="借呗18期"/>
    <n v="1"/>
    <n v="30000.720000000001"/>
    <s v="借呗"/>
    <x v="2"/>
    <x v="0"/>
    <x v="5"/>
    <s v="一组"/>
    <s v="合肥一组"/>
    <s v="普通员工"/>
    <n v="30000.720000000001"/>
    <n v="2020"/>
    <x v="1"/>
  </r>
  <r>
    <x v="51"/>
    <n v="1000003926"/>
    <s v="借呗6期"/>
    <n v="2"/>
    <n v="29000.47"/>
    <s v="借呗"/>
    <x v="1"/>
    <x v="2"/>
    <x v="6"/>
    <s v="一组"/>
    <s v="广州一组"/>
    <s v="管理人员"/>
    <n v="14500.235000000001"/>
    <n v="2020"/>
    <x v="1"/>
  </r>
  <r>
    <x v="51"/>
    <n v="1000001524"/>
    <s v="借呗6期"/>
    <n v="1"/>
    <n v="25000.560000000001"/>
    <s v="借呗"/>
    <x v="1"/>
    <x v="0"/>
    <x v="1"/>
    <s v="二组"/>
    <s v="苏州二组"/>
    <s v="普通员工"/>
    <n v="25000.560000000001"/>
    <n v="2020"/>
    <x v="1"/>
  </r>
  <r>
    <x v="51"/>
    <n v="1000000043"/>
    <s v="借呗6期"/>
    <n v="1"/>
    <n v="25000.34"/>
    <s v="借呗"/>
    <x v="1"/>
    <x v="1"/>
    <x v="4"/>
    <s v="一组"/>
    <s v="成都一组"/>
    <s v="普通员工"/>
    <n v="25000.34"/>
    <n v="2020"/>
    <x v="1"/>
  </r>
  <r>
    <x v="51"/>
    <n v="1000000056"/>
    <s v="借呗6期"/>
    <n v="3"/>
    <n v="22500.639999999999"/>
    <s v="借呗"/>
    <x v="1"/>
    <x v="0"/>
    <x v="3"/>
    <s v="一组"/>
    <s v="上海一组"/>
    <s v="管理人员"/>
    <n v="7500.2133333333331"/>
    <n v="2020"/>
    <x v="1"/>
  </r>
  <r>
    <x v="51"/>
    <n v="1000000031"/>
    <s v="借呗6期"/>
    <n v="3"/>
    <n v="22000.59"/>
    <s v="借呗"/>
    <x v="1"/>
    <x v="0"/>
    <x v="0"/>
    <s v="一组"/>
    <s v="杭州一组"/>
    <s v="管理人员"/>
    <n v="7333.53"/>
    <n v="2020"/>
    <x v="1"/>
  </r>
  <r>
    <x v="51"/>
    <n v="1000000041"/>
    <s v="借呗6期"/>
    <n v="1"/>
    <n v="22000.53"/>
    <s v="借呗"/>
    <x v="1"/>
    <x v="1"/>
    <x v="2"/>
    <s v="四组"/>
    <s v="北京四组"/>
    <s v="普通员工"/>
    <n v="22000.53"/>
    <n v="2020"/>
    <x v="1"/>
  </r>
  <r>
    <x v="51"/>
    <n v="1000003989"/>
    <s v="借呗12期"/>
    <n v="1"/>
    <n v="22000.53"/>
    <s v="借呗"/>
    <x v="0"/>
    <x v="1"/>
    <x v="2"/>
    <s v="三组"/>
    <s v="北京三组"/>
    <s v="普通员工"/>
    <n v="22000.53"/>
    <n v="2020"/>
    <x v="1"/>
  </r>
  <r>
    <x v="51"/>
    <n v="1000000028"/>
    <s v="借呗6期"/>
    <n v="2"/>
    <n v="21778.47"/>
    <s v="借呗"/>
    <x v="1"/>
    <x v="0"/>
    <x v="0"/>
    <s v="二组"/>
    <s v="杭州二组"/>
    <s v="普通员工"/>
    <n v="10889.235000000001"/>
    <n v="2020"/>
    <x v="1"/>
  </r>
  <r>
    <x v="51"/>
    <n v="1000000029"/>
    <s v="借呗6期"/>
    <n v="1"/>
    <n v="20000.599999999999"/>
    <s v="借呗"/>
    <x v="1"/>
    <x v="0"/>
    <x v="0"/>
    <s v="二组"/>
    <s v="杭州二组"/>
    <s v="普通员工"/>
    <n v="20000.599999999999"/>
    <n v="2020"/>
    <x v="1"/>
  </r>
  <r>
    <x v="51"/>
    <n v="1000000068"/>
    <s v="借呗6期"/>
    <n v="2"/>
    <n v="19701.96"/>
    <s v="借呗"/>
    <x v="1"/>
    <x v="1"/>
    <x v="7"/>
    <s v="一组"/>
    <s v="重庆一组"/>
    <s v="管理人员"/>
    <n v="9850.98"/>
    <n v="2020"/>
    <x v="1"/>
  </r>
  <r>
    <x v="51"/>
    <n v="1000006064"/>
    <s v="借呗6期"/>
    <n v="2"/>
    <n v="17001.25"/>
    <s v="借呗"/>
    <x v="1"/>
    <x v="0"/>
    <x v="5"/>
    <s v="一组"/>
    <s v="合肥一组"/>
    <s v="普通员工"/>
    <n v="8500.625"/>
    <n v="2020"/>
    <x v="1"/>
  </r>
  <r>
    <x v="51"/>
    <n v="1000000045"/>
    <s v="借呗6期"/>
    <n v="1"/>
    <n v="16000.67"/>
    <s v="借呗"/>
    <x v="1"/>
    <x v="2"/>
    <x v="9"/>
    <s v="一组"/>
    <s v="深圳一组"/>
    <s v="普通员工"/>
    <n v="16000.67"/>
    <n v="2020"/>
    <x v="1"/>
  </r>
  <r>
    <x v="51"/>
    <n v="1000000029"/>
    <s v="借呗12期"/>
    <n v="1"/>
    <n v="16000.24"/>
    <s v="借呗"/>
    <x v="0"/>
    <x v="0"/>
    <x v="0"/>
    <s v="二组"/>
    <s v="杭州二组"/>
    <s v="普通员工"/>
    <n v="16000.24"/>
    <n v="2020"/>
    <x v="1"/>
  </r>
  <r>
    <x v="51"/>
    <n v="1000006869"/>
    <s v="借呗6期"/>
    <n v="2"/>
    <n v="15500.48"/>
    <s v="借呗"/>
    <x v="1"/>
    <x v="0"/>
    <x v="10"/>
    <s v="一组"/>
    <s v="南京一组"/>
    <s v="普通员工"/>
    <n v="7750.24"/>
    <n v="2020"/>
    <x v="1"/>
  </r>
  <r>
    <x v="51"/>
    <n v="1000000046"/>
    <s v="借呗12期"/>
    <n v="1"/>
    <n v="15000.6"/>
    <s v="借呗"/>
    <x v="0"/>
    <x v="1"/>
    <x v="4"/>
    <s v="一组"/>
    <s v="成都一组"/>
    <s v="普通员工"/>
    <n v="15000.6"/>
    <n v="2020"/>
    <x v="1"/>
  </r>
  <r>
    <x v="51"/>
    <n v="1000000044"/>
    <s v="借呗12期"/>
    <n v="1"/>
    <n v="15000.32"/>
    <s v="借呗"/>
    <x v="0"/>
    <x v="1"/>
    <x v="2"/>
    <s v="三组"/>
    <s v="北京三组"/>
    <s v="管理人员"/>
    <n v="15000.32"/>
    <n v="2020"/>
    <x v="1"/>
  </r>
  <r>
    <x v="51"/>
    <n v="1000000045"/>
    <s v="借呗12期"/>
    <n v="1"/>
    <n v="15000.17"/>
    <s v="借呗"/>
    <x v="0"/>
    <x v="2"/>
    <x v="9"/>
    <s v="一组"/>
    <s v="深圳一组"/>
    <s v="普通员工"/>
    <n v="15000.17"/>
    <n v="2020"/>
    <x v="1"/>
  </r>
  <r>
    <x v="51"/>
    <n v="1000001524"/>
    <s v="借呗12期"/>
    <n v="1"/>
    <n v="14000.72"/>
    <s v="借呗"/>
    <x v="0"/>
    <x v="0"/>
    <x v="1"/>
    <s v="二组"/>
    <s v="苏州二组"/>
    <s v="普通员工"/>
    <n v="14000.72"/>
    <n v="2020"/>
    <x v="1"/>
  </r>
  <r>
    <x v="51"/>
    <n v="1000006867"/>
    <s v="借呗12期"/>
    <n v="1"/>
    <n v="14000.54"/>
    <s v="借呗"/>
    <x v="0"/>
    <x v="0"/>
    <x v="10"/>
    <s v="一组"/>
    <s v="南京一组"/>
    <s v="普通员工"/>
    <n v="14000.54"/>
    <n v="2020"/>
    <x v="1"/>
  </r>
  <r>
    <x v="51"/>
    <n v="1000000032"/>
    <s v="借呗12期"/>
    <n v="1"/>
    <n v="13000.27"/>
    <s v="借呗"/>
    <x v="0"/>
    <x v="0"/>
    <x v="1"/>
    <s v="一组"/>
    <s v="苏州一组"/>
    <s v="管理人员"/>
    <n v="13000.27"/>
    <n v="2020"/>
    <x v="1"/>
  </r>
  <r>
    <x v="51"/>
    <n v="1000006860"/>
    <s v="借呗12期"/>
    <n v="1"/>
    <n v="13000.13"/>
    <s v="借呗"/>
    <x v="0"/>
    <x v="0"/>
    <x v="10"/>
    <s v="一组"/>
    <s v="南京一组"/>
    <s v="普通员工"/>
    <n v="13000.13"/>
    <n v="2020"/>
    <x v="1"/>
  </r>
  <r>
    <x v="51"/>
    <n v="1000000040"/>
    <s v="借呗6期"/>
    <n v="2"/>
    <n v="12549.58"/>
    <s v="借呗"/>
    <x v="1"/>
    <x v="1"/>
    <x v="2"/>
    <s v="四组"/>
    <s v="北京四组"/>
    <s v="管理人员"/>
    <n v="6274.79"/>
    <n v="2020"/>
    <x v="1"/>
  </r>
  <r>
    <x v="51"/>
    <n v="1000000104"/>
    <s v="借呗18期"/>
    <n v="1"/>
    <n v="12000.51"/>
    <s v="借呗"/>
    <x v="2"/>
    <x v="0"/>
    <x v="5"/>
    <s v="一组"/>
    <s v="合肥一组"/>
    <s v="普通员工"/>
    <n v="12000.51"/>
    <n v="2020"/>
    <x v="1"/>
  </r>
  <r>
    <x v="51"/>
    <n v="1000000566"/>
    <s v="借呗12期"/>
    <n v="1"/>
    <n v="11000.42"/>
    <s v="借呗"/>
    <x v="0"/>
    <x v="2"/>
    <x v="6"/>
    <s v="三组"/>
    <s v="广州三组"/>
    <s v="普通员工"/>
    <n v="11000.42"/>
    <n v="2020"/>
    <x v="1"/>
  </r>
  <r>
    <x v="51"/>
    <n v="1000000576"/>
    <s v="借呗12期"/>
    <n v="1"/>
    <n v="10000.14"/>
    <s v="借呗"/>
    <x v="0"/>
    <x v="0"/>
    <x v="1"/>
    <s v="三组"/>
    <s v="苏州三组"/>
    <s v="普通员工"/>
    <n v="10000.14"/>
    <n v="2020"/>
    <x v="1"/>
  </r>
  <r>
    <x v="51"/>
    <n v="1000000104"/>
    <s v="借呗6期"/>
    <n v="1"/>
    <n v="10000.120000000001"/>
    <s v="借呗"/>
    <x v="1"/>
    <x v="0"/>
    <x v="5"/>
    <s v="一组"/>
    <s v="合肥一组"/>
    <s v="普通员工"/>
    <n v="10000.120000000001"/>
    <n v="2020"/>
    <x v="1"/>
  </r>
  <r>
    <x v="51"/>
    <n v="1000000067"/>
    <s v="借呗12期"/>
    <n v="1"/>
    <n v="7000.69"/>
    <s v="借呗"/>
    <x v="0"/>
    <x v="0"/>
    <x v="1"/>
    <s v="二组"/>
    <s v="苏州二组"/>
    <s v="普通员工"/>
    <n v="7000.69"/>
    <n v="2020"/>
    <x v="1"/>
  </r>
  <r>
    <x v="51"/>
    <n v="1000000039"/>
    <s v="借呗12期"/>
    <n v="1"/>
    <n v="7000.24"/>
    <s v="借呗"/>
    <x v="0"/>
    <x v="0"/>
    <x v="1"/>
    <s v="二组"/>
    <s v="苏州二组"/>
    <s v="管理人员"/>
    <n v="7000.24"/>
    <n v="2020"/>
    <x v="1"/>
  </r>
  <r>
    <x v="51"/>
    <n v="1000000566"/>
    <s v="借呗6期"/>
    <n v="1"/>
    <n v="6000.65"/>
    <s v="借呗"/>
    <x v="1"/>
    <x v="2"/>
    <x v="6"/>
    <s v="三组"/>
    <s v="广州三组"/>
    <s v="普通员工"/>
    <n v="6000.65"/>
    <n v="2020"/>
    <x v="1"/>
  </r>
  <r>
    <x v="51"/>
    <n v="1000000054"/>
    <s v="借呗6期"/>
    <n v="1"/>
    <n v="6000.48"/>
    <s v="借呗"/>
    <x v="1"/>
    <x v="0"/>
    <x v="3"/>
    <s v="一组"/>
    <s v="上海一组"/>
    <s v="普通员工"/>
    <n v="6000.48"/>
    <n v="2020"/>
    <x v="1"/>
  </r>
  <r>
    <x v="51"/>
    <n v="1000000044"/>
    <s v="借呗6期"/>
    <n v="1"/>
    <n v="5000.1099999999997"/>
    <s v="借呗"/>
    <x v="1"/>
    <x v="1"/>
    <x v="2"/>
    <s v="三组"/>
    <s v="北京三组"/>
    <s v="管理人员"/>
    <n v="5000.1099999999997"/>
    <n v="2020"/>
    <x v="1"/>
  </r>
  <r>
    <x v="51"/>
    <n v="1000000034"/>
    <s v="借呗6期"/>
    <n v="1"/>
    <n v="1456.95"/>
    <s v="借呗"/>
    <x v="1"/>
    <x v="0"/>
    <x v="1"/>
    <s v="一组"/>
    <s v="苏州一组"/>
    <s v="普通员工"/>
    <n v="1456.95"/>
    <n v="2020"/>
    <x v="1"/>
  </r>
  <r>
    <x v="51"/>
    <n v="1000000067"/>
    <s v="借呗18期"/>
    <n v="1"/>
    <n v="1000.68"/>
    <s v="借呗"/>
    <x v="2"/>
    <x v="0"/>
    <x v="1"/>
    <s v="二组"/>
    <s v="苏州二组"/>
    <s v="普通员工"/>
    <n v="1000.68"/>
    <n v="2020"/>
    <x v="1"/>
  </r>
  <r>
    <x v="51"/>
    <n v="1000003926"/>
    <s v="借呗12期"/>
    <n v="1"/>
    <n v="1000.01"/>
    <s v="借呗"/>
    <x v="0"/>
    <x v="2"/>
    <x v="6"/>
    <s v="一组"/>
    <s v="广州一组"/>
    <s v="管理人员"/>
    <n v="1000.01"/>
    <n v="2020"/>
    <x v="1"/>
  </r>
  <r>
    <x v="52"/>
    <n v="1000003926"/>
    <s v="借呗6期"/>
    <n v="4"/>
    <n v="56001.590000000004"/>
    <s v="借呗"/>
    <x v="1"/>
    <x v="2"/>
    <x v="6"/>
    <s v="一组"/>
    <s v="广州一组"/>
    <s v="管理人员"/>
    <n v="14000.397499999999"/>
    <n v="2020"/>
    <x v="1"/>
  </r>
  <r>
    <x v="52"/>
    <n v="1000004170"/>
    <s v="借呗12期"/>
    <n v="2"/>
    <n v="45000.56"/>
    <s v="借呗"/>
    <x v="0"/>
    <x v="0"/>
    <x v="3"/>
    <s v="二组"/>
    <s v="上海二组"/>
    <s v="管理人员"/>
    <n v="22500.28"/>
    <n v="2020"/>
    <x v="1"/>
  </r>
  <r>
    <x v="52"/>
    <n v="1000004256"/>
    <s v="借呗18期"/>
    <n v="2"/>
    <n v="44000.05"/>
    <s v="借呗"/>
    <x v="2"/>
    <x v="0"/>
    <x v="5"/>
    <s v="一组"/>
    <s v="合肥一组"/>
    <s v="普通员工"/>
    <n v="22000.025000000001"/>
    <n v="2020"/>
    <x v="1"/>
  </r>
  <r>
    <x v="52"/>
    <n v="1000000104"/>
    <s v="借呗6期"/>
    <n v="3"/>
    <n v="40500.879999999997"/>
    <s v="借呗"/>
    <x v="1"/>
    <x v="0"/>
    <x v="5"/>
    <s v="一组"/>
    <s v="合肥一组"/>
    <s v="普通员工"/>
    <n v="13500.293333333331"/>
    <n v="2020"/>
    <x v="1"/>
  </r>
  <r>
    <x v="52"/>
    <n v="1000008239"/>
    <s v="借呗12期"/>
    <n v="3"/>
    <n v="39001.24"/>
    <s v="借呗"/>
    <x v="0"/>
    <x v="0"/>
    <x v="10"/>
    <s v="一组"/>
    <s v="南京一组"/>
    <s v="管理人员"/>
    <n v="13000.413333333332"/>
    <n v="2020"/>
    <x v="1"/>
  </r>
  <r>
    <x v="52"/>
    <n v="1000000040"/>
    <s v="借呗12期"/>
    <n v="2"/>
    <n v="36001.160000000003"/>
    <s v="借呗"/>
    <x v="0"/>
    <x v="1"/>
    <x v="2"/>
    <s v="四组"/>
    <s v="北京四组"/>
    <s v="管理人员"/>
    <n v="18000.580000000002"/>
    <n v="2020"/>
    <x v="1"/>
  </r>
  <r>
    <x v="52"/>
    <n v="1000000028"/>
    <s v="借呗12期"/>
    <n v="2"/>
    <n v="31000.92"/>
    <s v="借呗"/>
    <x v="0"/>
    <x v="0"/>
    <x v="0"/>
    <s v="二组"/>
    <s v="杭州二组"/>
    <s v="普通员工"/>
    <n v="15500.46"/>
    <n v="2020"/>
    <x v="1"/>
  </r>
  <r>
    <x v="52"/>
    <n v="1000000566"/>
    <s v="借呗6期"/>
    <n v="3"/>
    <n v="30501.05"/>
    <s v="借呗"/>
    <x v="1"/>
    <x v="2"/>
    <x v="6"/>
    <s v="三组"/>
    <s v="广州三组"/>
    <s v="普通员工"/>
    <n v="10167.016666666666"/>
    <n v="2020"/>
    <x v="1"/>
  </r>
  <r>
    <x v="52"/>
    <n v="1000007197"/>
    <s v="借呗12期"/>
    <n v="3"/>
    <n v="30000.77"/>
    <s v="借呗"/>
    <x v="0"/>
    <x v="0"/>
    <x v="5"/>
    <s v="一组"/>
    <s v="合肥一组"/>
    <s v="普通员工"/>
    <n v="10000.256666666666"/>
    <n v="2020"/>
    <x v="1"/>
  </r>
  <r>
    <x v="52"/>
    <n v="1000004256"/>
    <s v="借呗12期"/>
    <n v="2"/>
    <n v="29000.84"/>
    <s v="借呗"/>
    <x v="0"/>
    <x v="0"/>
    <x v="5"/>
    <s v="一组"/>
    <s v="合肥一组"/>
    <s v="普通员工"/>
    <n v="14500.42"/>
    <n v="2020"/>
    <x v="1"/>
  </r>
  <r>
    <x v="52"/>
    <n v="1000000034"/>
    <s v="借呗12期"/>
    <n v="2"/>
    <n v="27000.78"/>
    <s v="借呗"/>
    <x v="0"/>
    <x v="0"/>
    <x v="1"/>
    <s v="一组"/>
    <s v="苏州一组"/>
    <s v="普通员工"/>
    <n v="13500.39"/>
    <n v="2020"/>
    <x v="1"/>
  </r>
  <r>
    <x v="52"/>
    <n v="1000000054"/>
    <s v="借呗6期"/>
    <n v="1"/>
    <n v="22000.67"/>
    <s v="借呗"/>
    <x v="1"/>
    <x v="0"/>
    <x v="3"/>
    <s v="一组"/>
    <s v="上海一组"/>
    <s v="普通员工"/>
    <n v="22000.67"/>
    <n v="2020"/>
    <x v="1"/>
  </r>
  <r>
    <x v="52"/>
    <n v="1000006859"/>
    <s v="借呗6期"/>
    <n v="1"/>
    <n v="22000.400000000001"/>
    <s v="借呗"/>
    <x v="1"/>
    <x v="0"/>
    <x v="10"/>
    <s v="一组"/>
    <s v="南京一组"/>
    <s v="普通员工"/>
    <n v="22000.400000000001"/>
    <n v="2020"/>
    <x v="1"/>
  </r>
  <r>
    <x v="52"/>
    <n v="1000005873"/>
    <s v="借呗18期"/>
    <n v="1"/>
    <n v="22000.29"/>
    <s v="借呗"/>
    <x v="2"/>
    <x v="0"/>
    <x v="0"/>
    <s v="二组"/>
    <s v="杭州二组"/>
    <s v="管理人员"/>
    <n v="22000.29"/>
    <n v="2020"/>
    <x v="1"/>
  </r>
  <r>
    <x v="52"/>
    <n v="1000000566"/>
    <s v="借呗18期"/>
    <n v="1"/>
    <n v="20000.509999999998"/>
    <s v="借呗"/>
    <x v="2"/>
    <x v="2"/>
    <x v="6"/>
    <s v="三组"/>
    <s v="广州三组"/>
    <s v="普通员工"/>
    <n v="20000.509999999998"/>
    <n v="2020"/>
    <x v="1"/>
  </r>
  <r>
    <x v="52"/>
    <n v="1000000104"/>
    <s v="借呗12期"/>
    <n v="1"/>
    <n v="20000.27"/>
    <s v="借呗"/>
    <x v="0"/>
    <x v="0"/>
    <x v="5"/>
    <s v="一组"/>
    <s v="合肥一组"/>
    <s v="普通员工"/>
    <n v="20000.27"/>
    <n v="2020"/>
    <x v="1"/>
  </r>
  <r>
    <x v="52"/>
    <n v="1000000033"/>
    <s v="借呗12期"/>
    <n v="2"/>
    <n v="18000.71"/>
    <s v="借呗"/>
    <x v="0"/>
    <x v="0"/>
    <x v="1"/>
    <s v="一组"/>
    <s v="苏州一组"/>
    <s v="普通员工"/>
    <n v="9000.3549999999996"/>
    <n v="2020"/>
    <x v="1"/>
  </r>
  <r>
    <x v="52"/>
    <n v="1000000045"/>
    <s v="借呗18期"/>
    <n v="1"/>
    <n v="18000.62"/>
    <s v="借呗"/>
    <x v="2"/>
    <x v="2"/>
    <x v="9"/>
    <s v="一组"/>
    <s v="深圳一组"/>
    <s v="普通员工"/>
    <n v="18000.62"/>
    <n v="2020"/>
    <x v="1"/>
  </r>
  <r>
    <x v="52"/>
    <n v="1000006867"/>
    <s v="借呗6期"/>
    <n v="1"/>
    <n v="17000.57"/>
    <s v="借呗"/>
    <x v="1"/>
    <x v="0"/>
    <x v="10"/>
    <s v="一组"/>
    <s v="南京一组"/>
    <s v="普通员工"/>
    <n v="17000.57"/>
    <n v="2020"/>
    <x v="1"/>
  </r>
  <r>
    <x v="52"/>
    <n v="1000000928"/>
    <s v="借呗18期"/>
    <n v="1"/>
    <n v="17000.53"/>
    <s v="借呗"/>
    <x v="2"/>
    <x v="1"/>
    <x v="8"/>
    <s v="一组"/>
    <s v="西安一组"/>
    <s v="普通员工"/>
    <n v="17000.53"/>
    <n v="2020"/>
    <x v="1"/>
  </r>
  <r>
    <x v="52"/>
    <n v="1000000046"/>
    <s v="借呗6期"/>
    <n v="3"/>
    <n v="16600.89"/>
    <s v="借呗"/>
    <x v="1"/>
    <x v="1"/>
    <x v="4"/>
    <s v="一组"/>
    <s v="成都一组"/>
    <s v="普通员工"/>
    <n v="5533.63"/>
    <n v="2020"/>
    <x v="1"/>
  </r>
  <r>
    <x v="52"/>
    <n v="1000000928"/>
    <s v="借呗12期"/>
    <n v="1"/>
    <n v="16000.73"/>
    <s v="借呗"/>
    <x v="0"/>
    <x v="1"/>
    <x v="8"/>
    <s v="一组"/>
    <s v="西安一组"/>
    <s v="普通员工"/>
    <n v="16000.73"/>
    <n v="2020"/>
    <x v="1"/>
  </r>
  <r>
    <x v="52"/>
    <n v="1000000030"/>
    <s v="借呗18期"/>
    <n v="1"/>
    <n v="16000.5"/>
    <s v="借呗"/>
    <x v="2"/>
    <x v="2"/>
    <x v="6"/>
    <s v="三组"/>
    <s v="广州三组"/>
    <s v="普通员工"/>
    <n v="16000.5"/>
    <n v="2020"/>
    <x v="1"/>
  </r>
  <r>
    <x v="52"/>
    <n v="1000000050"/>
    <s v="借呗18期"/>
    <n v="1"/>
    <n v="16000.4"/>
    <s v="借呗"/>
    <x v="2"/>
    <x v="0"/>
    <x v="5"/>
    <s v="一组"/>
    <s v="合肥一组"/>
    <s v="普通员工"/>
    <n v="16000.4"/>
    <n v="2020"/>
    <x v="1"/>
  </r>
  <r>
    <x v="52"/>
    <n v="1000000104"/>
    <s v="借呗18期"/>
    <n v="1"/>
    <n v="14000.03"/>
    <s v="借呗"/>
    <x v="2"/>
    <x v="0"/>
    <x v="5"/>
    <s v="一组"/>
    <s v="合肥一组"/>
    <s v="普通员工"/>
    <n v="14000.03"/>
    <n v="2020"/>
    <x v="1"/>
  </r>
  <r>
    <x v="52"/>
    <n v="1000000029"/>
    <s v="借呗6期"/>
    <n v="2"/>
    <n v="13000.470000000001"/>
    <s v="借呗"/>
    <x v="1"/>
    <x v="0"/>
    <x v="0"/>
    <s v="二组"/>
    <s v="杭州二组"/>
    <s v="普通员工"/>
    <n v="6500.2350000000006"/>
    <n v="2020"/>
    <x v="1"/>
  </r>
  <r>
    <x v="52"/>
    <n v="1000000045"/>
    <s v="借呗6期"/>
    <n v="1"/>
    <n v="13000.26"/>
    <s v="借呗"/>
    <x v="1"/>
    <x v="2"/>
    <x v="9"/>
    <s v="一组"/>
    <s v="深圳一组"/>
    <s v="普通员工"/>
    <n v="13000.26"/>
    <n v="2020"/>
    <x v="1"/>
  </r>
  <r>
    <x v="52"/>
    <n v="1000000035"/>
    <s v="借呗12期"/>
    <n v="1"/>
    <n v="13000.15"/>
    <s v="借呗"/>
    <x v="0"/>
    <x v="0"/>
    <x v="1"/>
    <s v="三组"/>
    <s v="苏州三组"/>
    <s v="普通员工"/>
    <n v="13000.15"/>
    <n v="2020"/>
    <x v="1"/>
  </r>
  <r>
    <x v="52"/>
    <n v="1000003489"/>
    <s v="借呗12期"/>
    <n v="1"/>
    <n v="12000.5"/>
    <s v="借呗"/>
    <x v="0"/>
    <x v="2"/>
    <x v="6"/>
    <s v="一组"/>
    <s v="广州一组"/>
    <s v="普通员工"/>
    <n v="12000.5"/>
    <n v="2020"/>
    <x v="1"/>
  </r>
  <r>
    <x v="52"/>
    <n v="1000000041"/>
    <s v="借呗6期"/>
    <n v="1"/>
    <n v="11000.65"/>
    <s v="借呗"/>
    <x v="1"/>
    <x v="1"/>
    <x v="2"/>
    <s v="四组"/>
    <s v="北京四组"/>
    <s v="普通员工"/>
    <n v="11000.65"/>
    <n v="2020"/>
    <x v="1"/>
  </r>
  <r>
    <x v="52"/>
    <n v="1000000031"/>
    <s v="借呗18期"/>
    <n v="2"/>
    <n v="10738.320000000002"/>
    <s v="借呗"/>
    <x v="2"/>
    <x v="0"/>
    <x v="0"/>
    <s v="一组"/>
    <s v="杭州一组"/>
    <s v="管理人员"/>
    <n v="5369.1600000000008"/>
    <n v="2020"/>
    <x v="1"/>
  </r>
  <r>
    <x v="52"/>
    <n v="1000003989"/>
    <s v="借呗12期"/>
    <n v="1"/>
    <n v="10000.69"/>
    <s v="借呗"/>
    <x v="0"/>
    <x v="1"/>
    <x v="2"/>
    <s v="三组"/>
    <s v="北京三组"/>
    <s v="普通员工"/>
    <n v="10000.69"/>
    <n v="2020"/>
    <x v="1"/>
  </r>
  <r>
    <x v="52"/>
    <n v="1000000031"/>
    <s v="借呗12期"/>
    <n v="1"/>
    <n v="10000.68"/>
    <s v="借呗"/>
    <x v="0"/>
    <x v="0"/>
    <x v="0"/>
    <s v="一组"/>
    <s v="杭州一组"/>
    <s v="管理人员"/>
    <n v="10000.68"/>
    <n v="2020"/>
    <x v="1"/>
  </r>
  <r>
    <x v="52"/>
    <n v="1000007197"/>
    <s v="借呗6期"/>
    <n v="1"/>
    <n v="10000.66"/>
    <s v="借呗"/>
    <x v="1"/>
    <x v="0"/>
    <x v="5"/>
    <s v="一组"/>
    <s v="合肥一组"/>
    <s v="普通员工"/>
    <n v="10000.66"/>
    <n v="2020"/>
    <x v="1"/>
  </r>
  <r>
    <x v="52"/>
    <n v="1000000044"/>
    <s v="借呗6期"/>
    <n v="1"/>
    <n v="10000.370000000001"/>
    <s v="借呗"/>
    <x v="1"/>
    <x v="1"/>
    <x v="2"/>
    <s v="三组"/>
    <s v="北京三组"/>
    <s v="管理人员"/>
    <n v="10000.370000000001"/>
    <n v="2020"/>
    <x v="1"/>
  </r>
  <r>
    <x v="52"/>
    <n v="1000003489"/>
    <s v="借呗6期"/>
    <n v="1"/>
    <n v="10000.36"/>
    <s v="借呗"/>
    <x v="1"/>
    <x v="2"/>
    <x v="6"/>
    <s v="一组"/>
    <s v="广州一组"/>
    <s v="普通员工"/>
    <n v="10000.36"/>
    <n v="2020"/>
    <x v="1"/>
  </r>
  <r>
    <x v="52"/>
    <n v="1000003803"/>
    <s v="借呗12期"/>
    <n v="1"/>
    <n v="10000.33"/>
    <s v="借呗"/>
    <x v="0"/>
    <x v="1"/>
    <x v="2"/>
    <s v="三组"/>
    <s v="北京三组"/>
    <s v="普通员工"/>
    <n v="10000.33"/>
    <n v="2020"/>
    <x v="1"/>
  </r>
  <r>
    <x v="52"/>
    <n v="1000000036"/>
    <s v="借呗6期"/>
    <n v="1"/>
    <n v="10000.030000000001"/>
    <s v="借呗"/>
    <x v="1"/>
    <x v="2"/>
    <x v="6"/>
    <s v="三组"/>
    <s v="广州三组"/>
    <s v="管理人员"/>
    <n v="10000.030000000001"/>
    <n v="2020"/>
    <x v="1"/>
  </r>
  <r>
    <x v="52"/>
    <n v="1000000031"/>
    <s v="借呗6期"/>
    <n v="1"/>
    <n v="9000.76"/>
    <s v="借呗"/>
    <x v="1"/>
    <x v="0"/>
    <x v="0"/>
    <s v="一组"/>
    <s v="杭州一组"/>
    <s v="管理人员"/>
    <n v="9000.76"/>
    <n v="2020"/>
    <x v="1"/>
  </r>
  <r>
    <x v="52"/>
    <n v="1000000056"/>
    <s v="借呗6期"/>
    <n v="2"/>
    <n v="8200.75"/>
    <s v="借呗"/>
    <x v="1"/>
    <x v="0"/>
    <x v="3"/>
    <s v="一组"/>
    <s v="上海一组"/>
    <s v="管理人员"/>
    <n v="4100.375"/>
    <n v="2020"/>
    <x v="1"/>
  </r>
  <r>
    <x v="52"/>
    <n v="1000003803"/>
    <s v="借呗6期"/>
    <n v="1"/>
    <n v="8000.3"/>
    <s v="借呗"/>
    <x v="1"/>
    <x v="1"/>
    <x v="2"/>
    <s v="三组"/>
    <s v="北京三组"/>
    <s v="普通员工"/>
    <n v="8000.3"/>
    <n v="2020"/>
    <x v="1"/>
  </r>
  <r>
    <x v="52"/>
    <n v="1000000034"/>
    <s v="借呗6期"/>
    <n v="1"/>
    <n v="7999.96"/>
    <s v="借呗"/>
    <x v="1"/>
    <x v="0"/>
    <x v="1"/>
    <s v="一组"/>
    <s v="苏州一组"/>
    <s v="普通员工"/>
    <n v="7999.96"/>
    <n v="2020"/>
    <x v="1"/>
  </r>
  <r>
    <x v="52"/>
    <n v="1000000032"/>
    <s v="借呗12期"/>
    <n v="1"/>
    <n v="7999.94"/>
    <s v="借呗"/>
    <x v="0"/>
    <x v="0"/>
    <x v="1"/>
    <s v="一组"/>
    <s v="苏州一组"/>
    <s v="管理人员"/>
    <n v="7999.94"/>
    <n v="2020"/>
    <x v="1"/>
  </r>
  <r>
    <x v="52"/>
    <n v="1000000056"/>
    <s v="借呗12期"/>
    <n v="1"/>
    <n v="7500.42"/>
    <s v="借呗"/>
    <x v="0"/>
    <x v="0"/>
    <x v="3"/>
    <s v="一组"/>
    <s v="上海一组"/>
    <s v="管理人员"/>
    <n v="7500.42"/>
    <n v="2020"/>
    <x v="1"/>
  </r>
  <r>
    <x v="52"/>
    <n v="1000000566"/>
    <s v="借呗12期"/>
    <n v="1"/>
    <n v="7000.6"/>
    <s v="借呗"/>
    <x v="0"/>
    <x v="2"/>
    <x v="6"/>
    <s v="三组"/>
    <s v="广州三组"/>
    <s v="普通员工"/>
    <n v="7000.6"/>
    <n v="2020"/>
    <x v="1"/>
  </r>
  <r>
    <x v="52"/>
    <n v="1000000068"/>
    <s v="借呗6期"/>
    <n v="1"/>
    <n v="7000.53"/>
    <s v="借呗"/>
    <x v="1"/>
    <x v="1"/>
    <x v="7"/>
    <s v="一组"/>
    <s v="重庆一组"/>
    <s v="管理人员"/>
    <n v="7000.53"/>
    <n v="2020"/>
    <x v="1"/>
  </r>
  <r>
    <x v="52"/>
    <n v="1000008239"/>
    <s v="借呗18期"/>
    <n v="1"/>
    <n v="7000.26"/>
    <s v="借呗"/>
    <x v="2"/>
    <x v="0"/>
    <x v="10"/>
    <s v="一组"/>
    <s v="南京一组"/>
    <s v="管理人员"/>
    <n v="7000.26"/>
    <n v="2020"/>
    <x v="1"/>
  </r>
  <r>
    <x v="52"/>
    <n v="1000007320"/>
    <s v="借呗12期"/>
    <n v="1"/>
    <n v="6000.75"/>
    <s v="借呗"/>
    <x v="0"/>
    <x v="0"/>
    <x v="3"/>
    <s v="一组"/>
    <s v="上海一组"/>
    <s v="普通员工"/>
    <n v="6000.75"/>
    <n v="2020"/>
    <x v="1"/>
  </r>
  <r>
    <x v="52"/>
    <n v="1000005873"/>
    <s v="借呗6期"/>
    <n v="1"/>
    <n v="6000.42"/>
    <s v="借呗"/>
    <x v="1"/>
    <x v="0"/>
    <x v="0"/>
    <s v="二组"/>
    <s v="杭州二组"/>
    <s v="管理人员"/>
    <n v="6000.42"/>
    <n v="2020"/>
    <x v="1"/>
  </r>
  <r>
    <x v="52"/>
    <n v="1000000037"/>
    <s v="借呗6期"/>
    <n v="1"/>
    <n v="5499.98"/>
    <s v="借呗"/>
    <x v="1"/>
    <x v="0"/>
    <x v="0"/>
    <s v="二组"/>
    <s v="杭州二组"/>
    <s v="普通员工"/>
    <n v="5499.98"/>
    <n v="2020"/>
    <x v="1"/>
  </r>
  <r>
    <x v="52"/>
    <n v="1000000036"/>
    <s v="借呗12期"/>
    <n v="1"/>
    <n v="3400.39"/>
    <s v="借呗"/>
    <x v="0"/>
    <x v="2"/>
    <x v="6"/>
    <s v="三组"/>
    <s v="广州三组"/>
    <s v="管理人员"/>
    <n v="3400.39"/>
    <n v="2020"/>
    <x v="1"/>
  </r>
  <r>
    <x v="52"/>
    <n v="1000000033"/>
    <s v="借呗6期"/>
    <n v="1"/>
    <n v="2051.9299999999998"/>
    <s v="借呗"/>
    <x v="1"/>
    <x v="0"/>
    <x v="1"/>
    <s v="一组"/>
    <s v="苏州一组"/>
    <s v="普通员工"/>
    <n v="2051.9299999999998"/>
    <n v="2020"/>
    <x v="1"/>
  </r>
  <r>
    <x v="52"/>
    <n v="1000000052"/>
    <s v="借呗12期"/>
    <n v="1"/>
    <n v="1999.95"/>
    <s v="借呗"/>
    <x v="0"/>
    <x v="0"/>
    <x v="3"/>
    <s v="二组"/>
    <s v="上海二组"/>
    <s v="普通员工"/>
    <n v="1999.95"/>
    <n v="2020"/>
    <x v="1"/>
  </r>
  <r>
    <x v="52"/>
    <n v="1000000054"/>
    <s v="借呗12期"/>
    <n v="1"/>
    <n v="562.62"/>
    <s v="借呗"/>
    <x v="0"/>
    <x v="0"/>
    <x v="3"/>
    <s v="一组"/>
    <s v="上海一组"/>
    <s v="普通员工"/>
    <n v="562.62"/>
    <n v="2020"/>
    <x v="1"/>
  </r>
  <r>
    <x v="52"/>
    <n v="1000000028"/>
    <s v="借呗18期"/>
    <n v="1"/>
    <n v="522.94000000000005"/>
    <s v="借呗"/>
    <x v="2"/>
    <x v="0"/>
    <x v="0"/>
    <s v="二组"/>
    <s v="杭州二组"/>
    <s v="普通员工"/>
    <n v="522.94000000000005"/>
    <n v="2020"/>
    <x v="1"/>
  </r>
  <r>
    <x v="52"/>
    <n v="1000000237"/>
    <s v="借呗18期"/>
    <n v="1"/>
    <n v="500.14"/>
    <s v="借呗"/>
    <x v="2"/>
    <x v="0"/>
    <x v="5"/>
    <s v="一组"/>
    <s v="合肥一组"/>
    <s v="普通员工"/>
    <n v="500.14"/>
    <n v="2020"/>
    <x v="1"/>
  </r>
  <r>
    <x v="53"/>
    <n v="1000000576"/>
    <s v="借呗12期"/>
    <n v="3"/>
    <n v="56001.53"/>
    <s v="借呗"/>
    <x v="0"/>
    <x v="0"/>
    <x v="1"/>
    <s v="三组"/>
    <s v="苏州三组"/>
    <s v="普通员工"/>
    <n v="18667.176666666663"/>
    <n v="2020"/>
    <x v="1"/>
  </r>
  <r>
    <x v="53"/>
    <n v="1000000037"/>
    <s v="借呗18期"/>
    <n v="2"/>
    <n v="45001"/>
    <s v="借呗"/>
    <x v="2"/>
    <x v="0"/>
    <x v="0"/>
    <s v="二组"/>
    <s v="杭州二组"/>
    <s v="普通员工"/>
    <n v="22500.5"/>
    <n v="2020"/>
    <x v="1"/>
  </r>
  <r>
    <x v="53"/>
    <n v="1000000050"/>
    <s v="借呗18期"/>
    <n v="3"/>
    <n v="33000.660000000003"/>
    <s v="借呗"/>
    <x v="2"/>
    <x v="0"/>
    <x v="5"/>
    <s v="一组"/>
    <s v="合肥一组"/>
    <s v="普通员工"/>
    <n v="11000.22"/>
    <n v="2020"/>
    <x v="1"/>
  </r>
  <r>
    <x v="53"/>
    <n v="1000008239"/>
    <s v="借呗12期"/>
    <n v="2"/>
    <n v="31000.82"/>
    <s v="借呗"/>
    <x v="0"/>
    <x v="0"/>
    <x v="10"/>
    <s v="一组"/>
    <s v="南京一组"/>
    <s v="管理人员"/>
    <n v="15500.41"/>
    <n v="2020"/>
    <x v="1"/>
  </r>
  <r>
    <x v="53"/>
    <n v="1000000031"/>
    <s v="借呗12期"/>
    <n v="2"/>
    <n v="27001.040000000001"/>
    <s v="借呗"/>
    <x v="0"/>
    <x v="0"/>
    <x v="0"/>
    <s v="一组"/>
    <s v="杭州一组"/>
    <s v="管理人员"/>
    <n v="13500.52"/>
    <n v="2020"/>
    <x v="1"/>
  </r>
  <r>
    <x v="53"/>
    <n v="1000000594"/>
    <s v="借呗12期"/>
    <n v="1"/>
    <n v="25000.52"/>
    <s v="借呗"/>
    <x v="0"/>
    <x v="0"/>
    <x v="1"/>
    <s v="二组"/>
    <s v="苏州二组"/>
    <s v="普通员工"/>
    <n v="25000.52"/>
    <n v="2020"/>
    <x v="1"/>
  </r>
  <r>
    <x v="53"/>
    <n v="1000000237"/>
    <s v="借呗18期"/>
    <n v="1"/>
    <n v="25000.5"/>
    <s v="借呗"/>
    <x v="2"/>
    <x v="0"/>
    <x v="5"/>
    <s v="一组"/>
    <s v="合肥一组"/>
    <s v="普通员工"/>
    <n v="25000.5"/>
    <n v="2020"/>
    <x v="1"/>
  </r>
  <r>
    <x v="53"/>
    <n v="1000000032"/>
    <s v="借呗12期"/>
    <n v="1"/>
    <n v="25000.43"/>
    <s v="借呗"/>
    <x v="0"/>
    <x v="0"/>
    <x v="1"/>
    <s v="一组"/>
    <s v="苏州一组"/>
    <s v="管理人员"/>
    <n v="25000.43"/>
    <n v="2020"/>
    <x v="1"/>
  </r>
  <r>
    <x v="53"/>
    <n v="1000000028"/>
    <s v="借呗6期"/>
    <n v="1"/>
    <n v="22000.41"/>
    <s v="借呗"/>
    <x v="1"/>
    <x v="0"/>
    <x v="0"/>
    <s v="二组"/>
    <s v="杭州二组"/>
    <s v="普通员工"/>
    <n v="22000.41"/>
    <n v="2020"/>
    <x v="1"/>
  </r>
  <r>
    <x v="53"/>
    <n v="1000005873"/>
    <s v="借呗6期"/>
    <n v="1"/>
    <n v="22000.06"/>
    <s v="借呗"/>
    <x v="1"/>
    <x v="0"/>
    <x v="0"/>
    <s v="二组"/>
    <s v="杭州二组"/>
    <s v="管理人员"/>
    <n v="22000.06"/>
    <n v="2020"/>
    <x v="1"/>
  </r>
  <r>
    <x v="53"/>
    <n v="1000000034"/>
    <s v="借呗12期"/>
    <n v="1"/>
    <n v="20000.7"/>
    <s v="借呗"/>
    <x v="0"/>
    <x v="0"/>
    <x v="1"/>
    <s v="一组"/>
    <s v="苏州一组"/>
    <s v="普通员工"/>
    <n v="20000.7"/>
    <n v="2020"/>
    <x v="1"/>
  </r>
  <r>
    <x v="53"/>
    <n v="1000000037"/>
    <s v="借呗6期"/>
    <n v="1"/>
    <n v="19999.939999999999"/>
    <s v="借呗"/>
    <x v="1"/>
    <x v="0"/>
    <x v="0"/>
    <s v="二组"/>
    <s v="杭州二组"/>
    <s v="普通员工"/>
    <n v="19999.939999999999"/>
    <n v="2020"/>
    <x v="1"/>
  </r>
  <r>
    <x v="53"/>
    <n v="1000000928"/>
    <s v="借呗12期"/>
    <n v="1"/>
    <n v="17000.3"/>
    <s v="借呗"/>
    <x v="0"/>
    <x v="1"/>
    <x v="8"/>
    <s v="一组"/>
    <s v="西安一组"/>
    <s v="普通员工"/>
    <n v="17000.3"/>
    <n v="2020"/>
    <x v="1"/>
  </r>
  <r>
    <x v="53"/>
    <n v="1000000034"/>
    <s v="借呗18期"/>
    <n v="1"/>
    <n v="17000.13"/>
    <s v="借呗"/>
    <x v="2"/>
    <x v="0"/>
    <x v="1"/>
    <s v="一组"/>
    <s v="苏州一组"/>
    <s v="普通员工"/>
    <n v="17000.13"/>
    <n v="2020"/>
    <x v="1"/>
  </r>
  <r>
    <x v="53"/>
    <n v="1000006867"/>
    <s v="借呗12期"/>
    <n v="1"/>
    <n v="16000.63"/>
    <s v="借呗"/>
    <x v="0"/>
    <x v="0"/>
    <x v="10"/>
    <s v="一组"/>
    <s v="南京一组"/>
    <s v="普通员工"/>
    <n v="16000.63"/>
    <n v="2020"/>
    <x v="1"/>
  </r>
  <r>
    <x v="53"/>
    <n v="1000001524"/>
    <s v="借呗12期"/>
    <n v="1"/>
    <n v="16000.26"/>
    <s v="借呗"/>
    <x v="0"/>
    <x v="0"/>
    <x v="1"/>
    <s v="二组"/>
    <s v="苏州二组"/>
    <s v="普通员工"/>
    <n v="16000.26"/>
    <n v="2020"/>
    <x v="1"/>
  </r>
  <r>
    <x v="53"/>
    <n v="1000000068"/>
    <s v="借呗12期"/>
    <n v="2"/>
    <n v="15500.11"/>
    <s v="借呗"/>
    <x v="0"/>
    <x v="1"/>
    <x v="7"/>
    <s v="一组"/>
    <s v="重庆一组"/>
    <s v="管理人员"/>
    <n v="7750.0550000000003"/>
    <n v="2020"/>
    <x v="1"/>
  </r>
  <r>
    <x v="53"/>
    <n v="1000000028"/>
    <s v="借呗12期"/>
    <n v="1"/>
    <n v="15000.17"/>
    <s v="借呗"/>
    <x v="0"/>
    <x v="0"/>
    <x v="0"/>
    <s v="二组"/>
    <s v="杭州二组"/>
    <s v="普通员工"/>
    <n v="15000.17"/>
    <n v="2020"/>
    <x v="1"/>
  </r>
  <r>
    <x v="53"/>
    <n v="1000006869"/>
    <s v="借呗12期"/>
    <n v="1"/>
    <n v="14999.94"/>
    <s v="借呗"/>
    <x v="0"/>
    <x v="0"/>
    <x v="10"/>
    <s v="一组"/>
    <s v="南京一组"/>
    <s v="普通员工"/>
    <n v="14999.94"/>
    <n v="2020"/>
    <x v="1"/>
  </r>
  <r>
    <x v="53"/>
    <n v="1000000040"/>
    <s v="借呗12期"/>
    <n v="1"/>
    <n v="14000.29"/>
    <s v="借呗"/>
    <x v="0"/>
    <x v="1"/>
    <x v="2"/>
    <s v="四组"/>
    <s v="北京四组"/>
    <s v="管理人员"/>
    <n v="14000.29"/>
    <n v="2020"/>
    <x v="1"/>
  </r>
  <r>
    <x v="53"/>
    <n v="1000000041"/>
    <s v="借呗6期"/>
    <n v="1"/>
    <n v="14000.2"/>
    <s v="借呗"/>
    <x v="1"/>
    <x v="1"/>
    <x v="2"/>
    <s v="四组"/>
    <s v="北京四组"/>
    <s v="普通员工"/>
    <n v="14000.2"/>
    <n v="2020"/>
    <x v="1"/>
  </r>
  <r>
    <x v="53"/>
    <n v="1000000104"/>
    <s v="借呗18期"/>
    <n v="1"/>
    <n v="13000.61"/>
    <s v="借呗"/>
    <x v="2"/>
    <x v="0"/>
    <x v="5"/>
    <s v="一组"/>
    <s v="合肥一组"/>
    <s v="普通员工"/>
    <n v="13000.61"/>
    <n v="2020"/>
    <x v="1"/>
  </r>
  <r>
    <x v="53"/>
    <n v="1000000029"/>
    <s v="借呗6期"/>
    <n v="1"/>
    <n v="13000.17"/>
    <s v="借呗"/>
    <x v="1"/>
    <x v="0"/>
    <x v="0"/>
    <s v="二组"/>
    <s v="杭州二组"/>
    <s v="普通员工"/>
    <n v="13000.17"/>
    <n v="2020"/>
    <x v="1"/>
  </r>
  <r>
    <x v="53"/>
    <n v="1000006064"/>
    <s v="借呗18期"/>
    <n v="1"/>
    <n v="13000.06"/>
    <s v="借呗"/>
    <x v="2"/>
    <x v="0"/>
    <x v="5"/>
    <s v="一组"/>
    <s v="合肥一组"/>
    <s v="普通员工"/>
    <n v="13000.06"/>
    <n v="2020"/>
    <x v="1"/>
  </r>
  <r>
    <x v="53"/>
    <n v="1000000045"/>
    <s v="借呗6期"/>
    <n v="2"/>
    <n v="12500.99"/>
    <s v="借呗"/>
    <x v="1"/>
    <x v="2"/>
    <x v="9"/>
    <s v="一组"/>
    <s v="深圳一组"/>
    <s v="普通员工"/>
    <n v="6250.4949999999999"/>
    <n v="2020"/>
    <x v="1"/>
  </r>
  <r>
    <x v="53"/>
    <n v="1000000035"/>
    <s v="借呗18期"/>
    <n v="1"/>
    <n v="12000.62"/>
    <s v="借呗"/>
    <x v="2"/>
    <x v="0"/>
    <x v="1"/>
    <s v="三组"/>
    <s v="苏州三组"/>
    <s v="普通员工"/>
    <n v="12000.62"/>
    <n v="2020"/>
    <x v="1"/>
  </r>
  <r>
    <x v="53"/>
    <n v="1000004170"/>
    <s v="借呗12期"/>
    <n v="1"/>
    <n v="11000.5"/>
    <s v="借呗"/>
    <x v="0"/>
    <x v="0"/>
    <x v="3"/>
    <s v="二组"/>
    <s v="上海二组"/>
    <s v="管理人员"/>
    <n v="11000.5"/>
    <n v="2020"/>
    <x v="1"/>
  </r>
  <r>
    <x v="53"/>
    <n v="1000000030"/>
    <s v="借呗18期"/>
    <n v="1"/>
    <n v="10999.97"/>
    <s v="借呗"/>
    <x v="2"/>
    <x v="2"/>
    <x v="6"/>
    <s v="三组"/>
    <s v="广州三组"/>
    <s v="普通员工"/>
    <n v="10999.97"/>
    <n v="2020"/>
    <x v="1"/>
  </r>
  <r>
    <x v="53"/>
    <n v="1000000036"/>
    <s v="借呗6期"/>
    <n v="1"/>
    <n v="10000.74"/>
    <s v="借呗"/>
    <x v="1"/>
    <x v="2"/>
    <x v="6"/>
    <s v="三组"/>
    <s v="广州三组"/>
    <s v="管理人员"/>
    <n v="10000.74"/>
    <n v="2020"/>
    <x v="1"/>
  </r>
  <r>
    <x v="53"/>
    <n v="1000006860"/>
    <s v="借呗12期"/>
    <n v="1"/>
    <n v="10000.65"/>
    <s v="借呗"/>
    <x v="0"/>
    <x v="0"/>
    <x v="10"/>
    <s v="一组"/>
    <s v="南京一组"/>
    <s v="普通员工"/>
    <n v="10000.65"/>
    <n v="2020"/>
    <x v="1"/>
  </r>
  <r>
    <x v="53"/>
    <n v="1000000036"/>
    <s v="借呗12期"/>
    <n v="1"/>
    <n v="8400.4599999999991"/>
    <s v="借呗"/>
    <x v="0"/>
    <x v="2"/>
    <x v="6"/>
    <s v="三组"/>
    <s v="广州三组"/>
    <s v="管理人员"/>
    <n v="8400.4599999999991"/>
    <n v="2020"/>
    <x v="1"/>
  </r>
  <r>
    <x v="53"/>
    <n v="1000000044"/>
    <s v="借呗6期"/>
    <n v="1"/>
    <n v="8000.61"/>
    <s v="借呗"/>
    <x v="1"/>
    <x v="1"/>
    <x v="2"/>
    <s v="三组"/>
    <s v="北京三组"/>
    <s v="管理人员"/>
    <n v="8000.61"/>
    <n v="2020"/>
    <x v="1"/>
  </r>
  <r>
    <x v="53"/>
    <n v="1000000056"/>
    <s v="借呗6期"/>
    <n v="1"/>
    <n v="8000.24"/>
    <s v="借呗"/>
    <x v="1"/>
    <x v="0"/>
    <x v="3"/>
    <s v="一组"/>
    <s v="上海一组"/>
    <s v="管理人员"/>
    <n v="8000.24"/>
    <n v="2020"/>
    <x v="1"/>
  </r>
  <r>
    <x v="53"/>
    <n v="1000004256"/>
    <s v="借呗12期"/>
    <n v="1"/>
    <n v="6500.72"/>
    <s v="借呗"/>
    <x v="0"/>
    <x v="0"/>
    <x v="5"/>
    <s v="一组"/>
    <s v="合肥一组"/>
    <s v="普通员工"/>
    <n v="6500.72"/>
    <n v="2020"/>
    <x v="1"/>
  </r>
  <r>
    <x v="53"/>
    <n v="1000000566"/>
    <s v="借呗18期"/>
    <n v="1"/>
    <n v="5500.13"/>
    <s v="借呗"/>
    <x v="2"/>
    <x v="2"/>
    <x v="6"/>
    <s v="三组"/>
    <s v="广州三组"/>
    <s v="普通员工"/>
    <n v="5500.13"/>
    <n v="2020"/>
    <x v="1"/>
  </r>
  <r>
    <x v="53"/>
    <n v="1000000039"/>
    <s v="借呗6期"/>
    <n v="1"/>
    <n v="5000.7"/>
    <s v="借呗"/>
    <x v="1"/>
    <x v="0"/>
    <x v="1"/>
    <s v="二组"/>
    <s v="苏州二组"/>
    <s v="管理人员"/>
    <n v="5000.7"/>
    <n v="2020"/>
    <x v="1"/>
  </r>
  <r>
    <x v="53"/>
    <n v="1000003489"/>
    <s v="借呗12期"/>
    <n v="1"/>
    <n v="5000.01"/>
    <s v="借呗"/>
    <x v="0"/>
    <x v="2"/>
    <x v="6"/>
    <s v="一组"/>
    <s v="广州一组"/>
    <s v="普通员工"/>
    <n v="5000.01"/>
    <n v="2020"/>
    <x v="1"/>
  </r>
  <r>
    <x v="53"/>
    <n v="1000000040"/>
    <s v="借呗18期"/>
    <n v="1"/>
    <n v="4000.74"/>
    <s v="借呗"/>
    <x v="2"/>
    <x v="1"/>
    <x v="2"/>
    <s v="四组"/>
    <s v="北京四组"/>
    <s v="管理人员"/>
    <n v="4000.74"/>
    <n v="2020"/>
    <x v="1"/>
  </r>
  <r>
    <x v="53"/>
    <n v="1000000049"/>
    <s v="借呗12期"/>
    <n v="1"/>
    <n v="3163.73"/>
    <s v="借呗"/>
    <x v="0"/>
    <x v="0"/>
    <x v="5"/>
    <s v="一组"/>
    <s v="合肥一组"/>
    <s v="普通员工"/>
    <n v="3163.73"/>
    <n v="2020"/>
    <x v="1"/>
  </r>
  <r>
    <x v="53"/>
    <n v="1000000029"/>
    <s v="借呗18期"/>
    <n v="1"/>
    <n v="1884.7"/>
    <s v="借呗"/>
    <x v="2"/>
    <x v="0"/>
    <x v="0"/>
    <s v="二组"/>
    <s v="杭州二组"/>
    <s v="普通员工"/>
    <n v="1884.7"/>
    <n v="2020"/>
    <x v="1"/>
  </r>
  <r>
    <x v="53"/>
    <n v="1000000040"/>
    <s v="借呗6期"/>
    <n v="1"/>
    <n v="1537.45"/>
    <s v="借呗"/>
    <x v="1"/>
    <x v="1"/>
    <x v="2"/>
    <s v="四组"/>
    <s v="北京四组"/>
    <s v="管理人员"/>
    <n v="1537.45"/>
    <n v="2020"/>
    <x v="1"/>
  </r>
  <r>
    <x v="53"/>
    <n v="1000000035"/>
    <s v="借呗6期"/>
    <n v="1"/>
    <n v="1132.98"/>
    <s v="借呗"/>
    <x v="1"/>
    <x v="0"/>
    <x v="1"/>
    <s v="三组"/>
    <s v="苏州三组"/>
    <s v="普通员工"/>
    <n v="1132.98"/>
    <n v="2020"/>
    <x v="1"/>
  </r>
  <r>
    <x v="53"/>
    <n v="1000000056"/>
    <s v="借呗18期"/>
    <n v="1"/>
    <n v="1000.59"/>
    <s v="借呗"/>
    <x v="2"/>
    <x v="0"/>
    <x v="3"/>
    <s v="一组"/>
    <s v="上海一组"/>
    <s v="管理人员"/>
    <n v="1000.59"/>
    <n v="2020"/>
    <x v="1"/>
  </r>
  <r>
    <x v="54"/>
    <n v="1000000576"/>
    <s v="借呗12期"/>
    <n v="4"/>
    <n v="77001.53"/>
    <s v="借呗"/>
    <x v="0"/>
    <x v="0"/>
    <x v="1"/>
    <s v="三组"/>
    <s v="苏州三组"/>
    <s v="普通员工"/>
    <n v="19250.3825"/>
    <n v="2020"/>
    <x v="1"/>
  </r>
  <r>
    <x v="54"/>
    <n v="1000000054"/>
    <s v="借呗12期"/>
    <n v="3"/>
    <n v="45001.4"/>
    <s v="借呗"/>
    <x v="0"/>
    <x v="0"/>
    <x v="3"/>
    <s v="一组"/>
    <s v="上海一组"/>
    <s v="普通员工"/>
    <n v="15000.466666666667"/>
    <n v="2020"/>
    <x v="1"/>
  </r>
  <r>
    <x v="54"/>
    <n v="1000000067"/>
    <s v="借呗12期"/>
    <n v="3"/>
    <n v="45000.99"/>
    <s v="借呗"/>
    <x v="0"/>
    <x v="0"/>
    <x v="1"/>
    <s v="二组"/>
    <s v="苏州二组"/>
    <s v="普通员工"/>
    <n v="15000.33"/>
    <n v="2020"/>
    <x v="1"/>
  </r>
  <r>
    <x v="54"/>
    <n v="1000000046"/>
    <s v="借呗12期"/>
    <n v="1"/>
    <n v="25000.58"/>
    <s v="借呗"/>
    <x v="0"/>
    <x v="1"/>
    <x v="4"/>
    <s v="一组"/>
    <s v="成都一组"/>
    <s v="普通员工"/>
    <n v="25000.58"/>
    <n v="2020"/>
    <x v="1"/>
  </r>
  <r>
    <x v="54"/>
    <n v="1000000594"/>
    <s v="借呗12期"/>
    <n v="2"/>
    <n v="25000.36"/>
    <s v="借呗"/>
    <x v="0"/>
    <x v="0"/>
    <x v="1"/>
    <s v="二组"/>
    <s v="苏州二组"/>
    <s v="普通员工"/>
    <n v="12500.18"/>
    <n v="2020"/>
    <x v="1"/>
  </r>
  <r>
    <x v="54"/>
    <n v="1000004256"/>
    <s v="借呗18期"/>
    <n v="2"/>
    <n v="23500.43"/>
    <s v="借呗"/>
    <x v="2"/>
    <x v="0"/>
    <x v="5"/>
    <s v="一组"/>
    <s v="合肥一组"/>
    <s v="普通员工"/>
    <n v="11750.215"/>
    <n v="2020"/>
    <x v="1"/>
  </r>
  <r>
    <x v="54"/>
    <n v="1000006867"/>
    <s v="借呗12期"/>
    <n v="2"/>
    <n v="22000.5"/>
    <s v="借呗"/>
    <x v="0"/>
    <x v="0"/>
    <x v="10"/>
    <s v="一组"/>
    <s v="南京一组"/>
    <s v="普通员工"/>
    <n v="11000.25"/>
    <n v="2020"/>
    <x v="1"/>
  </r>
  <r>
    <x v="54"/>
    <n v="1000006859"/>
    <s v="借呗18期"/>
    <n v="1"/>
    <n v="22000.34"/>
    <s v="借呗"/>
    <x v="2"/>
    <x v="0"/>
    <x v="10"/>
    <s v="一组"/>
    <s v="南京一组"/>
    <s v="普通员工"/>
    <n v="22000.34"/>
    <n v="2020"/>
    <x v="1"/>
  </r>
  <r>
    <x v="54"/>
    <n v="1000000045"/>
    <s v="借呗6期"/>
    <n v="1"/>
    <n v="22000.12"/>
    <s v="借呗"/>
    <x v="1"/>
    <x v="2"/>
    <x v="9"/>
    <s v="一组"/>
    <s v="深圳一组"/>
    <s v="普通员工"/>
    <n v="22000.12"/>
    <n v="2020"/>
    <x v="1"/>
  </r>
  <r>
    <x v="54"/>
    <n v="1000003803"/>
    <s v="借呗12期"/>
    <n v="2"/>
    <n v="20000.440000000002"/>
    <s v="借呗"/>
    <x v="0"/>
    <x v="1"/>
    <x v="2"/>
    <s v="三组"/>
    <s v="北京三组"/>
    <s v="普通员工"/>
    <n v="10000.219999999999"/>
    <n v="2020"/>
    <x v="1"/>
  </r>
  <r>
    <x v="54"/>
    <n v="1000000029"/>
    <s v="借呗12期"/>
    <n v="2"/>
    <n v="19800.330000000002"/>
    <s v="借呗"/>
    <x v="0"/>
    <x v="0"/>
    <x v="0"/>
    <s v="二组"/>
    <s v="杭州二组"/>
    <s v="普通员工"/>
    <n v="9900.1650000000009"/>
    <n v="2020"/>
    <x v="1"/>
  </r>
  <r>
    <x v="54"/>
    <n v="1000007197"/>
    <s v="借呗18期"/>
    <n v="1"/>
    <n v="18000.060000000001"/>
    <s v="借呗"/>
    <x v="2"/>
    <x v="0"/>
    <x v="5"/>
    <s v="一组"/>
    <s v="合肥一组"/>
    <s v="普通员工"/>
    <n v="18000.060000000001"/>
    <n v="2020"/>
    <x v="1"/>
  </r>
  <r>
    <x v="54"/>
    <n v="1000000067"/>
    <s v="借呗6期"/>
    <n v="1"/>
    <n v="18000.03"/>
    <s v="借呗"/>
    <x v="1"/>
    <x v="0"/>
    <x v="1"/>
    <s v="二组"/>
    <s v="苏州二组"/>
    <s v="普通员工"/>
    <n v="18000.03"/>
    <n v="2020"/>
    <x v="1"/>
  </r>
  <r>
    <x v="54"/>
    <n v="1000000928"/>
    <s v="借呗12期"/>
    <n v="1"/>
    <n v="17000.419999999998"/>
    <s v="借呗"/>
    <x v="0"/>
    <x v="1"/>
    <x v="8"/>
    <s v="一组"/>
    <s v="西安一组"/>
    <s v="普通员工"/>
    <n v="17000.419999999998"/>
    <n v="2020"/>
    <x v="1"/>
  </r>
  <r>
    <x v="54"/>
    <n v="1000000050"/>
    <s v="借呗18期"/>
    <n v="1"/>
    <n v="17000.2"/>
    <s v="借呗"/>
    <x v="2"/>
    <x v="0"/>
    <x v="5"/>
    <s v="一组"/>
    <s v="合肥一组"/>
    <s v="普通员工"/>
    <n v="17000.2"/>
    <n v="2020"/>
    <x v="1"/>
  </r>
  <r>
    <x v="54"/>
    <n v="1000000041"/>
    <s v="借呗12期"/>
    <n v="1"/>
    <n v="16999.95"/>
    <s v="借呗"/>
    <x v="0"/>
    <x v="1"/>
    <x v="2"/>
    <s v="四组"/>
    <s v="北京四组"/>
    <s v="普通员工"/>
    <n v="16999.95"/>
    <n v="2020"/>
    <x v="1"/>
  </r>
  <r>
    <x v="54"/>
    <n v="1000000068"/>
    <s v="借呗12期"/>
    <n v="1"/>
    <n v="16000.1"/>
    <s v="借呗"/>
    <x v="0"/>
    <x v="1"/>
    <x v="7"/>
    <s v="一组"/>
    <s v="重庆一组"/>
    <s v="管理人员"/>
    <n v="16000.1"/>
    <n v="2020"/>
    <x v="1"/>
  </r>
  <r>
    <x v="54"/>
    <n v="1000000028"/>
    <s v="借呗6期"/>
    <n v="1"/>
    <n v="16000.09"/>
    <s v="借呗"/>
    <x v="1"/>
    <x v="0"/>
    <x v="0"/>
    <s v="二组"/>
    <s v="杭州二组"/>
    <s v="普通员工"/>
    <n v="16000.09"/>
    <n v="2020"/>
    <x v="1"/>
  </r>
  <r>
    <x v="54"/>
    <n v="1000003926"/>
    <s v="借呗6期"/>
    <n v="1"/>
    <n v="15000.75"/>
    <s v="借呗"/>
    <x v="1"/>
    <x v="2"/>
    <x v="6"/>
    <s v="一组"/>
    <s v="广州一组"/>
    <s v="管理人员"/>
    <n v="15000.75"/>
    <n v="2020"/>
    <x v="1"/>
  </r>
  <r>
    <x v="54"/>
    <n v="1000000036"/>
    <s v="借呗6期"/>
    <n v="1"/>
    <n v="15000.25"/>
    <s v="借呗"/>
    <x v="1"/>
    <x v="2"/>
    <x v="6"/>
    <s v="三组"/>
    <s v="广州三组"/>
    <s v="管理人员"/>
    <n v="15000.25"/>
    <n v="2020"/>
    <x v="1"/>
  </r>
  <r>
    <x v="54"/>
    <n v="1000000031"/>
    <s v="借呗6期"/>
    <n v="1"/>
    <n v="13000.54"/>
    <s v="借呗"/>
    <x v="1"/>
    <x v="0"/>
    <x v="0"/>
    <s v="一组"/>
    <s v="杭州一组"/>
    <s v="管理人员"/>
    <n v="13000.54"/>
    <n v="2020"/>
    <x v="1"/>
  </r>
  <r>
    <x v="54"/>
    <n v="1000007320"/>
    <s v="借呗6期"/>
    <n v="1"/>
    <n v="12000.33"/>
    <s v="借呗"/>
    <x v="1"/>
    <x v="0"/>
    <x v="3"/>
    <s v="一组"/>
    <s v="上海一组"/>
    <s v="普通员工"/>
    <n v="12000.33"/>
    <n v="2020"/>
    <x v="1"/>
  </r>
  <r>
    <x v="54"/>
    <n v="1000000050"/>
    <s v="借呗12期"/>
    <n v="1"/>
    <n v="12000.25"/>
    <s v="借呗"/>
    <x v="0"/>
    <x v="0"/>
    <x v="5"/>
    <s v="一组"/>
    <s v="合肥一组"/>
    <s v="普通员工"/>
    <n v="12000.25"/>
    <n v="2020"/>
    <x v="1"/>
  </r>
  <r>
    <x v="54"/>
    <n v="1000000068"/>
    <s v="借呗6期"/>
    <n v="2"/>
    <n v="11700.74"/>
    <s v="借呗"/>
    <x v="1"/>
    <x v="1"/>
    <x v="7"/>
    <s v="一组"/>
    <s v="重庆一组"/>
    <s v="管理人员"/>
    <n v="5850.37"/>
    <n v="2020"/>
    <x v="1"/>
  </r>
  <r>
    <x v="54"/>
    <n v="1000006064"/>
    <s v="借呗6期"/>
    <n v="2"/>
    <n v="11000.7"/>
    <s v="借呗"/>
    <x v="1"/>
    <x v="0"/>
    <x v="5"/>
    <s v="一组"/>
    <s v="合肥一组"/>
    <s v="普通员工"/>
    <n v="5500.35"/>
    <n v="2020"/>
    <x v="1"/>
  </r>
  <r>
    <x v="54"/>
    <n v="1000000566"/>
    <s v="借呗18期"/>
    <n v="1"/>
    <n v="11000.65"/>
    <s v="借呗"/>
    <x v="2"/>
    <x v="2"/>
    <x v="6"/>
    <s v="三组"/>
    <s v="广州三组"/>
    <s v="普通员工"/>
    <n v="11000.65"/>
    <n v="2020"/>
    <x v="1"/>
  </r>
  <r>
    <x v="54"/>
    <n v="1000000067"/>
    <s v="借呗18期"/>
    <n v="2"/>
    <n v="10813.68"/>
    <s v="借呗"/>
    <x v="2"/>
    <x v="0"/>
    <x v="1"/>
    <s v="二组"/>
    <s v="苏州二组"/>
    <s v="普通员工"/>
    <n v="5406.84"/>
    <n v="2020"/>
    <x v="1"/>
  </r>
  <r>
    <x v="54"/>
    <n v="1000003803"/>
    <s v="借呗6期"/>
    <n v="1"/>
    <n v="10000.73"/>
    <s v="借呗"/>
    <x v="1"/>
    <x v="1"/>
    <x v="2"/>
    <s v="三组"/>
    <s v="北京三组"/>
    <s v="普通员工"/>
    <n v="10000.73"/>
    <n v="2020"/>
    <x v="1"/>
  </r>
  <r>
    <x v="54"/>
    <n v="1000000566"/>
    <s v="借呗12期"/>
    <n v="1"/>
    <n v="10000.530000000001"/>
    <s v="借呗"/>
    <x v="0"/>
    <x v="2"/>
    <x v="6"/>
    <s v="三组"/>
    <s v="广州三组"/>
    <s v="普通员工"/>
    <n v="10000.530000000001"/>
    <n v="2020"/>
    <x v="1"/>
  </r>
  <r>
    <x v="54"/>
    <n v="1000000056"/>
    <s v="借呗18期"/>
    <n v="1"/>
    <n v="10000.5"/>
    <s v="借呗"/>
    <x v="2"/>
    <x v="0"/>
    <x v="3"/>
    <s v="一组"/>
    <s v="上海一组"/>
    <s v="管理人员"/>
    <n v="10000.5"/>
    <n v="2020"/>
    <x v="1"/>
  </r>
  <r>
    <x v="54"/>
    <n v="1000004170"/>
    <s v="借呗12期"/>
    <n v="1"/>
    <n v="10000.33"/>
    <s v="借呗"/>
    <x v="0"/>
    <x v="0"/>
    <x v="3"/>
    <s v="二组"/>
    <s v="上海二组"/>
    <s v="管理人员"/>
    <n v="10000.33"/>
    <n v="2020"/>
    <x v="1"/>
  </r>
  <r>
    <x v="54"/>
    <n v="1000005873"/>
    <s v="借呗6期"/>
    <n v="1"/>
    <n v="9999.98"/>
    <s v="借呗"/>
    <x v="1"/>
    <x v="0"/>
    <x v="0"/>
    <s v="二组"/>
    <s v="杭州二组"/>
    <s v="管理人员"/>
    <n v="9999.98"/>
    <n v="2020"/>
    <x v="1"/>
  </r>
  <r>
    <x v="54"/>
    <n v="1000000056"/>
    <s v="借呗6期"/>
    <n v="1"/>
    <n v="9999.9599999999991"/>
    <s v="借呗"/>
    <x v="1"/>
    <x v="0"/>
    <x v="3"/>
    <s v="一组"/>
    <s v="上海一组"/>
    <s v="管理人员"/>
    <n v="9999.9599999999991"/>
    <n v="2020"/>
    <x v="1"/>
  </r>
  <r>
    <x v="54"/>
    <n v="1000000030"/>
    <s v="借呗12期"/>
    <n v="1"/>
    <n v="9000.27"/>
    <s v="借呗"/>
    <x v="0"/>
    <x v="2"/>
    <x v="6"/>
    <s v="三组"/>
    <s v="广州三组"/>
    <s v="普通员工"/>
    <n v="9000.27"/>
    <n v="2020"/>
    <x v="1"/>
  </r>
  <r>
    <x v="54"/>
    <n v="1000000037"/>
    <s v="借呗12期"/>
    <n v="1"/>
    <n v="9000.15"/>
    <s v="借呗"/>
    <x v="0"/>
    <x v="0"/>
    <x v="0"/>
    <s v="二组"/>
    <s v="杭州二组"/>
    <s v="普通员工"/>
    <n v="9000.15"/>
    <n v="2020"/>
    <x v="1"/>
  </r>
  <r>
    <x v="54"/>
    <n v="1000004256"/>
    <s v="借呗6期"/>
    <n v="1"/>
    <n v="9000.11"/>
    <s v="借呗"/>
    <x v="1"/>
    <x v="0"/>
    <x v="5"/>
    <s v="一组"/>
    <s v="合肥一组"/>
    <s v="普通员工"/>
    <n v="9000.11"/>
    <n v="2020"/>
    <x v="1"/>
  </r>
  <r>
    <x v="54"/>
    <n v="1000000033"/>
    <s v="借呗12期"/>
    <n v="1"/>
    <n v="8000.72"/>
    <s v="借呗"/>
    <x v="0"/>
    <x v="0"/>
    <x v="1"/>
    <s v="一组"/>
    <s v="苏州一组"/>
    <s v="普通员工"/>
    <n v="8000.72"/>
    <n v="2020"/>
    <x v="1"/>
  </r>
  <r>
    <x v="54"/>
    <n v="1000003489"/>
    <s v="借呗12期"/>
    <n v="1"/>
    <n v="8000.6"/>
    <s v="借呗"/>
    <x v="0"/>
    <x v="2"/>
    <x v="6"/>
    <s v="一组"/>
    <s v="广州一组"/>
    <s v="普通员工"/>
    <n v="8000.6"/>
    <n v="2020"/>
    <x v="1"/>
  </r>
  <r>
    <x v="54"/>
    <n v="1000008957"/>
    <s v="借呗6期"/>
    <n v="1"/>
    <n v="8000.27"/>
    <s v="借呗"/>
    <x v="1"/>
    <x v="0"/>
    <x v="3"/>
    <s v="二组"/>
    <s v="上海二组"/>
    <s v="普通员工"/>
    <n v="8000.27"/>
    <n v="2020"/>
    <x v="1"/>
  </r>
  <r>
    <x v="54"/>
    <n v="1000000032"/>
    <s v="借呗18期"/>
    <n v="1"/>
    <n v="7999.96"/>
    <s v="借呗"/>
    <x v="2"/>
    <x v="0"/>
    <x v="1"/>
    <s v="一组"/>
    <s v="苏州一组"/>
    <s v="管理人员"/>
    <n v="7999.96"/>
    <n v="2020"/>
    <x v="1"/>
  </r>
  <r>
    <x v="54"/>
    <n v="1000003926"/>
    <s v="借呗18期"/>
    <n v="1"/>
    <n v="7000.46"/>
    <s v="借呗"/>
    <x v="2"/>
    <x v="2"/>
    <x v="6"/>
    <s v="一组"/>
    <s v="广州一组"/>
    <s v="管理人员"/>
    <n v="7000.46"/>
    <n v="2020"/>
    <x v="1"/>
  </r>
  <r>
    <x v="54"/>
    <n v="1000006860"/>
    <s v="借呗12期"/>
    <n v="1"/>
    <n v="6500.2"/>
    <s v="借呗"/>
    <x v="0"/>
    <x v="0"/>
    <x v="10"/>
    <s v="一组"/>
    <s v="南京一组"/>
    <s v="普通员工"/>
    <n v="6500.2"/>
    <n v="2020"/>
    <x v="1"/>
  </r>
  <r>
    <x v="54"/>
    <n v="1000006859"/>
    <s v="借呗12期"/>
    <n v="1"/>
    <n v="6000.44"/>
    <s v="借呗"/>
    <x v="0"/>
    <x v="0"/>
    <x v="10"/>
    <s v="一组"/>
    <s v="南京一组"/>
    <s v="普通员工"/>
    <n v="6000.44"/>
    <n v="2020"/>
    <x v="1"/>
  </r>
  <r>
    <x v="54"/>
    <n v="1000000576"/>
    <s v="借呗18期"/>
    <n v="1"/>
    <n v="6000.29"/>
    <s v="借呗"/>
    <x v="2"/>
    <x v="0"/>
    <x v="1"/>
    <s v="三组"/>
    <s v="苏州三组"/>
    <s v="普通员工"/>
    <n v="6000.29"/>
    <n v="2020"/>
    <x v="1"/>
  </r>
  <r>
    <x v="54"/>
    <n v="1000004170"/>
    <s v="借呗6期"/>
    <n v="1"/>
    <n v="5500.33"/>
    <s v="借呗"/>
    <x v="1"/>
    <x v="0"/>
    <x v="3"/>
    <s v="二组"/>
    <s v="上海二组"/>
    <s v="管理人员"/>
    <n v="5500.33"/>
    <n v="2020"/>
    <x v="1"/>
  </r>
  <r>
    <x v="54"/>
    <n v="1000000040"/>
    <s v="借呗18期"/>
    <n v="1"/>
    <n v="5000.63"/>
    <s v="借呗"/>
    <x v="2"/>
    <x v="1"/>
    <x v="2"/>
    <s v="四组"/>
    <s v="北京四组"/>
    <s v="管理人员"/>
    <n v="5000.63"/>
    <n v="2020"/>
    <x v="1"/>
  </r>
  <r>
    <x v="54"/>
    <n v="1000003489"/>
    <s v="借呗18期"/>
    <n v="1"/>
    <n v="5000.5200000000004"/>
    <s v="借呗"/>
    <x v="2"/>
    <x v="2"/>
    <x v="6"/>
    <s v="一组"/>
    <s v="广州一组"/>
    <s v="普通员工"/>
    <n v="5000.5200000000004"/>
    <n v="2020"/>
    <x v="1"/>
  </r>
  <r>
    <x v="54"/>
    <n v="1000000045"/>
    <s v="借呗18期"/>
    <n v="1"/>
    <n v="5000.24"/>
    <s v="借呗"/>
    <x v="2"/>
    <x v="2"/>
    <x v="9"/>
    <s v="一组"/>
    <s v="深圳一组"/>
    <s v="普通员工"/>
    <n v="5000.24"/>
    <n v="2020"/>
    <x v="1"/>
  </r>
  <r>
    <x v="54"/>
    <n v="1000000576"/>
    <s v="借呗6期"/>
    <n v="1"/>
    <n v="5000.2"/>
    <s v="借呗"/>
    <x v="1"/>
    <x v="0"/>
    <x v="1"/>
    <s v="三组"/>
    <s v="苏州三组"/>
    <s v="普通员工"/>
    <n v="5000.2"/>
    <n v="2020"/>
    <x v="1"/>
  </r>
  <r>
    <x v="54"/>
    <n v="1000003989"/>
    <s v="借呗6期"/>
    <n v="1"/>
    <n v="5000.1899999999996"/>
    <s v="借呗"/>
    <x v="1"/>
    <x v="1"/>
    <x v="2"/>
    <s v="三组"/>
    <s v="北京三组"/>
    <s v="普通员工"/>
    <n v="5000.1899999999996"/>
    <n v="2020"/>
    <x v="1"/>
  </r>
  <r>
    <x v="54"/>
    <n v="1000000036"/>
    <s v="借呗18期"/>
    <n v="1"/>
    <n v="4300.76"/>
    <s v="借呗"/>
    <x v="2"/>
    <x v="2"/>
    <x v="6"/>
    <s v="三组"/>
    <s v="广州三组"/>
    <s v="管理人员"/>
    <n v="4300.76"/>
    <n v="2020"/>
    <x v="1"/>
  </r>
  <r>
    <x v="54"/>
    <n v="1000005873"/>
    <s v="借呗12期"/>
    <n v="1"/>
    <n v="4300.16"/>
    <s v="借呗"/>
    <x v="0"/>
    <x v="0"/>
    <x v="0"/>
    <s v="二组"/>
    <s v="杭州二组"/>
    <s v="管理人员"/>
    <n v="4300.16"/>
    <n v="2020"/>
    <x v="1"/>
  </r>
  <r>
    <x v="54"/>
    <n v="1000000034"/>
    <s v="借呗6期"/>
    <n v="1"/>
    <n v="2766.96"/>
    <s v="借呗"/>
    <x v="1"/>
    <x v="0"/>
    <x v="1"/>
    <s v="一组"/>
    <s v="苏州一组"/>
    <s v="普通员工"/>
    <n v="2766.96"/>
    <n v="2020"/>
    <x v="1"/>
  </r>
  <r>
    <x v="54"/>
    <n v="1000000051"/>
    <s v="借呗12期"/>
    <n v="1"/>
    <n v="2000.56"/>
    <s v="借呗"/>
    <x v="0"/>
    <x v="0"/>
    <x v="3"/>
    <s v="二组"/>
    <s v="上海二组"/>
    <s v="普通员工"/>
    <n v="2000.56"/>
    <n v="2020"/>
    <x v="1"/>
  </r>
  <r>
    <x v="54"/>
    <n v="1000000054"/>
    <s v="借呗6期"/>
    <n v="1"/>
    <n v="1100.71"/>
    <s v="借呗"/>
    <x v="1"/>
    <x v="0"/>
    <x v="3"/>
    <s v="一组"/>
    <s v="上海一组"/>
    <s v="普通员工"/>
    <n v="1100.71"/>
    <n v="2020"/>
    <x v="1"/>
  </r>
  <r>
    <x v="54"/>
    <n v="1000000031"/>
    <s v="借呗12期"/>
    <n v="1"/>
    <n v="1000.45"/>
    <s v="借呗"/>
    <x v="0"/>
    <x v="0"/>
    <x v="0"/>
    <s v="一组"/>
    <s v="杭州一组"/>
    <s v="管理人员"/>
    <n v="1000.45"/>
    <n v="2020"/>
    <x v="1"/>
  </r>
  <r>
    <x v="55"/>
    <n v="1000000928"/>
    <s v="借呗18期"/>
    <n v="2"/>
    <n v="41000.44"/>
    <s v="借呗"/>
    <x v="2"/>
    <x v="1"/>
    <x v="8"/>
    <s v="一组"/>
    <s v="西安一组"/>
    <s v="普通员工"/>
    <n v="20500.22"/>
    <n v="2020"/>
    <x v="1"/>
  </r>
  <r>
    <x v="55"/>
    <n v="1000000056"/>
    <s v="借呗12期"/>
    <n v="2"/>
    <n v="26001.19"/>
    <s v="借呗"/>
    <x v="0"/>
    <x v="0"/>
    <x v="3"/>
    <s v="一组"/>
    <s v="上海一组"/>
    <s v="管理人员"/>
    <n v="13000.594999999999"/>
    <n v="2020"/>
    <x v="1"/>
  </r>
  <r>
    <x v="55"/>
    <n v="1000000068"/>
    <s v="借呗12期"/>
    <n v="2"/>
    <n v="25001.07"/>
    <s v="借呗"/>
    <x v="0"/>
    <x v="1"/>
    <x v="7"/>
    <s v="一组"/>
    <s v="重庆一组"/>
    <s v="管理人员"/>
    <n v="12500.535"/>
    <n v="2020"/>
    <x v="1"/>
  </r>
  <r>
    <x v="55"/>
    <n v="1000000032"/>
    <s v="借呗6期"/>
    <n v="1"/>
    <n v="22000.43"/>
    <s v="借呗"/>
    <x v="1"/>
    <x v="0"/>
    <x v="1"/>
    <s v="一组"/>
    <s v="苏州一组"/>
    <s v="管理人员"/>
    <n v="22000.43"/>
    <n v="2020"/>
    <x v="1"/>
  </r>
  <r>
    <x v="55"/>
    <n v="1000000029"/>
    <s v="借呗12期"/>
    <n v="1"/>
    <n v="22000.11"/>
    <s v="借呗"/>
    <x v="0"/>
    <x v="0"/>
    <x v="0"/>
    <s v="二组"/>
    <s v="杭州二组"/>
    <s v="普通员工"/>
    <n v="22000.11"/>
    <n v="2020"/>
    <x v="1"/>
  </r>
  <r>
    <x v="55"/>
    <n v="1000000043"/>
    <s v="借呗12期"/>
    <n v="1"/>
    <n v="20000.759999999998"/>
    <s v="借呗"/>
    <x v="0"/>
    <x v="1"/>
    <x v="4"/>
    <s v="一组"/>
    <s v="成都一组"/>
    <s v="普通员工"/>
    <n v="20000.759999999998"/>
    <n v="2020"/>
    <x v="1"/>
  </r>
  <r>
    <x v="55"/>
    <n v="1000008239"/>
    <s v="借呗12期"/>
    <n v="1"/>
    <n v="20000.080000000002"/>
    <s v="借呗"/>
    <x v="0"/>
    <x v="0"/>
    <x v="10"/>
    <s v="一组"/>
    <s v="南京一组"/>
    <s v="管理人员"/>
    <n v="20000.080000000002"/>
    <n v="2020"/>
    <x v="1"/>
  </r>
  <r>
    <x v="55"/>
    <n v="1000000044"/>
    <s v="借呗12期"/>
    <n v="2"/>
    <n v="19000.800000000003"/>
    <s v="借呗"/>
    <x v="0"/>
    <x v="1"/>
    <x v="2"/>
    <s v="三组"/>
    <s v="北京三组"/>
    <s v="管理人员"/>
    <n v="9500.4000000000015"/>
    <n v="2020"/>
    <x v="1"/>
  </r>
  <r>
    <x v="55"/>
    <n v="1000000031"/>
    <s v="借呗6期"/>
    <n v="2"/>
    <n v="18000.849999999999"/>
    <s v="借呗"/>
    <x v="1"/>
    <x v="0"/>
    <x v="0"/>
    <s v="一组"/>
    <s v="杭州一组"/>
    <s v="管理人员"/>
    <n v="9000.4249999999993"/>
    <n v="2020"/>
    <x v="1"/>
  </r>
  <r>
    <x v="55"/>
    <n v="1000000036"/>
    <s v="借呗12期"/>
    <n v="1"/>
    <n v="18000.18"/>
    <s v="借呗"/>
    <x v="0"/>
    <x v="2"/>
    <x v="6"/>
    <s v="三组"/>
    <s v="广州三组"/>
    <s v="管理人员"/>
    <n v="18000.18"/>
    <n v="2020"/>
    <x v="1"/>
  </r>
  <r>
    <x v="55"/>
    <n v="1000000036"/>
    <s v="借呗18期"/>
    <n v="1"/>
    <n v="17700.330000000002"/>
    <s v="借呗"/>
    <x v="2"/>
    <x v="2"/>
    <x v="6"/>
    <s v="三组"/>
    <s v="广州三组"/>
    <s v="管理人员"/>
    <n v="17700.330000000002"/>
    <n v="2020"/>
    <x v="1"/>
  </r>
  <r>
    <x v="55"/>
    <n v="1000000036"/>
    <s v="借呗6期"/>
    <n v="1"/>
    <n v="17000.349999999999"/>
    <s v="借呗"/>
    <x v="1"/>
    <x v="2"/>
    <x v="6"/>
    <s v="三组"/>
    <s v="广州三组"/>
    <s v="管理人员"/>
    <n v="17000.349999999999"/>
    <n v="2020"/>
    <x v="1"/>
  </r>
  <r>
    <x v="55"/>
    <n v="1000004170"/>
    <s v="借呗12期"/>
    <n v="1"/>
    <n v="17000.330000000002"/>
    <s v="借呗"/>
    <x v="0"/>
    <x v="0"/>
    <x v="3"/>
    <s v="二组"/>
    <s v="上海二组"/>
    <s v="管理人员"/>
    <n v="17000.330000000002"/>
    <n v="2020"/>
    <x v="1"/>
  </r>
  <r>
    <x v="55"/>
    <n v="1000000928"/>
    <s v="借呗6期"/>
    <n v="2"/>
    <n v="17000.189999999999"/>
    <s v="借呗"/>
    <x v="1"/>
    <x v="1"/>
    <x v="8"/>
    <s v="一组"/>
    <s v="西安一组"/>
    <s v="普通员工"/>
    <n v="8500.0949999999993"/>
    <n v="2020"/>
    <x v="1"/>
  </r>
  <r>
    <x v="55"/>
    <n v="1000004170"/>
    <s v="借呗6期"/>
    <n v="2"/>
    <n v="16500.5"/>
    <s v="借呗"/>
    <x v="1"/>
    <x v="0"/>
    <x v="3"/>
    <s v="二组"/>
    <s v="上海二组"/>
    <s v="管理人员"/>
    <n v="8250.25"/>
    <n v="2020"/>
    <x v="1"/>
  </r>
  <r>
    <x v="55"/>
    <n v="1000000045"/>
    <s v="借呗6期"/>
    <n v="2"/>
    <n v="16500.379999999997"/>
    <s v="借呗"/>
    <x v="1"/>
    <x v="2"/>
    <x v="9"/>
    <s v="一组"/>
    <s v="深圳一组"/>
    <s v="普通员工"/>
    <n v="8250.1899999999987"/>
    <n v="2020"/>
    <x v="1"/>
  </r>
  <r>
    <x v="55"/>
    <n v="1000000046"/>
    <s v="借呗18期"/>
    <n v="1"/>
    <n v="16000.76"/>
    <s v="借呗"/>
    <x v="2"/>
    <x v="1"/>
    <x v="4"/>
    <s v="一组"/>
    <s v="成都一组"/>
    <s v="普通员工"/>
    <n v="16000.76"/>
    <n v="2020"/>
    <x v="1"/>
  </r>
  <r>
    <x v="55"/>
    <n v="1000000040"/>
    <s v="借呗12期"/>
    <n v="1"/>
    <n v="16000.15"/>
    <s v="借呗"/>
    <x v="0"/>
    <x v="1"/>
    <x v="2"/>
    <s v="四组"/>
    <s v="北京四组"/>
    <s v="管理人员"/>
    <n v="16000.15"/>
    <n v="2020"/>
    <x v="1"/>
  </r>
  <r>
    <x v="55"/>
    <n v="1000007320"/>
    <s v="借呗12期"/>
    <n v="1"/>
    <n v="15000.49"/>
    <s v="借呗"/>
    <x v="0"/>
    <x v="0"/>
    <x v="3"/>
    <s v="一组"/>
    <s v="上海一组"/>
    <s v="普通员工"/>
    <n v="15000.49"/>
    <n v="2020"/>
    <x v="1"/>
  </r>
  <r>
    <x v="55"/>
    <n v="1000003803"/>
    <s v="借呗12期"/>
    <n v="1"/>
    <n v="15000.39"/>
    <s v="借呗"/>
    <x v="0"/>
    <x v="1"/>
    <x v="2"/>
    <s v="三组"/>
    <s v="北京三组"/>
    <s v="普通员工"/>
    <n v="15000.39"/>
    <n v="2020"/>
    <x v="1"/>
  </r>
  <r>
    <x v="55"/>
    <n v="1000006860"/>
    <s v="借呗18期"/>
    <n v="1"/>
    <n v="13000.7"/>
    <s v="借呗"/>
    <x v="2"/>
    <x v="0"/>
    <x v="10"/>
    <s v="一组"/>
    <s v="南京一组"/>
    <s v="普通员工"/>
    <n v="13000.7"/>
    <n v="2020"/>
    <x v="1"/>
  </r>
  <r>
    <x v="55"/>
    <n v="1000005873"/>
    <s v="借呗18期"/>
    <n v="1"/>
    <n v="12000.74"/>
    <s v="借呗"/>
    <x v="2"/>
    <x v="0"/>
    <x v="0"/>
    <s v="二组"/>
    <s v="杭州二组"/>
    <s v="管理人员"/>
    <n v="12000.74"/>
    <n v="2020"/>
    <x v="1"/>
  </r>
  <r>
    <x v="55"/>
    <n v="1000000056"/>
    <s v="借呗6期"/>
    <n v="1"/>
    <n v="10000.33"/>
    <s v="借呗"/>
    <x v="1"/>
    <x v="0"/>
    <x v="3"/>
    <s v="一组"/>
    <s v="上海一组"/>
    <s v="管理人员"/>
    <n v="10000.33"/>
    <n v="2020"/>
    <x v="1"/>
  </r>
  <r>
    <x v="55"/>
    <n v="1000005873"/>
    <s v="借呗12期"/>
    <n v="1"/>
    <n v="9000.16"/>
    <s v="借呗"/>
    <x v="0"/>
    <x v="0"/>
    <x v="0"/>
    <s v="二组"/>
    <s v="杭州二组"/>
    <s v="管理人员"/>
    <n v="9000.16"/>
    <n v="2020"/>
    <x v="1"/>
  </r>
  <r>
    <x v="55"/>
    <n v="1000000067"/>
    <s v="借呗12期"/>
    <n v="1"/>
    <n v="8000.51"/>
    <s v="借呗"/>
    <x v="0"/>
    <x v="0"/>
    <x v="1"/>
    <s v="二组"/>
    <s v="苏州二组"/>
    <s v="普通员工"/>
    <n v="8000.51"/>
    <n v="2020"/>
    <x v="1"/>
  </r>
  <r>
    <x v="55"/>
    <n v="1000007320"/>
    <s v="借呗6期"/>
    <n v="1"/>
    <n v="8000.37"/>
    <s v="借呗"/>
    <x v="1"/>
    <x v="0"/>
    <x v="3"/>
    <s v="一组"/>
    <s v="上海一组"/>
    <s v="普通员工"/>
    <n v="8000.37"/>
    <n v="2020"/>
    <x v="1"/>
  </r>
  <r>
    <x v="55"/>
    <n v="1000000030"/>
    <s v="借呗6期"/>
    <n v="1"/>
    <n v="7999.95"/>
    <s v="借呗"/>
    <x v="1"/>
    <x v="2"/>
    <x v="6"/>
    <s v="三组"/>
    <s v="广州三组"/>
    <s v="普通员工"/>
    <n v="7999.95"/>
    <n v="2020"/>
    <x v="1"/>
  </r>
  <r>
    <x v="55"/>
    <n v="1000000039"/>
    <s v="借呗12期"/>
    <n v="1"/>
    <n v="7000.53"/>
    <s v="借呗"/>
    <x v="0"/>
    <x v="0"/>
    <x v="1"/>
    <s v="二组"/>
    <s v="苏州二组"/>
    <s v="管理人员"/>
    <n v="7000.53"/>
    <n v="2020"/>
    <x v="1"/>
  </r>
  <r>
    <x v="55"/>
    <n v="1000000032"/>
    <s v="借呗12期"/>
    <n v="1"/>
    <n v="7000.48"/>
    <s v="借呗"/>
    <x v="0"/>
    <x v="0"/>
    <x v="1"/>
    <s v="一组"/>
    <s v="苏州一组"/>
    <s v="管理人员"/>
    <n v="7000.48"/>
    <n v="2020"/>
    <x v="1"/>
  </r>
  <r>
    <x v="55"/>
    <n v="1000004256"/>
    <s v="借呗18期"/>
    <n v="1"/>
    <n v="6500.01"/>
    <s v="借呗"/>
    <x v="2"/>
    <x v="0"/>
    <x v="5"/>
    <s v="一组"/>
    <s v="合肥一组"/>
    <s v="普通员工"/>
    <n v="6500.01"/>
    <n v="2020"/>
    <x v="1"/>
  </r>
  <r>
    <x v="55"/>
    <n v="1000000028"/>
    <s v="借呗6期"/>
    <n v="2"/>
    <n v="6073.3"/>
    <s v="借呗"/>
    <x v="1"/>
    <x v="0"/>
    <x v="0"/>
    <s v="二组"/>
    <s v="杭州二组"/>
    <s v="普通员工"/>
    <n v="3036.65"/>
    <n v="2020"/>
    <x v="1"/>
  </r>
  <r>
    <x v="55"/>
    <n v="1000000046"/>
    <s v="借呗6期"/>
    <n v="1"/>
    <n v="5000.42"/>
    <s v="借呗"/>
    <x v="1"/>
    <x v="1"/>
    <x v="4"/>
    <s v="一组"/>
    <s v="成都一组"/>
    <s v="普通员工"/>
    <n v="5000.42"/>
    <n v="2020"/>
    <x v="1"/>
  </r>
  <r>
    <x v="55"/>
    <n v="1000000031"/>
    <s v="借呗12期"/>
    <n v="1"/>
    <n v="5000.21"/>
    <s v="借呗"/>
    <x v="0"/>
    <x v="0"/>
    <x v="0"/>
    <s v="一组"/>
    <s v="杭州一组"/>
    <s v="管理人员"/>
    <n v="5000.21"/>
    <n v="2020"/>
    <x v="1"/>
  </r>
  <r>
    <x v="55"/>
    <n v="1000000033"/>
    <s v="借呗12期"/>
    <n v="1"/>
    <n v="5000.13"/>
    <s v="借呗"/>
    <x v="0"/>
    <x v="0"/>
    <x v="1"/>
    <s v="一组"/>
    <s v="苏州一组"/>
    <s v="普通员工"/>
    <n v="5000.13"/>
    <n v="2020"/>
    <x v="1"/>
  </r>
  <r>
    <x v="55"/>
    <n v="1000000576"/>
    <s v="借呗6期"/>
    <n v="1"/>
    <n v="3363.03"/>
    <s v="借呗"/>
    <x v="1"/>
    <x v="0"/>
    <x v="1"/>
    <s v="三组"/>
    <s v="苏州三组"/>
    <s v="普通员工"/>
    <n v="3363.03"/>
    <n v="2020"/>
    <x v="1"/>
  </r>
  <r>
    <x v="55"/>
    <n v="1000000068"/>
    <s v="借呗6期"/>
    <n v="1"/>
    <n v="2000.02"/>
    <s v="借呗"/>
    <x v="1"/>
    <x v="1"/>
    <x v="7"/>
    <s v="一组"/>
    <s v="重庆一组"/>
    <s v="管理人员"/>
    <n v="2000.02"/>
    <n v="2020"/>
    <x v="1"/>
  </r>
  <r>
    <x v="55"/>
    <n v="1000000028"/>
    <s v="借呗12期"/>
    <n v="1"/>
    <n v="911.98"/>
    <s v="借呗"/>
    <x v="0"/>
    <x v="0"/>
    <x v="0"/>
    <s v="二组"/>
    <s v="杭州二组"/>
    <s v="普通员工"/>
    <n v="911.98"/>
    <n v="2020"/>
    <x v="1"/>
  </r>
  <r>
    <x v="56"/>
    <n v="1000000032"/>
    <s v="借呗6期"/>
    <n v="4"/>
    <n v="42001.43"/>
    <s v="借呗"/>
    <x v="1"/>
    <x v="0"/>
    <x v="1"/>
    <s v="一组"/>
    <s v="苏州一组"/>
    <s v="管理人员"/>
    <n v="10500.3575"/>
    <n v="2020"/>
    <x v="1"/>
  </r>
  <r>
    <x v="56"/>
    <n v="1000000040"/>
    <s v="借呗12期"/>
    <n v="3"/>
    <n v="37000.959999999999"/>
    <s v="借呗"/>
    <x v="0"/>
    <x v="1"/>
    <x v="2"/>
    <s v="四组"/>
    <s v="北京四组"/>
    <s v="管理人员"/>
    <n v="12333.653333333334"/>
    <n v="2020"/>
    <x v="1"/>
  </r>
  <r>
    <x v="56"/>
    <n v="1000007320"/>
    <s v="借呗12期"/>
    <n v="2"/>
    <n v="37000.61"/>
    <s v="借呗"/>
    <x v="0"/>
    <x v="0"/>
    <x v="3"/>
    <s v="一组"/>
    <s v="上海一组"/>
    <s v="普通员工"/>
    <n v="18500.305"/>
    <n v="2020"/>
    <x v="1"/>
  </r>
  <r>
    <x v="56"/>
    <n v="1000003926"/>
    <s v="借呗6期"/>
    <n v="2"/>
    <n v="35001.009999999995"/>
    <s v="借呗"/>
    <x v="1"/>
    <x v="2"/>
    <x v="6"/>
    <s v="一组"/>
    <s v="广州一组"/>
    <s v="管理人员"/>
    <n v="17500.504999999997"/>
    <n v="2020"/>
    <x v="1"/>
  </r>
  <r>
    <x v="56"/>
    <n v="1000008239"/>
    <s v="借呗12期"/>
    <n v="3"/>
    <n v="30001.520000000004"/>
    <s v="借呗"/>
    <x v="0"/>
    <x v="0"/>
    <x v="10"/>
    <s v="一组"/>
    <s v="南京一组"/>
    <s v="管理人员"/>
    <n v="10000.506666666668"/>
    <n v="2020"/>
    <x v="1"/>
  </r>
  <r>
    <x v="56"/>
    <n v="1000004256"/>
    <s v="借呗6期"/>
    <n v="2"/>
    <n v="30000.11"/>
    <s v="借呗"/>
    <x v="1"/>
    <x v="0"/>
    <x v="5"/>
    <s v="一组"/>
    <s v="合肥一组"/>
    <s v="普通员工"/>
    <n v="15000.055"/>
    <n v="2020"/>
    <x v="1"/>
  </r>
  <r>
    <x v="56"/>
    <n v="1000000594"/>
    <s v="借呗12期"/>
    <n v="1"/>
    <n v="25000.32"/>
    <s v="借呗"/>
    <x v="0"/>
    <x v="0"/>
    <x v="1"/>
    <s v="二组"/>
    <s v="苏州二组"/>
    <s v="普通员工"/>
    <n v="25000.32"/>
    <n v="2020"/>
    <x v="1"/>
  </r>
  <r>
    <x v="56"/>
    <n v="1000000037"/>
    <s v="借呗12期"/>
    <n v="2"/>
    <n v="22600.54"/>
    <s v="借呗"/>
    <x v="0"/>
    <x v="0"/>
    <x v="0"/>
    <s v="二组"/>
    <s v="杭州二组"/>
    <s v="普通员工"/>
    <n v="11300.27"/>
    <n v="2020"/>
    <x v="1"/>
  </r>
  <r>
    <x v="56"/>
    <n v="1000000045"/>
    <s v="借呗6期"/>
    <n v="1"/>
    <n v="22000.17"/>
    <s v="借呗"/>
    <x v="1"/>
    <x v="2"/>
    <x v="9"/>
    <s v="一组"/>
    <s v="深圳一组"/>
    <s v="普通员工"/>
    <n v="22000.17"/>
    <n v="2020"/>
    <x v="1"/>
  </r>
  <r>
    <x v="56"/>
    <n v="1000006860"/>
    <s v="借呗18期"/>
    <n v="1"/>
    <n v="20000.68"/>
    <s v="借呗"/>
    <x v="2"/>
    <x v="0"/>
    <x v="10"/>
    <s v="一组"/>
    <s v="南京一组"/>
    <s v="普通员工"/>
    <n v="20000.68"/>
    <n v="2020"/>
    <x v="1"/>
  </r>
  <r>
    <x v="56"/>
    <n v="1000003489"/>
    <s v="借呗18期"/>
    <n v="1"/>
    <n v="20000.54"/>
    <s v="借呗"/>
    <x v="2"/>
    <x v="2"/>
    <x v="6"/>
    <s v="一组"/>
    <s v="广州一组"/>
    <s v="普通员工"/>
    <n v="20000.54"/>
    <n v="2020"/>
    <x v="1"/>
  </r>
  <r>
    <x v="56"/>
    <n v="1000000039"/>
    <s v="借呗18期"/>
    <n v="1"/>
    <n v="20000.43"/>
    <s v="借呗"/>
    <x v="2"/>
    <x v="0"/>
    <x v="1"/>
    <s v="二组"/>
    <s v="苏州二组"/>
    <s v="管理人员"/>
    <n v="20000.43"/>
    <n v="2020"/>
    <x v="1"/>
  </r>
  <r>
    <x v="56"/>
    <n v="1000000050"/>
    <s v="借呗12期"/>
    <n v="1"/>
    <n v="20000.060000000001"/>
    <s v="借呗"/>
    <x v="0"/>
    <x v="0"/>
    <x v="5"/>
    <s v="一组"/>
    <s v="合肥一组"/>
    <s v="普通员工"/>
    <n v="20000.060000000001"/>
    <n v="2020"/>
    <x v="1"/>
  </r>
  <r>
    <x v="56"/>
    <n v="1000000576"/>
    <s v="借呗12期"/>
    <n v="1"/>
    <n v="17000.02"/>
    <s v="借呗"/>
    <x v="0"/>
    <x v="0"/>
    <x v="1"/>
    <s v="三组"/>
    <s v="苏州三组"/>
    <s v="普通员工"/>
    <n v="17000.02"/>
    <n v="2020"/>
    <x v="1"/>
  </r>
  <r>
    <x v="56"/>
    <n v="1000000566"/>
    <s v="借呗12期"/>
    <n v="1"/>
    <n v="15000.15"/>
    <s v="借呗"/>
    <x v="0"/>
    <x v="2"/>
    <x v="6"/>
    <s v="三组"/>
    <s v="广州三组"/>
    <s v="普通员工"/>
    <n v="15000.15"/>
    <n v="2020"/>
    <x v="1"/>
  </r>
  <r>
    <x v="56"/>
    <n v="1000003989"/>
    <s v="借呗12期"/>
    <n v="1"/>
    <n v="15000.09"/>
    <s v="借呗"/>
    <x v="0"/>
    <x v="1"/>
    <x v="2"/>
    <s v="三组"/>
    <s v="北京三组"/>
    <s v="普通员工"/>
    <n v="15000.09"/>
    <n v="2020"/>
    <x v="1"/>
  </r>
  <r>
    <x v="56"/>
    <n v="1000000068"/>
    <s v="借呗12期"/>
    <n v="1"/>
    <n v="14000.56"/>
    <s v="借呗"/>
    <x v="0"/>
    <x v="1"/>
    <x v="7"/>
    <s v="一组"/>
    <s v="重庆一组"/>
    <s v="管理人员"/>
    <n v="14000.56"/>
    <n v="2020"/>
    <x v="1"/>
  </r>
  <r>
    <x v="56"/>
    <n v="1000004170"/>
    <s v="借呗6期"/>
    <n v="1"/>
    <n v="14000.54"/>
    <s v="借呗"/>
    <x v="1"/>
    <x v="0"/>
    <x v="3"/>
    <s v="二组"/>
    <s v="上海二组"/>
    <s v="管理人员"/>
    <n v="14000.54"/>
    <n v="2020"/>
    <x v="1"/>
  </r>
  <r>
    <x v="56"/>
    <n v="1000004256"/>
    <s v="借呗18期"/>
    <n v="1"/>
    <n v="13000.45"/>
    <s v="借呗"/>
    <x v="2"/>
    <x v="0"/>
    <x v="5"/>
    <s v="一组"/>
    <s v="合肥一组"/>
    <s v="普通员工"/>
    <n v="13000.45"/>
    <n v="2020"/>
    <x v="1"/>
  </r>
  <r>
    <x v="56"/>
    <n v="1000000029"/>
    <s v="借呗12期"/>
    <n v="1"/>
    <n v="13000.31"/>
    <s v="借呗"/>
    <x v="0"/>
    <x v="0"/>
    <x v="0"/>
    <s v="二组"/>
    <s v="杭州二组"/>
    <s v="普通员工"/>
    <n v="13000.31"/>
    <n v="2020"/>
    <x v="1"/>
  </r>
  <r>
    <x v="56"/>
    <n v="1000000054"/>
    <s v="借呗18期"/>
    <n v="1"/>
    <n v="13000.03"/>
    <s v="借呗"/>
    <x v="2"/>
    <x v="0"/>
    <x v="3"/>
    <s v="一组"/>
    <s v="上海一组"/>
    <s v="普通员工"/>
    <n v="13000.03"/>
    <n v="2020"/>
    <x v="1"/>
  </r>
  <r>
    <x v="56"/>
    <n v="1000000029"/>
    <s v="借呗6期"/>
    <n v="1"/>
    <n v="12000.52"/>
    <s v="借呗"/>
    <x v="1"/>
    <x v="0"/>
    <x v="0"/>
    <s v="二组"/>
    <s v="杭州二组"/>
    <s v="普通员工"/>
    <n v="12000.52"/>
    <n v="2020"/>
    <x v="1"/>
  </r>
  <r>
    <x v="56"/>
    <n v="1000009288"/>
    <s v="借呗12期"/>
    <n v="2"/>
    <n v="10500.97"/>
    <s v="借呗"/>
    <x v="0"/>
    <x v="0"/>
    <x v="1"/>
    <s v="二组"/>
    <s v="苏州二组"/>
    <s v="普通员工"/>
    <n v="5250.4849999999997"/>
    <n v="2020"/>
    <x v="1"/>
  </r>
  <r>
    <x v="56"/>
    <n v="1000000031"/>
    <s v="借呗6期"/>
    <n v="1"/>
    <n v="10000.48"/>
    <s v="借呗"/>
    <x v="1"/>
    <x v="0"/>
    <x v="0"/>
    <s v="一组"/>
    <s v="杭州一组"/>
    <s v="管理人员"/>
    <n v="10000.48"/>
    <n v="2020"/>
    <x v="1"/>
  </r>
  <r>
    <x v="56"/>
    <n v="1000000104"/>
    <s v="借呗18期"/>
    <n v="1"/>
    <n v="9000.4500000000007"/>
    <s v="借呗"/>
    <x v="2"/>
    <x v="0"/>
    <x v="5"/>
    <s v="一组"/>
    <s v="合肥一组"/>
    <s v="普通员工"/>
    <n v="9000.4500000000007"/>
    <n v="2020"/>
    <x v="1"/>
  </r>
  <r>
    <x v="56"/>
    <n v="1000000035"/>
    <s v="借呗12期"/>
    <n v="1"/>
    <n v="9000.34"/>
    <s v="借呗"/>
    <x v="0"/>
    <x v="0"/>
    <x v="1"/>
    <s v="三组"/>
    <s v="苏州三组"/>
    <s v="普通员工"/>
    <n v="9000.34"/>
    <n v="2020"/>
    <x v="1"/>
  </r>
  <r>
    <x v="56"/>
    <n v="1000000041"/>
    <s v="借呗6期"/>
    <n v="3"/>
    <n v="8001.2900000000009"/>
    <s v="借呗"/>
    <x v="1"/>
    <x v="1"/>
    <x v="2"/>
    <s v="四组"/>
    <s v="北京四组"/>
    <s v="普通员工"/>
    <n v="2667.0966666666668"/>
    <n v="2020"/>
    <x v="1"/>
  </r>
  <r>
    <x v="56"/>
    <n v="1000004170"/>
    <s v="借呗12期"/>
    <n v="1"/>
    <n v="8000.39"/>
    <s v="借呗"/>
    <x v="0"/>
    <x v="0"/>
    <x v="3"/>
    <s v="二组"/>
    <s v="上海二组"/>
    <s v="管理人员"/>
    <n v="8000.39"/>
    <n v="2020"/>
    <x v="1"/>
  </r>
  <r>
    <x v="56"/>
    <n v="1000000928"/>
    <s v="借呗6期"/>
    <n v="1"/>
    <n v="8000.35"/>
    <s v="借呗"/>
    <x v="1"/>
    <x v="1"/>
    <x v="8"/>
    <s v="一组"/>
    <s v="西安一组"/>
    <s v="普通员工"/>
    <n v="8000.35"/>
    <n v="2020"/>
    <x v="1"/>
  </r>
  <r>
    <x v="56"/>
    <n v="1000000034"/>
    <s v="借呗6期"/>
    <n v="1"/>
    <n v="8000.03"/>
    <s v="借呗"/>
    <x v="1"/>
    <x v="0"/>
    <x v="1"/>
    <s v="一组"/>
    <s v="苏州一组"/>
    <s v="普通员工"/>
    <n v="8000.03"/>
    <n v="2020"/>
    <x v="1"/>
  </r>
  <r>
    <x v="56"/>
    <n v="1000003803"/>
    <s v="借呗12期"/>
    <n v="1"/>
    <n v="7500.65"/>
    <s v="借呗"/>
    <x v="0"/>
    <x v="1"/>
    <x v="2"/>
    <s v="三组"/>
    <s v="北京三组"/>
    <s v="普通员工"/>
    <n v="7500.65"/>
    <n v="2020"/>
    <x v="1"/>
  </r>
  <r>
    <x v="56"/>
    <n v="1000000033"/>
    <s v="借呗6期"/>
    <n v="1"/>
    <n v="7500.43"/>
    <s v="借呗"/>
    <x v="1"/>
    <x v="0"/>
    <x v="1"/>
    <s v="一组"/>
    <s v="苏州一组"/>
    <s v="普通员工"/>
    <n v="7500.43"/>
    <n v="2020"/>
    <x v="1"/>
  </r>
  <r>
    <x v="56"/>
    <n v="1000000036"/>
    <s v="借呗12期"/>
    <n v="1"/>
    <n v="7500.22"/>
    <s v="借呗"/>
    <x v="0"/>
    <x v="2"/>
    <x v="6"/>
    <s v="三组"/>
    <s v="广州三组"/>
    <s v="管理人员"/>
    <n v="7500.22"/>
    <n v="2020"/>
    <x v="1"/>
  </r>
  <r>
    <x v="56"/>
    <n v="1000008239"/>
    <s v="借呗6期"/>
    <n v="1"/>
    <n v="7000.43"/>
    <s v="借呗"/>
    <x v="1"/>
    <x v="0"/>
    <x v="10"/>
    <s v="一组"/>
    <s v="南京一组"/>
    <s v="管理人员"/>
    <n v="7000.43"/>
    <n v="2020"/>
    <x v="1"/>
  </r>
  <r>
    <x v="56"/>
    <n v="1000000045"/>
    <s v="借呗12期"/>
    <n v="1"/>
    <n v="6999.97"/>
    <s v="借呗"/>
    <x v="0"/>
    <x v="2"/>
    <x v="9"/>
    <s v="一组"/>
    <s v="深圳一组"/>
    <s v="普通员工"/>
    <n v="6999.97"/>
    <n v="2020"/>
    <x v="1"/>
  </r>
  <r>
    <x v="56"/>
    <n v="1000000044"/>
    <s v="借呗6期"/>
    <n v="1"/>
    <n v="6500.04"/>
    <s v="借呗"/>
    <x v="1"/>
    <x v="1"/>
    <x v="2"/>
    <s v="三组"/>
    <s v="北京三组"/>
    <s v="管理人员"/>
    <n v="6500.04"/>
    <n v="2020"/>
    <x v="1"/>
  </r>
  <r>
    <x v="56"/>
    <n v="1000006064"/>
    <s v="借呗12期"/>
    <n v="1"/>
    <n v="6000.57"/>
    <s v="借呗"/>
    <x v="0"/>
    <x v="0"/>
    <x v="5"/>
    <s v="一组"/>
    <s v="合肥一组"/>
    <s v="普通员工"/>
    <n v="6000.57"/>
    <n v="2020"/>
    <x v="1"/>
  </r>
  <r>
    <x v="56"/>
    <n v="1000006860"/>
    <s v="借呗6期"/>
    <n v="1"/>
    <n v="6000.32"/>
    <s v="借呗"/>
    <x v="1"/>
    <x v="0"/>
    <x v="10"/>
    <s v="一组"/>
    <s v="南京一组"/>
    <s v="普通员工"/>
    <n v="6000.32"/>
    <n v="2020"/>
    <x v="1"/>
  </r>
  <r>
    <x v="56"/>
    <n v="1000000039"/>
    <s v="借呗6期"/>
    <n v="2"/>
    <n v="5738.7599999999993"/>
    <s v="借呗"/>
    <x v="1"/>
    <x v="0"/>
    <x v="1"/>
    <s v="二组"/>
    <s v="苏州二组"/>
    <s v="管理人员"/>
    <n v="2869.3799999999997"/>
    <n v="2020"/>
    <x v="1"/>
  </r>
  <r>
    <x v="56"/>
    <n v="1000000068"/>
    <s v="借呗6期"/>
    <n v="1"/>
    <n v="5500.56"/>
    <s v="借呗"/>
    <x v="1"/>
    <x v="1"/>
    <x v="7"/>
    <s v="一组"/>
    <s v="重庆一组"/>
    <s v="管理人员"/>
    <n v="5500.56"/>
    <n v="2020"/>
    <x v="1"/>
  </r>
  <r>
    <x v="56"/>
    <n v="1000006867"/>
    <s v="借呗6期"/>
    <n v="1"/>
    <n v="5000.7299999999996"/>
    <s v="借呗"/>
    <x v="1"/>
    <x v="0"/>
    <x v="10"/>
    <s v="一组"/>
    <s v="南京一组"/>
    <s v="普通员工"/>
    <n v="5000.7299999999996"/>
    <n v="2020"/>
    <x v="1"/>
  </r>
  <r>
    <x v="56"/>
    <n v="1000000046"/>
    <s v="借呗12期"/>
    <n v="1"/>
    <n v="5000.68"/>
    <s v="借呗"/>
    <x v="0"/>
    <x v="1"/>
    <x v="4"/>
    <s v="一组"/>
    <s v="成都一组"/>
    <s v="普通员工"/>
    <n v="5000.68"/>
    <n v="2020"/>
    <x v="1"/>
  </r>
  <r>
    <x v="56"/>
    <n v="1000003989"/>
    <s v="借呗6期"/>
    <n v="1"/>
    <n v="5000.6099999999997"/>
    <s v="借呗"/>
    <x v="1"/>
    <x v="1"/>
    <x v="2"/>
    <s v="三组"/>
    <s v="北京三组"/>
    <s v="普通员工"/>
    <n v="5000.6099999999997"/>
    <n v="2020"/>
    <x v="1"/>
  </r>
  <r>
    <x v="56"/>
    <n v="1000003926"/>
    <s v="借呗12期"/>
    <n v="2"/>
    <n v="5000.51"/>
    <s v="借呗"/>
    <x v="0"/>
    <x v="2"/>
    <x v="6"/>
    <s v="一组"/>
    <s v="广州一组"/>
    <s v="管理人员"/>
    <n v="2500.2550000000001"/>
    <n v="2020"/>
    <x v="1"/>
  </r>
  <r>
    <x v="56"/>
    <n v="1000003489"/>
    <s v="借呗6期"/>
    <n v="1"/>
    <n v="5000.37"/>
    <s v="借呗"/>
    <x v="1"/>
    <x v="2"/>
    <x v="6"/>
    <s v="一组"/>
    <s v="广州一组"/>
    <s v="普通员工"/>
    <n v="5000.37"/>
    <n v="2020"/>
    <x v="1"/>
  </r>
  <r>
    <x v="56"/>
    <n v="1000005873"/>
    <s v="借呗12期"/>
    <n v="1"/>
    <n v="1700.32"/>
    <s v="借呗"/>
    <x v="0"/>
    <x v="0"/>
    <x v="0"/>
    <s v="二组"/>
    <s v="杭州二组"/>
    <s v="管理人员"/>
    <n v="1700.32"/>
    <n v="2020"/>
    <x v="1"/>
  </r>
  <r>
    <x v="56"/>
    <n v="1000000043"/>
    <s v="借呗6期"/>
    <n v="1"/>
    <n v="1672.45"/>
    <s v="借呗"/>
    <x v="1"/>
    <x v="1"/>
    <x v="4"/>
    <s v="一组"/>
    <s v="成都一组"/>
    <s v="普通员工"/>
    <n v="1672.45"/>
    <n v="2020"/>
    <x v="1"/>
  </r>
  <r>
    <x v="56"/>
    <n v="1000000046"/>
    <s v="借呗18期"/>
    <n v="1"/>
    <n v="1500.55"/>
    <s v="借呗"/>
    <x v="2"/>
    <x v="1"/>
    <x v="4"/>
    <s v="一组"/>
    <s v="成都一组"/>
    <s v="普通员工"/>
    <n v="1500.55"/>
    <n v="2020"/>
    <x v="1"/>
  </r>
  <r>
    <x v="56"/>
    <n v="1000000029"/>
    <s v="借呗18期"/>
    <n v="1"/>
    <n v="1452.41"/>
    <s v="借呗"/>
    <x v="2"/>
    <x v="0"/>
    <x v="0"/>
    <s v="二组"/>
    <s v="杭州二组"/>
    <s v="普通员工"/>
    <n v="1452.41"/>
    <n v="2020"/>
    <x v="1"/>
  </r>
  <r>
    <x v="56"/>
    <n v="1000000035"/>
    <s v="借呗6期"/>
    <n v="1"/>
    <n v="752.17"/>
    <s v="借呗"/>
    <x v="1"/>
    <x v="0"/>
    <x v="1"/>
    <s v="三组"/>
    <s v="苏州三组"/>
    <s v="普通员工"/>
    <n v="752.17"/>
    <n v="2020"/>
    <x v="1"/>
  </r>
  <r>
    <x v="56"/>
    <n v="1000000031"/>
    <s v="借呗12期"/>
    <n v="1"/>
    <n v="500.41"/>
    <s v="借呗"/>
    <x v="0"/>
    <x v="0"/>
    <x v="0"/>
    <s v="一组"/>
    <s v="杭州一组"/>
    <s v="管理人员"/>
    <n v="500.41"/>
    <n v="2020"/>
    <x v="1"/>
  </r>
  <r>
    <x v="56"/>
    <n v="1000000067"/>
    <s v="借呗18期"/>
    <n v="1"/>
    <n v="500.28"/>
    <s v="借呗"/>
    <x v="2"/>
    <x v="0"/>
    <x v="1"/>
    <s v="二组"/>
    <s v="苏州二组"/>
    <s v="普通员工"/>
    <n v="500.28"/>
    <n v="2020"/>
    <x v="1"/>
  </r>
  <r>
    <x v="57"/>
    <n v="1000000032"/>
    <s v="借呗6期"/>
    <n v="5"/>
    <n v="71502.350000000006"/>
    <s v="借呗"/>
    <x v="1"/>
    <x v="0"/>
    <x v="1"/>
    <s v="一组"/>
    <s v="苏州一组"/>
    <s v="管理人员"/>
    <n v="14300.47"/>
    <n v="2020"/>
    <x v="1"/>
  </r>
  <r>
    <x v="57"/>
    <n v="1000000928"/>
    <s v="借呗12期"/>
    <n v="4"/>
    <n v="68001.700000000012"/>
    <s v="借呗"/>
    <x v="0"/>
    <x v="1"/>
    <x v="8"/>
    <s v="一组"/>
    <s v="西安一组"/>
    <s v="普通员工"/>
    <n v="17000.425000000003"/>
    <n v="2020"/>
    <x v="1"/>
  </r>
  <r>
    <x v="57"/>
    <n v="1000009288"/>
    <s v="借呗12期"/>
    <n v="2"/>
    <n v="39000.06"/>
    <s v="借呗"/>
    <x v="0"/>
    <x v="0"/>
    <x v="1"/>
    <s v="二组"/>
    <s v="苏州二组"/>
    <s v="普通员工"/>
    <n v="19500.03"/>
    <n v="2020"/>
    <x v="1"/>
  </r>
  <r>
    <x v="57"/>
    <n v="1000006867"/>
    <s v="借呗18期"/>
    <n v="3"/>
    <n v="35000.949999999997"/>
    <s v="借呗"/>
    <x v="2"/>
    <x v="0"/>
    <x v="10"/>
    <s v="一组"/>
    <s v="南京一组"/>
    <s v="普通员工"/>
    <n v="11666.983333333332"/>
    <n v="2020"/>
    <x v="1"/>
  </r>
  <r>
    <x v="57"/>
    <n v="1000000041"/>
    <s v="借呗12期"/>
    <n v="3"/>
    <n v="32001.86"/>
    <s v="借呗"/>
    <x v="0"/>
    <x v="1"/>
    <x v="2"/>
    <s v="四组"/>
    <s v="北京四组"/>
    <s v="普通员工"/>
    <n v="10667.286666666669"/>
    <n v="2020"/>
    <x v="1"/>
  </r>
  <r>
    <x v="57"/>
    <n v="1000008239"/>
    <s v="借呗12期"/>
    <n v="3"/>
    <n v="32000.400000000001"/>
    <s v="借呗"/>
    <x v="0"/>
    <x v="0"/>
    <x v="10"/>
    <s v="一组"/>
    <s v="南京一组"/>
    <s v="管理人员"/>
    <n v="10666.8"/>
    <n v="2020"/>
    <x v="1"/>
  </r>
  <r>
    <x v="57"/>
    <n v="1000000031"/>
    <s v="借呗12期"/>
    <n v="2"/>
    <n v="31000.690000000002"/>
    <s v="借呗"/>
    <x v="0"/>
    <x v="0"/>
    <x v="0"/>
    <s v="一组"/>
    <s v="杭州一组"/>
    <s v="管理人员"/>
    <n v="15500.344999999999"/>
    <n v="2020"/>
    <x v="1"/>
  </r>
  <r>
    <x v="57"/>
    <n v="1000000032"/>
    <s v="借呗12期"/>
    <n v="3"/>
    <n v="31000.620000000003"/>
    <s v="借呗"/>
    <x v="0"/>
    <x v="0"/>
    <x v="1"/>
    <s v="一组"/>
    <s v="苏州一组"/>
    <s v="管理人员"/>
    <n v="10333.540000000001"/>
    <n v="2020"/>
    <x v="1"/>
  </r>
  <r>
    <x v="57"/>
    <n v="1000000029"/>
    <s v="借呗12期"/>
    <n v="2"/>
    <n v="31000.520000000004"/>
    <s v="借呗"/>
    <x v="0"/>
    <x v="0"/>
    <x v="0"/>
    <s v="二组"/>
    <s v="杭州二组"/>
    <s v="普通员工"/>
    <n v="15500.260000000002"/>
    <n v="2020"/>
    <x v="1"/>
  </r>
  <r>
    <x v="57"/>
    <n v="1000000037"/>
    <s v="借呗18期"/>
    <n v="2"/>
    <n v="30400.98"/>
    <s v="借呗"/>
    <x v="2"/>
    <x v="0"/>
    <x v="0"/>
    <s v="二组"/>
    <s v="杭州二组"/>
    <s v="普通员工"/>
    <n v="15200.49"/>
    <n v="2020"/>
    <x v="1"/>
  </r>
  <r>
    <x v="57"/>
    <n v="1000000046"/>
    <s v="借呗12期"/>
    <n v="2"/>
    <n v="29000.29"/>
    <s v="借呗"/>
    <x v="0"/>
    <x v="1"/>
    <x v="4"/>
    <s v="一组"/>
    <s v="成都一组"/>
    <s v="普通员工"/>
    <n v="14500.145"/>
    <n v="2020"/>
    <x v="1"/>
  </r>
  <r>
    <x v="57"/>
    <n v="1000005873"/>
    <s v="借呗6期"/>
    <n v="2"/>
    <n v="26000.86"/>
    <s v="借呗"/>
    <x v="1"/>
    <x v="0"/>
    <x v="0"/>
    <s v="二组"/>
    <s v="杭州二组"/>
    <s v="管理人员"/>
    <n v="13000.43"/>
    <n v="2020"/>
    <x v="1"/>
  </r>
  <r>
    <x v="57"/>
    <n v="1000000040"/>
    <s v="借呗6期"/>
    <n v="1"/>
    <n v="20000.55"/>
    <s v="借呗"/>
    <x v="1"/>
    <x v="1"/>
    <x v="2"/>
    <s v="四组"/>
    <s v="北京四组"/>
    <s v="管理人员"/>
    <n v="20000.55"/>
    <n v="2020"/>
    <x v="1"/>
  </r>
  <r>
    <x v="57"/>
    <n v="1000006860"/>
    <s v="借呗18期"/>
    <n v="1"/>
    <n v="20000.41"/>
    <s v="借呗"/>
    <x v="2"/>
    <x v="0"/>
    <x v="10"/>
    <s v="一组"/>
    <s v="南京一组"/>
    <s v="普通员工"/>
    <n v="20000.41"/>
    <n v="2020"/>
    <x v="1"/>
  </r>
  <r>
    <x v="57"/>
    <n v="1000006859"/>
    <s v="借呗12期"/>
    <n v="2"/>
    <n v="20000.25"/>
    <s v="借呗"/>
    <x v="0"/>
    <x v="0"/>
    <x v="10"/>
    <s v="一组"/>
    <s v="南京一组"/>
    <s v="普通员工"/>
    <n v="10000.125"/>
    <n v="2020"/>
    <x v="1"/>
  </r>
  <r>
    <x v="57"/>
    <n v="1000000030"/>
    <s v="借呗12期"/>
    <n v="1"/>
    <n v="20000.11"/>
    <s v="借呗"/>
    <x v="0"/>
    <x v="2"/>
    <x v="6"/>
    <s v="三组"/>
    <s v="广州三组"/>
    <s v="普通员工"/>
    <n v="20000.11"/>
    <n v="2020"/>
    <x v="1"/>
  </r>
  <r>
    <x v="57"/>
    <n v="1000000566"/>
    <s v="借呗12期"/>
    <n v="1"/>
    <n v="20000.099999999999"/>
    <s v="借呗"/>
    <x v="0"/>
    <x v="2"/>
    <x v="6"/>
    <s v="三组"/>
    <s v="广州三组"/>
    <s v="普通员工"/>
    <n v="20000.099999999999"/>
    <n v="2020"/>
    <x v="1"/>
  </r>
  <r>
    <x v="57"/>
    <n v="1000000040"/>
    <s v="借呗12期"/>
    <n v="2"/>
    <n v="19000.77"/>
    <s v="借呗"/>
    <x v="0"/>
    <x v="1"/>
    <x v="2"/>
    <s v="四组"/>
    <s v="北京四组"/>
    <s v="管理人员"/>
    <n v="9500.3850000000002"/>
    <n v="2020"/>
    <x v="1"/>
  </r>
  <r>
    <x v="57"/>
    <n v="1000000045"/>
    <s v="借呗6期"/>
    <n v="2"/>
    <n v="18000.34"/>
    <s v="借呗"/>
    <x v="1"/>
    <x v="2"/>
    <x v="9"/>
    <s v="一组"/>
    <s v="深圳一组"/>
    <s v="普通员工"/>
    <n v="9000.17"/>
    <n v="2020"/>
    <x v="1"/>
  </r>
  <r>
    <x v="57"/>
    <n v="1000003926"/>
    <s v="借呗6期"/>
    <n v="2"/>
    <n v="17000.93"/>
    <s v="借呗"/>
    <x v="1"/>
    <x v="2"/>
    <x v="6"/>
    <s v="一组"/>
    <s v="广州一组"/>
    <s v="管理人员"/>
    <n v="8500.4650000000001"/>
    <n v="2020"/>
    <x v="1"/>
  </r>
  <r>
    <x v="57"/>
    <n v="1000006869"/>
    <s v="借呗6期"/>
    <n v="1"/>
    <n v="17000.39"/>
    <s v="借呗"/>
    <x v="1"/>
    <x v="0"/>
    <x v="10"/>
    <s v="一组"/>
    <s v="南京一组"/>
    <s v="普通员工"/>
    <n v="17000.39"/>
    <n v="2020"/>
    <x v="1"/>
  </r>
  <r>
    <x v="57"/>
    <n v="1000000039"/>
    <s v="借呗6期"/>
    <n v="3"/>
    <n v="17000.349999999999"/>
    <s v="借呗"/>
    <x v="1"/>
    <x v="0"/>
    <x v="1"/>
    <s v="二组"/>
    <s v="苏州二组"/>
    <s v="管理人员"/>
    <n v="5666.7833333333328"/>
    <n v="2020"/>
    <x v="1"/>
  </r>
  <r>
    <x v="57"/>
    <n v="1000000566"/>
    <s v="借呗6期"/>
    <n v="1"/>
    <n v="17000.080000000002"/>
    <s v="借呗"/>
    <x v="1"/>
    <x v="2"/>
    <x v="6"/>
    <s v="三组"/>
    <s v="广州三组"/>
    <s v="普通员工"/>
    <n v="17000.080000000002"/>
    <n v="2020"/>
    <x v="1"/>
  </r>
  <r>
    <x v="57"/>
    <n v="1000005873"/>
    <s v="借呗12期"/>
    <n v="1"/>
    <n v="17000.009999999998"/>
    <s v="借呗"/>
    <x v="0"/>
    <x v="0"/>
    <x v="0"/>
    <s v="二组"/>
    <s v="杭州二组"/>
    <s v="管理人员"/>
    <n v="17000.009999999998"/>
    <n v="2020"/>
    <x v="1"/>
  </r>
  <r>
    <x v="57"/>
    <n v="1000000030"/>
    <s v="借呗18期"/>
    <n v="1"/>
    <n v="16000.55"/>
    <s v="借呗"/>
    <x v="2"/>
    <x v="2"/>
    <x v="6"/>
    <s v="三组"/>
    <s v="广州三组"/>
    <s v="普通员工"/>
    <n v="16000.55"/>
    <n v="2020"/>
    <x v="1"/>
  </r>
  <r>
    <x v="57"/>
    <n v="1000000036"/>
    <s v="借呗6期"/>
    <n v="1"/>
    <n v="15000.61"/>
    <s v="借呗"/>
    <x v="1"/>
    <x v="2"/>
    <x v="6"/>
    <s v="三组"/>
    <s v="广州三组"/>
    <s v="管理人员"/>
    <n v="15000.61"/>
    <n v="2020"/>
    <x v="1"/>
  </r>
  <r>
    <x v="57"/>
    <n v="1000000068"/>
    <s v="借呗6期"/>
    <n v="1"/>
    <n v="15000.49"/>
    <s v="借呗"/>
    <x v="1"/>
    <x v="1"/>
    <x v="7"/>
    <s v="一组"/>
    <s v="重庆一组"/>
    <s v="管理人员"/>
    <n v="15000.49"/>
    <n v="2020"/>
    <x v="1"/>
  </r>
  <r>
    <x v="57"/>
    <n v="1000004170"/>
    <s v="借呗12期"/>
    <n v="1"/>
    <n v="15000.28"/>
    <s v="借呗"/>
    <x v="0"/>
    <x v="0"/>
    <x v="3"/>
    <s v="二组"/>
    <s v="上海二组"/>
    <s v="管理人员"/>
    <n v="15000.28"/>
    <n v="2020"/>
    <x v="1"/>
  </r>
  <r>
    <x v="57"/>
    <n v="1000006867"/>
    <s v="借呗6期"/>
    <n v="1"/>
    <n v="15000.18"/>
    <s v="借呗"/>
    <x v="1"/>
    <x v="0"/>
    <x v="10"/>
    <s v="一组"/>
    <s v="南京一组"/>
    <s v="普通员工"/>
    <n v="15000.18"/>
    <n v="2020"/>
    <x v="1"/>
  </r>
  <r>
    <x v="57"/>
    <n v="1000003803"/>
    <s v="借呗6期"/>
    <n v="2"/>
    <n v="14500.79"/>
    <s v="借呗"/>
    <x v="1"/>
    <x v="1"/>
    <x v="2"/>
    <s v="三组"/>
    <s v="北京三组"/>
    <s v="普通员工"/>
    <n v="7250.3950000000004"/>
    <n v="2020"/>
    <x v="1"/>
  </r>
  <r>
    <x v="57"/>
    <n v="1000007320"/>
    <s v="借呗12期"/>
    <n v="1"/>
    <n v="14000.38"/>
    <s v="借呗"/>
    <x v="0"/>
    <x v="0"/>
    <x v="3"/>
    <s v="一组"/>
    <s v="上海一组"/>
    <s v="普通员工"/>
    <n v="14000.38"/>
    <n v="2020"/>
    <x v="1"/>
  </r>
  <r>
    <x v="57"/>
    <n v="1000000104"/>
    <s v="借呗12期"/>
    <n v="1"/>
    <n v="13000.02"/>
    <s v="借呗"/>
    <x v="0"/>
    <x v="0"/>
    <x v="5"/>
    <s v="一组"/>
    <s v="合肥一组"/>
    <s v="普通员工"/>
    <n v="13000.02"/>
    <n v="2020"/>
    <x v="1"/>
  </r>
  <r>
    <x v="57"/>
    <n v="1000000044"/>
    <s v="借呗6期"/>
    <n v="2"/>
    <n v="12701.019999999999"/>
    <s v="借呗"/>
    <x v="1"/>
    <x v="1"/>
    <x v="2"/>
    <s v="三组"/>
    <s v="北京三组"/>
    <s v="管理人员"/>
    <n v="6350.5099999999993"/>
    <n v="2020"/>
    <x v="1"/>
  </r>
  <r>
    <x v="57"/>
    <n v="1000000041"/>
    <s v="借呗6期"/>
    <n v="3"/>
    <n v="12554.69"/>
    <s v="借呗"/>
    <x v="1"/>
    <x v="1"/>
    <x v="2"/>
    <s v="四组"/>
    <s v="北京四组"/>
    <s v="普通员工"/>
    <n v="4184.8966666666665"/>
    <n v="2020"/>
    <x v="1"/>
  </r>
  <r>
    <x v="57"/>
    <n v="1000000052"/>
    <s v="借呗12期"/>
    <n v="1"/>
    <n v="12000.17"/>
    <s v="借呗"/>
    <x v="0"/>
    <x v="0"/>
    <x v="3"/>
    <s v="二组"/>
    <s v="上海二组"/>
    <s v="普通员工"/>
    <n v="12000.17"/>
    <n v="2020"/>
    <x v="1"/>
  </r>
  <r>
    <x v="57"/>
    <n v="1000000043"/>
    <s v="借呗6期"/>
    <n v="2"/>
    <n v="11000.810000000001"/>
    <s v="借呗"/>
    <x v="1"/>
    <x v="1"/>
    <x v="4"/>
    <s v="一组"/>
    <s v="成都一组"/>
    <s v="普通员工"/>
    <n v="5500.4050000000007"/>
    <n v="2020"/>
    <x v="1"/>
  </r>
  <r>
    <x v="57"/>
    <n v="1000000054"/>
    <s v="借呗6期"/>
    <n v="2"/>
    <n v="11000.3"/>
    <s v="借呗"/>
    <x v="1"/>
    <x v="0"/>
    <x v="3"/>
    <s v="一组"/>
    <s v="上海一组"/>
    <s v="普通员工"/>
    <n v="5500.15"/>
    <n v="2020"/>
    <x v="1"/>
  </r>
  <r>
    <x v="57"/>
    <n v="1000000030"/>
    <s v="借呗6期"/>
    <n v="1"/>
    <n v="10000.73"/>
    <s v="借呗"/>
    <x v="1"/>
    <x v="2"/>
    <x v="6"/>
    <s v="三组"/>
    <s v="广州三组"/>
    <s v="普通员工"/>
    <n v="10000.73"/>
    <n v="2020"/>
    <x v="1"/>
  </r>
  <r>
    <x v="57"/>
    <n v="1000000047"/>
    <s v="借呗18期"/>
    <n v="1"/>
    <n v="10000.030000000001"/>
    <s v="借呗"/>
    <x v="2"/>
    <x v="2"/>
    <x v="6"/>
    <s v="一组"/>
    <s v="广州一组"/>
    <s v="普通员工"/>
    <n v="10000.030000000001"/>
    <n v="2020"/>
    <x v="1"/>
  </r>
  <r>
    <x v="57"/>
    <n v="1000006064"/>
    <s v="借呗12期"/>
    <n v="1"/>
    <n v="9000.41"/>
    <s v="借呗"/>
    <x v="0"/>
    <x v="0"/>
    <x v="5"/>
    <s v="一组"/>
    <s v="合肥一组"/>
    <s v="普通员工"/>
    <n v="9000.41"/>
    <n v="2020"/>
    <x v="1"/>
  </r>
  <r>
    <x v="57"/>
    <n v="1000004256"/>
    <s v="借呗6期"/>
    <n v="1"/>
    <n v="8000.3"/>
    <s v="借呗"/>
    <x v="1"/>
    <x v="0"/>
    <x v="5"/>
    <s v="一组"/>
    <s v="合肥一组"/>
    <s v="普通员工"/>
    <n v="8000.3"/>
    <n v="2020"/>
    <x v="1"/>
  </r>
  <r>
    <x v="57"/>
    <n v="1000000067"/>
    <s v="借呗6期"/>
    <n v="1"/>
    <n v="7500.4"/>
    <s v="借呗"/>
    <x v="1"/>
    <x v="0"/>
    <x v="1"/>
    <s v="二组"/>
    <s v="苏州二组"/>
    <s v="普通员工"/>
    <n v="7500.4"/>
    <n v="2020"/>
    <x v="1"/>
  </r>
  <r>
    <x v="57"/>
    <n v="1000000035"/>
    <s v="借呗12期"/>
    <n v="1"/>
    <n v="7500.39"/>
    <s v="借呗"/>
    <x v="0"/>
    <x v="0"/>
    <x v="1"/>
    <s v="三组"/>
    <s v="苏州三组"/>
    <s v="普通员工"/>
    <n v="7500.39"/>
    <n v="2020"/>
    <x v="1"/>
  </r>
  <r>
    <x v="57"/>
    <n v="1000003989"/>
    <s v="借呗6期"/>
    <n v="1"/>
    <n v="7000.36"/>
    <s v="借呗"/>
    <x v="1"/>
    <x v="1"/>
    <x v="2"/>
    <s v="三组"/>
    <s v="北京三组"/>
    <s v="普通员工"/>
    <n v="7000.36"/>
    <n v="2020"/>
    <x v="1"/>
  </r>
  <r>
    <x v="57"/>
    <n v="1000000104"/>
    <s v="借呗18期"/>
    <n v="1"/>
    <n v="7000.12"/>
    <s v="借呗"/>
    <x v="2"/>
    <x v="0"/>
    <x v="5"/>
    <s v="一组"/>
    <s v="合肥一组"/>
    <s v="普通员工"/>
    <n v="7000.12"/>
    <n v="2020"/>
    <x v="1"/>
  </r>
  <r>
    <x v="57"/>
    <n v="1000000032"/>
    <s v="借呗18期"/>
    <n v="1"/>
    <n v="6500.42"/>
    <s v="借呗"/>
    <x v="2"/>
    <x v="0"/>
    <x v="1"/>
    <s v="一组"/>
    <s v="苏州一组"/>
    <s v="管理人员"/>
    <n v="6500.42"/>
    <n v="2020"/>
    <x v="1"/>
  </r>
  <r>
    <x v="57"/>
    <n v="1000004256"/>
    <s v="借呗12期"/>
    <n v="1"/>
    <n v="6500.25"/>
    <s v="借呗"/>
    <x v="0"/>
    <x v="0"/>
    <x v="5"/>
    <s v="一组"/>
    <s v="合肥一组"/>
    <s v="普通员工"/>
    <n v="6500.25"/>
    <n v="2020"/>
    <x v="1"/>
  </r>
  <r>
    <x v="57"/>
    <n v="1000000050"/>
    <s v="借呗12期"/>
    <n v="1"/>
    <n v="5999.98"/>
    <s v="借呗"/>
    <x v="0"/>
    <x v="0"/>
    <x v="5"/>
    <s v="一组"/>
    <s v="合肥一组"/>
    <s v="普通员工"/>
    <n v="5999.98"/>
    <n v="2020"/>
    <x v="1"/>
  </r>
  <r>
    <x v="57"/>
    <n v="1000000566"/>
    <s v="借呗18期"/>
    <n v="1"/>
    <n v="5500.09"/>
    <s v="借呗"/>
    <x v="2"/>
    <x v="2"/>
    <x v="6"/>
    <s v="三组"/>
    <s v="广州三组"/>
    <s v="普通员工"/>
    <n v="5500.09"/>
    <n v="2020"/>
    <x v="1"/>
  </r>
  <r>
    <x v="57"/>
    <n v="1000003489"/>
    <s v="借呗6期"/>
    <n v="1"/>
    <n v="5500.05"/>
    <s v="借呗"/>
    <x v="1"/>
    <x v="2"/>
    <x v="6"/>
    <s v="一组"/>
    <s v="广州一组"/>
    <s v="普通员工"/>
    <n v="5500.05"/>
    <n v="2020"/>
    <x v="1"/>
  </r>
  <r>
    <x v="57"/>
    <n v="1000000067"/>
    <s v="借呗12期"/>
    <n v="1"/>
    <n v="4999.99"/>
    <s v="借呗"/>
    <x v="0"/>
    <x v="0"/>
    <x v="1"/>
    <s v="二组"/>
    <s v="苏州二组"/>
    <s v="普通员工"/>
    <n v="4999.99"/>
    <n v="2020"/>
    <x v="1"/>
  </r>
  <r>
    <x v="57"/>
    <n v="1000000068"/>
    <s v="借呗18期"/>
    <n v="1"/>
    <n v="4000.56"/>
    <s v="借呗"/>
    <x v="2"/>
    <x v="1"/>
    <x v="7"/>
    <s v="一组"/>
    <s v="重庆一组"/>
    <s v="管理人员"/>
    <n v="4000.56"/>
    <n v="2020"/>
    <x v="1"/>
  </r>
  <r>
    <x v="57"/>
    <n v="1000000033"/>
    <s v="借呗6期"/>
    <n v="1"/>
    <n v="3000.59"/>
    <s v="借呗"/>
    <x v="1"/>
    <x v="0"/>
    <x v="1"/>
    <s v="一组"/>
    <s v="苏州一组"/>
    <s v="普通员工"/>
    <n v="3000.59"/>
    <n v="2020"/>
    <x v="1"/>
  </r>
  <r>
    <x v="57"/>
    <n v="1000000035"/>
    <s v="借呗6期"/>
    <n v="1"/>
    <n v="1648.71"/>
    <s v="借呗"/>
    <x v="1"/>
    <x v="0"/>
    <x v="1"/>
    <s v="三组"/>
    <s v="苏州三组"/>
    <s v="普通员工"/>
    <n v="1648.71"/>
    <n v="2020"/>
    <x v="1"/>
  </r>
  <r>
    <x v="57"/>
    <n v="1000000031"/>
    <s v="借呗6期"/>
    <n v="1"/>
    <n v="1500.11"/>
    <s v="借呗"/>
    <x v="1"/>
    <x v="0"/>
    <x v="0"/>
    <s v="一组"/>
    <s v="杭州一组"/>
    <s v="管理人员"/>
    <n v="1500.11"/>
    <n v="2020"/>
    <x v="1"/>
  </r>
  <r>
    <x v="57"/>
    <n v="1000007197"/>
    <s v="借呗6期"/>
    <n v="1"/>
    <n v="1000.76"/>
    <s v="借呗"/>
    <x v="1"/>
    <x v="0"/>
    <x v="5"/>
    <s v="一组"/>
    <s v="合肥一组"/>
    <s v="普通员工"/>
    <n v="1000.76"/>
    <n v="2020"/>
    <x v="1"/>
  </r>
  <r>
    <x v="57"/>
    <n v="1000000056"/>
    <s v="借呗6期"/>
    <n v="1"/>
    <n v="500.28"/>
    <s v="借呗"/>
    <x v="1"/>
    <x v="0"/>
    <x v="3"/>
    <s v="一组"/>
    <s v="上海一组"/>
    <s v="管理人员"/>
    <n v="500.28"/>
    <n v="2020"/>
    <x v="1"/>
  </r>
  <r>
    <x v="58"/>
    <n v="1000003926"/>
    <s v="借呗6期"/>
    <n v="2"/>
    <n v="50001.020000000004"/>
    <s v="借呗"/>
    <x v="1"/>
    <x v="2"/>
    <x v="6"/>
    <s v="一组"/>
    <s v="广州一组"/>
    <s v="管理人员"/>
    <n v="25000.51"/>
    <n v="2020"/>
    <x v="1"/>
  </r>
  <r>
    <x v="58"/>
    <n v="1000000237"/>
    <s v="借呗18期"/>
    <n v="3"/>
    <n v="43036.02"/>
    <s v="借呗"/>
    <x v="2"/>
    <x v="0"/>
    <x v="5"/>
    <s v="一组"/>
    <s v="合肥一组"/>
    <s v="普通员工"/>
    <n v="14345.339999999998"/>
    <n v="2020"/>
    <x v="1"/>
  </r>
  <r>
    <x v="58"/>
    <n v="1000004256"/>
    <s v="借呗18期"/>
    <n v="2"/>
    <n v="38001.259999999995"/>
    <s v="借呗"/>
    <x v="2"/>
    <x v="0"/>
    <x v="5"/>
    <s v="一组"/>
    <s v="合肥一组"/>
    <s v="普通员工"/>
    <n v="19000.629999999997"/>
    <n v="2020"/>
    <x v="1"/>
  </r>
  <r>
    <x v="58"/>
    <n v="1000007197"/>
    <s v="借呗6期"/>
    <n v="2"/>
    <n v="34000.83"/>
    <s v="借呗"/>
    <x v="1"/>
    <x v="0"/>
    <x v="5"/>
    <s v="一组"/>
    <s v="合肥一组"/>
    <s v="普通员工"/>
    <n v="17000.415000000001"/>
    <n v="2020"/>
    <x v="1"/>
  </r>
  <r>
    <x v="58"/>
    <n v="1000003489"/>
    <s v="借呗6期"/>
    <n v="2"/>
    <n v="33000.620000000003"/>
    <s v="借呗"/>
    <x v="1"/>
    <x v="2"/>
    <x v="6"/>
    <s v="一组"/>
    <s v="广州一组"/>
    <s v="普通员工"/>
    <n v="16500.310000000001"/>
    <n v="2020"/>
    <x v="1"/>
  </r>
  <r>
    <x v="58"/>
    <n v="1000008239"/>
    <s v="借呗12期"/>
    <n v="2"/>
    <n v="27000.620000000003"/>
    <s v="借呗"/>
    <x v="0"/>
    <x v="0"/>
    <x v="10"/>
    <s v="一组"/>
    <s v="南京一组"/>
    <s v="管理人员"/>
    <n v="13500.31"/>
    <n v="2020"/>
    <x v="1"/>
  </r>
  <r>
    <x v="58"/>
    <n v="1000000032"/>
    <s v="借呗6期"/>
    <n v="2"/>
    <n v="27000.21"/>
    <s v="借呗"/>
    <x v="1"/>
    <x v="0"/>
    <x v="1"/>
    <s v="一组"/>
    <s v="苏州一组"/>
    <s v="管理人员"/>
    <n v="13500.105"/>
    <n v="2020"/>
    <x v="1"/>
  </r>
  <r>
    <x v="58"/>
    <n v="1000003926"/>
    <s v="借呗12期"/>
    <n v="1"/>
    <n v="25000.47"/>
    <s v="借呗"/>
    <x v="0"/>
    <x v="2"/>
    <x v="6"/>
    <s v="一组"/>
    <s v="广州一组"/>
    <s v="管理人员"/>
    <n v="25000.47"/>
    <n v="2020"/>
    <x v="1"/>
  </r>
  <r>
    <x v="58"/>
    <n v="1000007197"/>
    <s v="借呗18期"/>
    <n v="1"/>
    <n v="23000.65"/>
    <s v="借呗"/>
    <x v="2"/>
    <x v="0"/>
    <x v="5"/>
    <s v="一组"/>
    <s v="合肥一组"/>
    <s v="普通员工"/>
    <n v="23000.65"/>
    <n v="2020"/>
    <x v="1"/>
  </r>
  <r>
    <x v="58"/>
    <n v="1000004170"/>
    <s v="借呗6期"/>
    <n v="2"/>
    <n v="23000.43"/>
    <s v="借呗"/>
    <x v="1"/>
    <x v="0"/>
    <x v="3"/>
    <s v="二组"/>
    <s v="上海二组"/>
    <s v="管理人员"/>
    <n v="11500.215"/>
    <n v="2020"/>
    <x v="1"/>
  </r>
  <r>
    <x v="58"/>
    <n v="1000000044"/>
    <s v="借呗12期"/>
    <n v="1"/>
    <n v="22000.65"/>
    <s v="借呗"/>
    <x v="0"/>
    <x v="1"/>
    <x v="2"/>
    <s v="三组"/>
    <s v="北京三组"/>
    <s v="管理人员"/>
    <n v="22000.65"/>
    <n v="2020"/>
    <x v="1"/>
  </r>
  <r>
    <x v="58"/>
    <n v="1000000029"/>
    <s v="借呗12期"/>
    <n v="1"/>
    <n v="22000.18"/>
    <s v="借呗"/>
    <x v="0"/>
    <x v="0"/>
    <x v="0"/>
    <s v="二组"/>
    <s v="杭州二组"/>
    <s v="普通员工"/>
    <n v="22000.18"/>
    <n v="2020"/>
    <x v="1"/>
  </r>
  <r>
    <x v="58"/>
    <n v="1000000032"/>
    <s v="借呗12期"/>
    <n v="1"/>
    <n v="20000.68"/>
    <s v="借呗"/>
    <x v="0"/>
    <x v="0"/>
    <x v="1"/>
    <s v="一组"/>
    <s v="苏州一组"/>
    <s v="管理人员"/>
    <n v="20000.68"/>
    <n v="2020"/>
    <x v="1"/>
  </r>
  <r>
    <x v="58"/>
    <n v="1000000040"/>
    <s v="借呗12期"/>
    <n v="1"/>
    <n v="20000.04"/>
    <s v="借呗"/>
    <x v="0"/>
    <x v="1"/>
    <x v="2"/>
    <s v="四组"/>
    <s v="北京四组"/>
    <s v="管理人员"/>
    <n v="20000.04"/>
    <n v="2020"/>
    <x v="1"/>
  </r>
  <r>
    <x v="58"/>
    <n v="1000006698"/>
    <s v="借呗18期"/>
    <n v="2"/>
    <n v="19001.16"/>
    <s v="借呗"/>
    <x v="2"/>
    <x v="1"/>
    <x v="4"/>
    <s v="一组"/>
    <s v="成都一组"/>
    <s v="管理人员"/>
    <n v="9500.58"/>
    <n v="2020"/>
    <x v="1"/>
  </r>
  <r>
    <x v="58"/>
    <n v="1000000068"/>
    <s v="借呗12期"/>
    <n v="2"/>
    <n v="19000.68"/>
    <s v="借呗"/>
    <x v="0"/>
    <x v="1"/>
    <x v="7"/>
    <s v="一组"/>
    <s v="重庆一组"/>
    <s v="管理人员"/>
    <n v="9500.34"/>
    <n v="2020"/>
    <x v="1"/>
  </r>
  <r>
    <x v="58"/>
    <n v="1000000594"/>
    <s v="借呗12期"/>
    <n v="1"/>
    <n v="18000.73"/>
    <s v="借呗"/>
    <x v="0"/>
    <x v="0"/>
    <x v="1"/>
    <s v="二组"/>
    <s v="苏州二组"/>
    <s v="普通员工"/>
    <n v="18000.73"/>
    <n v="2020"/>
    <x v="1"/>
  </r>
  <r>
    <x v="58"/>
    <n v="1000006698"/>
    <s v="借呗12期"/>
    <n v="1"/>
    <n v="18000.72"/>
    <s v="借呗"/>
    <x v="0"/>
    <x v="1"/>
    <x v="4"/>
    <s v="一组"/>
    <s v="成都一组"/>
    <s v="管理人员"/>
    <n v="18000.72"/>
    <n v="2020"/>
    <x v="1"/>
  </r>
  <r>
    <x v="58"/>
    <n v="1000000044"/>
    <s v="借呗18期"/>
    <n v="1"/>
    <n v="18000.61"/>
    <s v="借呗"/>
    <x v="2"/>
    <x v="1"/>
    <x v="2"/>
    <s v="三组"/>
    <s v="北京三组"/>
    <s v="管理人员"/>
    <n v="18000.61"/>
    <n v="2020"/>
    <x v="1"/>
  </r>
  <r>
    <x v="58"/>
    <n v="1000000566"/>
    <s v="借呗18期"/>
    <n v="1"/>
    <n v="18000.04"/>
    <s v="借呗"/>
    <x v="2"/>
    <x v="2"/>
    <x v="6"/>
    <s v="三组"/>
    <s v="广州三组"/>
    <s v="普通员工"/>
    <n v="18000.04"/>
    <n v="2020"/>
    <x v="1"/>
  </r>
  <r>
    <x v="58"/>
    <n v="1000000041"/>
    <s v="借呗12期"/>
    <n v="2"/>
    <n v="17200.68"/>
    <s v="借呗"/>
    <x v="0"/>
    <x v="1"/>
    <x v="2"/>
    <s v="四组"/>
    <s v="北京四组"/>
    <s v="普通员工"/>
    <n v="8600.34"/>
    <n v="2020"/>
    <x v="1"/>
  </r>
  <r>
    <x v="58"/>
    <n v="1000006859"/>
    <s v="借呗18期"/>
    <n v="1"/>
    <n v="17000.09"/>
    <s v="借呗"/>
    <x v="2"/>
    <x v="0"/>
    <x v="10"/>
    <s v="一组"/>
    <s v="南京一组"/>
    <s v="普通员工"/>
    <n v="17000.09"/>
    <n v="2020"/>
    <x v="1"/>
  </r>
  <r>
    <x v="58"/>
    <n v="1000000029"/>
    <s v="借呗6期"/>
    <n v="2"/>
    <n v="15000.34"/>
    <s v="借呗"/>
    <x v="1"/>
    <x v="0"/>
    <x v="0"/>
    <s v="二组"/>
    <s v="杭州二组"/>
    <s v="普通员工"/>
    <n v="7500.17"/>
    <n v="2020"/>
    <x v="1"/>
  </r>
  <r>
    <x v="58"/>
    <n v="1000000052"/>
    <s v="借呗12期"/>
    <n v="1"/>
    <n v="15000.21"/>
    <s v="借呗"/>
    <x v="0"/>
    <x v="0"/>
    <x v="3"/>
    <s v="二组"/>
    <s v="上海二组"/>
    <s v="普通员工"/>
    <n v="15000.21"/>
    <n v="2020"/>
    <x v="1"/>
  </r>
  <r>
    <x v="58"/>
    <n v="1000000039"/>
    <s v="借呗12期"/>
    <n v="2"/>
    <n v="13000.720000000001"/>
    <s v="借呗"/>
    <x v="0"/>
    <x v="0"/>
    <x v="1"/>
    <s v="二组"/>
    <s v="苏州二组"/>
    <s v="管理人员"/>
    <n v="6500.3600000000006"/>
    <n v="2020"/>
    <x v="1"/>
  </r>
  <r>
    <x v="58"/>
    <n v="1000000067"/>
    <s v="借呗18期"/>
    <n v="1"/>
    <n v="13000.46"/>
    <s v="借呗"/>
    <x v="2"/>
    <x v="0"/>
    <x v="1"/>
    <s v="二组"/>
    <s v="苏州二组"/>
    <s v="普通员工"/>
    <n v="13000.46"/>
    <n v="2020"/>
    <x v="1"/>
  </r>
  <r>
    <x v="58"/>
    <n v="1000005873"/>
    <s v="借呗6期"/>
    <n v="1"/>
    <n v="13000.01"/>
    <s v="借呗"/>
    <x v="1"/>
    <x v="0"/>
    <x v="0"/>
    <s v="二组"/>
    <s v="杭州二组"/>
    <s v="管理人员"/>
    <n v="13000.01"/>
    <n v="2020"/>
    <x v="1"/>
  </r>
  <r>
    <x v="58"/>
    <n v="1000006064"/>
    <s v="借呗18期"/>
    <n v="1"/>
    <n v="12000.62"/>
    <s v="借呗"/>
    <x v="2"/>
    <x v="0"/>
    <x v="5"/>
    <s v="一组"/>
    <s v="合肥一组"/>
    <s v="普通员工"/>
    <n v="12000.62"/>
    <n v="2020"/>
    <x v="1"/>
  </r>
  <r>
    <x v="58"/>
    <n v="1000004256"/>
    <s v="借呗12期"/>
    <n v="1"/>
    <n v="12000.35"/>
    <s v="借呗"/>
    <x v="0"/>
    <x v="0"/>
    <x v="5"/>
    <s v="一组"/>
    <s v="合肥一组"/>
    <s v="普通员工"/>
    <n v="12000.35"/>
    <n v="2020"/>
    <x v="1"/>
  </r>
  <r>
    <x v="58"/>
    <n v="1000006867"/>
    <s v="借呗12期"/>
    <n v="1"/>
    <n v="12000.28"/>
    <s v="借呗"/>
    <x v="0"/>
    <x v="0"/>
    <x v="10"/>
    <s v="一组"/>
    <s v="南京一组"/>
    <s v="普通员工"/>
    <n v="12000.28"/>
    <n v="2020"/>
    <x v="1"/>
  </r>
  <r>
    <x v="58"/>
    <n v="1000000030"/>
    <s v="借呗6期"/>
    <n v="2"/>
    <n v="11999.95"/>
    <s v="借呗"/>
    <x v="1"/>
    <x v="2"/>
    <x v="6"/>
    <s v="三组"/>
    <s v="广州三组"/>
    <s v="普通员工"/>
    <n v="5999.9750000000004"/>
    <n v="2020"/>
    <x v="1"/>
  </r>
  <r>
    <x v="58"/>
    <n v="1000000046"/>
    <s v="借呗6期"/>
    <n v="2"/>
    <n v="10000.720000000001"/>
    <s v="借呗"/>
    <x v="1"/>
    <x v="1"/>
    <x v="4"/>
    <s v="一组"/>
    <s v="成都一组"/>
    <s v="普通员工"/>
    <n v="5000.3600000000006"/>
    <n v="2020"/>
    <x v="1"/>
  </r>
  <r>
    <x v="58"/>
    <n v="1000003989"/>
    <s v="借呗12期"/>
    <n v="1"/>
    <n v="10000.65"/>
    <s v="借呗"/>
    <x v="0"/>
    <x v="1"/>
    <x v="2"/>
    <s v="三组"/>
    <s v="北京三组"/>
    <s v="普通员工"/>
    <n v="10000.65"/>
    <n v="2020"/>
    <x v="1"/>
  </r>
  <r>
    <x v="58"/>
    <n v="1000000043"/>
    <s v="借呗18期"/>
    <n v="1"/>
    <n v="10000.14"/>
    <s v="借呗"/>
    <x v="2"/>
    <x v="1"/>
    <x v="4"/>
    <s v="一组"/>
    <s v="成都一组"/>
    <s v="普通员工"/>
    <n v="10000.14"/>
    <n v="2020"/>
    <x v="1"/>
  </r>
  <r>
    <x v="58"/>
    <n v="1000004170"/>
    <s v="借呗12期"/>
    <n v="1"/>
    <n v="9000.6299999999992"/>
    <s v="借呗"/>
    <x v="0"/>
    <x v="0"/>
    <x v="3"/>
    <s v="二组"/>
    <s v="上海二组"/>
    <s v="管理人员"/>
    <n v="9000.6299999999992"/>
    <n v="2020"/>
    <x v="1"/>
  </r>
  <r>
    <x v="58"/>
    <n v="1000000056"/>
    <s v="借呗6期"/>
    <n v="2"/>
    <n v="8600.9699999999993"/>
    <s v="借呗"/>
    <x v="1"/>
    <x v="0"/>
    <x v="3"/>
    <s v="一组"/>
    <s v="上海一组"/>
    <s v="管理人员"/>
    <n v="4300.4849999999997"/>
    <n v="2020"/>
    <x v="1"/>
  </r>
  <r>
    <x v="58"/>
    <n v="1000008228"/>
    <s v="借呗18期"/>
    <n v="1"/>
    <n v="8000.25"/>
    <s v="借呗"/>
    <x v="2"/>
    <x v="1"/>
    <x v="2"/>
    <s v="三组"/>
    <s v="北京三组"/>
    <s v="普通员工"/>
    <n v="8000.25"/>
    <n v="2020"/>
    <x v="1"/>
  </r>
  <r>
    <x v="58"/>
    <n v="1000000054"/>
    <s v="借呗12期"/>
    <n v="1"/>
    <n v="7500.58"/>
    <s v="借呗"/>
    <x v="0"/>
    <x v="0"/>
    <x v="3"/>
    <s v="一组"/>
    <s v="上海一组"/>
    <s v="普通员工"/>
    <n v="7500.58"/>
    <n v="2020"/>
    <x v="1"/>
  </r>
  <r>
    <x v="58"/>
    <n v="1000006869"/>
    <s v="借呗6期"/>
    <n v="1"/>
    <n v="7000.54"/>
    <s v="借呗"/>
    <x v="1"/>
    <x v="0"/>
    <x v="10"/>
    <s v="一组"/>
    <s v="南京一组"/>
    <s v="普通员工"/>
    <n v="7000.54"/>
    <n v="2020"/>
    <x v="1"/>
  </r>
  <r>
    <x v="58"/>
    <n v="1000000044"/>
    <s v="借呗6期"/>
    <n v="1"/>
    <n v="7000.02"/>
    <s v="借呗"/>
    <x v="1"/>
    <x v="1"/>
    <x v="2"/>
    <s v="三组"/>
    <s v="北京三组"/>
    <s v="管理人员"/>
    <n v="7000.02"/>
    <n v="2020"/>
    <x v="1"/>
  </r>
  <r>
    <x v="58"/>
    <n v="1000000056"/>
    <s v="借呗12期"/>
    <n v="1"/>
    <n v="6500.74"/>
    <s v="借呗"/>
    <x v="0"/>
    <x v="0"/>
    <x v="3"/>
    <s v="一组"/>
    <s v="上海一组"/>
    <s v="管理人员"/>
    <n v="6500.74"/>
    <n v="2020"/>
    <x v="1"/>
  </r>
  <r>
    <x v="58"/>
    <n v="1000008957"/>
    <s v="借呗18期"/>
    <n v="1"/>
    <n v="6500.45"/>
    <s v="借呗"/>
    <x v="2"/>
    <x v="0"/>
    <x v="3"/>
    <s v="二组"/>
    <s v="上海二组"/>
    <s v="普通员工"/>
    <n v="6500.45"/>
    <n v="2020"/>
    <x v="1"/>
  </r>
  <r>
    <x v="58"/>
    <n v="1000000104"/>
    <s v="借呗18期"/>
    <n v="1"/>
    <n v="6000.29"/>
    <s v="借呗"/>
    <x v="2"/>
    <x v="0"/>
    <x v="5"/>
    <s v="一组"/>
    <s v="合肥一组"/>
    <s v="普通员工"/>
    <n v="6000.29"/>
    <n v="2020"/>
    <x v="1"/>
  </r>
  <r>
    <x v="58"/>
    <n v="1000000036"/>
    <s v="借呗12期"/>
    <n v="1"/>
    <n v="5500.56"/>
    <s v="借呗"/>
    <x v="0"/>
    <x v="2"/>
    <x v="6"/>
    <s v="三组"/>
    <s v="广州三组"/>
    <s v="管理人员"/>
    <n v="5500.56"/>
    <n v="2020"/>
    <x v="1"/>
  </r>
  <r>
    <x v="58"/>
    <n v="1000000036"/>
    <s v="借呗18期"/>
    <n v="1"/>
    <n v="5499.96"/>
    <s v="借呗"/>
    <x v="2"/>
    <x v="2"/>
    <x v="6"/>
    <s v="三组"/>
    <s v="广州三组"/>
    <s v="管理人员"/>
    <n v="5499.96"/>
    <n v="2020"/>
    <x v="1"/>
  </r>
  <r>
    <x v="58"/>
    <n v="1000000028"/>
    <s v="借呗18期"/>
    <n v="1"/>
    <n v="4255.2"/>
    <s v="借呗"/>
    <x v="2"/>
    <x v="0"/>
    <x v="0"/>
    <s v="二组"/>
    <s v="杭州二组"/>
    <s v="普通员工"/>
    <n v="4255.2"/>
    <n v="2020"/>
    <x v="1"/>
  </r>
  <r>
    <x v="58"/>
    <n v="1000000041"/>
    <s v="借呗6期"/>
    <n v="1"/>
    <n v="4001.1899999999996"/>
    <s v="借呗"/>
    <x v="1"/>
    <x v="1"/>
    <x v="2"/>
    <s v="四组"/>
    <s v="北京四组"/>
    <s v="普通员工"/>
    <n v="4001.19"/>
    <n v="2020"/>
    <x v="1"/>
  </r>
  <r>
    <x v="58"/>
    <n v="1000000036"/>
    <s v="借呗6期"/>
    <n v="1"/>
    <n v="3000.55"/>
    <s v="借呗"/>
    <x v="1"/>
    <x v="2"/>
    <x v="6"/>
    <s v="三组"/>
    <s v="广州三组"/>
    <s v="管理人员"/>
    <n v="3000.55"/>
    <n v="2020"/>
    <x v="1"/>
  </r>
  <r>
    <x v="58"/>
    <n v="1000000034"/>
    <s v="借呗12期"/>
    <n v="1"/>
    <n v="3000.35"/>
    <s v="借呗"/>
    <x v="0"/>
    <x v="0"/>
    <x v="1"/>
    <s v="一组"/>
    <s v="苏州一组"/>
    <s v="普通员工"/>
    <n v="3000.35"/>
    <n v="2020"/>
    <x v="1"/>
  </r>
  <r>
    <x v="58"/>
    <n v="1000000050"/>
    <s v="借呗6期"/>
    <n v="1"/>
    <n v="1800.06"/>
    <s v="借呗"/>
    <x v="1"/>
    <x v="0"/>
    <x v="5"/>
    <s v="一组"/>
    <s v="合肥一组"/>
    <s v="普通员工"/>
    <n v="1800.06"/>
    <n v="2020"/>
    <x v="1"/>
  </r>
  <r>
    <x v="58"/>
    <n v="1000000033"/>
    <s v="借呗6期"/>
    <n v="1"/>
    <n v="1500.16"/>
    <s v="借呗"/>
    <x v="1"/>
    <x v="0"/>
    <x v="1"/>
    <s v="一组"/>
    <s v="苏州一组"/>
    <s v="普通员工"/>
    <n v="1500.16"/>
    <n v="2020"/>
    <x v="1"/>
  </r>
  <r>
    <x v="58"/>
    <n v="1000000031"/>
    <s v="借呗18期"/>
    <n v="1"/>
    <n v="500.59"/>
    <s v="借呗"/>
    <x v="2"/>
    <x v="0"/>
    <x v="0"/>
    <s v="一组"/>
    <s v="杭州一组"/>
    <s v="管理人员"/>
    <n v="500.59"/>
    <n v="2020"/>
    <x v="1"/>
  </r>
  <r>
    <x v="59"/>
    <n v="1000000031"/>
    <s v="借呗6期"/>
    <n v="5"/>
    <n v="42639.06"/>
    <s v="借呗"/>
    <x v="1"/>
    <x v="0"/>
    <x v="0"/>
    <s v="一组"/>
    <s v="杭州一组"/>
    <s v="管理人员"/>
    <n v="8527.8119999999999"/>
    <n v="2020"/>
    <x v="1"/>
  </r>
  <r>
    <x v="59"/>
    <n v="1000000928"/>
    <s v="借呗12期"/>
    <n v="3"/>
    <n v="39000.479999999996"/>
    <s v="借呗"/>
    <x v="0"/>
    <x v="1"/>
    <x v="8"/>
    <s v="一组"/>
    <s v="西安一组"/>
    <s v="普通员工"/>
    <n v="13000.159999999998"/>
    <n v="2020"/>
    <x v="1"/>
  </r>
  <r>
    <x v="59"/>
    <n v="1000000040"/>
    <s v="借呗6期"/>
    <n v="3"/>
    <n v="36501.29"/>
    <s v="借呗"/>
    <x v="1"/>
    <x v="1"/>
    <x v="2"/>
    <s v="四组"/>
    <s v="北京四组"/>
    <s v="管理人员"/>
    <n v="12167.096666666666"/>
    <n v="2020"/>
    <x v="1"/>
  </r>
  <r>
    <x v="59"/>
    <n v="1000000029"/>
    <s v="借呗12期"/>
    <n v="1"/>
    <n v="30000.62"/>
    <s v="借呗"/>
    <x v="0"/>
    <x v="0"/>
    <x v="0"/>
    <s v="二组"/>
    <s v="杭州二组"/>
    <s v="普通员工"/>
    <n v="30000.62"/>
    <n v="2020"/>
    <x v="1"/>
  </r>
  <r>
    <x v="59"/>
    <n v="1000000594"/>
    <s v="借呗12期"/>
    <n v="1"/>
    <n v="25000.71"/>
    <s v="借呗"/>
    <x v="0"/>
    <x v="0"/>
    <x v="1"/>
    <s v="二组"/>
    <s v="苏州二组"/>
    <s v="普通员工"/>
    <n v="25000.71"/>
    <n v="2020"/>
    <x v="1"/>
  </r>
  <r>
    <x v="59"/>
    <n v="1000006867"/>
    <s v="借呗12期"/>
    <n v="2"/>
    <n v="25000.37"/>
    <s v="借呗"/>
    <x v="0"/>
    <x v="0"/>
    <x v="10"/>
    <s v="一组"/>
    <s v="南京一组"/>
    <s v="普通员工"/>
    <n v="12500.184999999999"/>
    <n v="2020"/>
    <x v="1"/>
  </r>
  <r>
    <x v="59"/>
    <n v="1000000068"/>
    <s v="借呗6期"/>
    <n v="1"/>
    <n v="23000.76"/>
    <s v="借呗"/>
    <x v="1"/>
    <x v="1"/>
    <x v="7"/>
    <s v="一组"/>
    <s v="重庆一组"/>
    <s v="管理人员"/>
    <n v="23000.76"/>
    <n v="2020"/>
    <x v="1"/>
  </r>
  <r>
    <x v="59"/>
    <n v="1000006859"/>
    <s v="借呗18期"/>
    <n v="2"/>
    <n v="22000.21"/>
    <s v="借呗"/>
    <x v="2"/>
    <x v="0"/>
    <x v="10"/>
    <s v="一组"/>
    <s v="南京一组"/>
    <s v="普通员工"/>
    <n v="11000.105"/>
    <n v="2020"/>
    <x v="1"/>
  </r>
  <r>
    <x v="59"/>
    <n v="1000000031"/>
    <s v="借呗12期"/>
    <n v="2"/>
    <n v="20500.71"/>
    <s v="借呗"/>
    <x v="0"/>
    <x v="0"/>
    <x v="0"/>
    <s v="一组"/>
    <s v="杭州一组"/>
    <s v="管理人员"/>
    <n v="10250.355"/>
    <n v="2020"/>
    <x v="1"/>
  </r>
  <r>
    <x v="59"/>
    <n v="1000006867"/>
    <s v="借呗6期"/>
    <n v="1"/>
    <n v="20000.5"/>
    <s v="借呗"/>
    <x v="1"/>
    <x v="0"/>
    <x v="10"/>
    <s v="一组"/>
    <s v="南京一组"/>
    <s v="普通员工"/>
    <n v="20000.5"/>
    <n v="2020"/>
    <x v="1"/>
  </r>
  <r>
    <x v="59"/>
    <n v="1000000039"/>
    <s v="借呗6期"/>
    <n v="1"/>
    <n v="20000.36"/>
    <s v="借呗"/>
    <x v="1"/>
    <x v="0"/>
    <x v="1"/>
    <s v="二组"/>
    <s v="苏州二组"/>
    <s v="管理人员"/>
    <n v="20000.36"/>
    <n v="2020"/>
    <x v="1"/>
  </r>
  <r>
    <x v="59"/>
    <n v="1000003489"/>
    <s v="借呗6期"/>
    <n v="2"/>
    <n v="19500.439999999999"/>
    <s v="借呗"/>
    <x v="1"/>
    <x v="2"/>
    <x v="6"/>
    <s v="一组"/>
    <s v="广州一组"/>
    <s v="普通员工"/>
    <n v="9750.2199999999993"/>
    <n v="2020"/>
    <x v="1"/>
  </r>
  <r>
    <x v="59"/>
    <n v="1000006867"/>
    <s v="借呗18期"/>
    <n v="1"/>
    <n v="18000.080000000002"/>
    <s v="借呗"/>
    <x v="2"/>
    <x v="0"/>
    <x v="10"/>
    <s v="一组"/>
    <s v="南京一组"/>
    <s v="普通员工"/>
    <n v="18000.080000000002"/>
    <n v="2020"/>
    <x v="1"/>
  </r>
  <r>
    <x v="59"/>
    <n v="1000005873"/>
    <s v="借呗12期"/>
    <n v="1"/>
    <n v="17000.509999999998"/>
    <s v="借呗"/>
    <x v="0"/>
    <x v="0"/>
    <x v="0"/>
    <s v="二组"/>
    <s v="杭州二组"/>
    <s v="管理人员"/>
    <n v="17000.509999999998"/>
    <n v="2020"/>
    <x v="1"/>
  </r>
  <r>
    <x v="59"/>
    <n v="1000007197"/>
    <s v="借呗12期"/>
    <n v="1"/>
    <n v="17000.18"/>
    <s v="借呗"/>
    <x v="0"/>
    <x v="0"/>
    <x v="5"/>
    <s v="一组"/>
    <s v="合肥一组"/>
    <s v="普通员工"/>
    <n v="17000.18"/>
    <n v="2020"/>
    <x v="1"/>
  </r>
  <r>
    <x v="59"/>
    <n v="1000006698"/>
    <s v="借呗18期"/>
    <n v="1"/>
    <n v="17000.13"/>
    <s v="借呗"/>
    <x v="2"/>
    <x v="1"/>
    <x v="4"/>
    <s v="一组"/>
    <s v="成都一组"/>
    <s v="管理人员"/>
    <n v="17000.13"/>
    <n v="2020"/>
    <x v="1"/>
  </r>
  <r>
    <x v="59"/>
    <n v="1000004256"/>
    <s v="借呗6期"/>
    <n v="2"/>
    <n v="16501.060000000001"/>
    <s v="借呗"/>
    <x v="1"/>
    <x v="0"/>
    <x v="5"/>
    <s v="一组"/>
    <s v="合肥一组"/>
    <s v="普通员工"/>
    <n v="8250.5300000000007"/>
    <n v="2020"/>
    <x v="1"/>
  </r>
  <r>
    <x v="59"/>
    <n v="1000008239"/>
    <s v="借呗12期"/>
    <n v="1"/>
    <n v="16000.48"/>
    <s v="借呗"/>
    <x v="0"/>
    <x v="0"/>
    <x v="10"/>
    <s v="一组"/>
    <s v="南京一组"/>
    <s v="管理人员"/>
    <n v="16000.48"/>
    <n v="2020"/>
    <x v="1"/>
  </r>
  <r>
    <x v="59"/>
    <n v="1000000032"/>
    <s v="借呗6期"/>
    <n v="1"/>
    <n v="16000.35"/>
    <s v="借呗"/>
    <x v="1"/>
    <x v="0"/>
    <x v="1"/>
    <s v="一组"/>
    <s v="苏州一组"/>
    <s v="管理人员"/>
    <n v="16000.35"/>
    <n v="2020"/>
    <x v="1"/>
  </r>
  <r>
    <x v="59"/>
    <n v="1000000037"/>
    <s v="借呗18期"/>
    <n v="1"/>
    <n v="15000.03"/>
    <s v="借呗"/>
    <x v="2"/>
    <x v="0"/>
    <x v="0"/>
    <s v="二组"/>
    <s v="杭州二组"/>
    <s v="普通员工"/>
    <n v="15000.03"/>
    <n v="2020"/>
    <x v="1"/>
  </r>
  <r>
    <x v="59"/>
    <n v="1000000045"/>
    <s v="借呗12期"/>
    <n v="1"/>
    <n v="15000.03"/>
    <s v="借呗"/>
    <x v="0"/>
    <x v="2"/>
    <x v="9"/>
    <s v="一组"/>
    <s v="深圳一组"/>
    <s v="普通员工"/>
    <n v="15000.03"/>
    <n v="2020"/>
    <x v="1"/>
  </r>
  <r>
    <x v="59"/>
    <n v="1000000041"/>
    <s v="借呗12期"/>
    <n v="2"/>
    <n v="14400.58"/>
    <s v="借呗"/>
    <x v="0"/>
    <x v="1"/>
    <x v="2"/>
    <s v="四组"/>
    <s v="北京四组"/>
    <s v="普通员工"/>
    <n v="7200.29"/>
    <n v="2020"/>
    <x v="1"/>
  </r>
  <r>
    <x v="59"/>
    <n v="1000000056"/>
    <s v="借呗6期"/>
    <n v="1"/>
    <n v="13500.22"/>
    <s v="借呗"/>
    <x v="1"/>
    <x v="0"/>
    <x v="3"/>
    <s v="一组"/>
    <s v="上海一组"/>
    <s v="管理人员"/>
    <n v="13500.22"/>
    <n v="2020"/>
    <x v="1"/>
  </r>
  <r>
    <x v="59"/>
    <n v="1000000067"/>
    <s v="借呗12期"/>
    <n v="1"/>
    <n v="11000.09"/>
    <s v="借呗"/>
    <x v="0"/>
    <x v="0"/>
    <x v="1"/>
    <s v="二组"/>
    <s v="苏州二组"/>
    <s v="普通员工"/>
    <n v="11000.09"/>
    <n v="2020"/>
    <x v="1"/>
  </r>
  <r>
    <x v="59"/>
    <n v="1000008228"/>
    <s v="借呗6期"/>
    <n v="1"/>
    <n v="9000.58"/>
    <s v="借呗"/>
    <x v="1"/>
    <x v="1"/>
    <x v="2"/>
    <s v="三组"/>
    <s v="北京三组"/>
    <s v="普通员工"/>
    <n v="9000.58"/>
    <n v="2020"/>
    <x v="1"/>
  </r>
  <r>
    <x v="59"/>
    <n v="1000000041"/>
    <s v="借呗6期"/>
    <n v="1"/>
    <n v="7500.52"/>
    <s v="借呗"/>
    <x v="1"/>
    <x v="1"/>
    <x v="2"/>
    <s v="四组"/>
    <s v="北京四组"/>
    <s v="普通员工"/>
    <n v="7500.52"/>
    <n v="2020"/>
    <x v="1"/>
  </r>
  <r>
    <x v="59"/>
    <n v="1000000029"/>
    <s v="借呗18期"/>
    <n v="1"/>
    <n v="7000.77"/>
    <s v="借呗"/>
    <x v="2"/>
    <x v="0"/>
    <x v="0"/>
    <s v="二组"/>
    <s v="杭州二组"/>
    <s v="普通员工"/>
    <n v="7000.77"/>
    <n v="2020"/>
    <x v="1"/>
  </r>
  <r>
    <x v="59"/>
    <n v="1000000045"/>
    <s v="借呗6期"/>
    <n v="1"/>
    <n v="7000.74"/>
    <s v="借呗"/>
    <x v="1"/>
    <x v="2"/>
    <x v="9"/>
    <s v="一组"/>
    <s v="深圳一组"/>
    <s v="普通员工"/>
    <n v="7000.74"/>
    <n v="2020"/>
    <x v="1"/>
  </r>
  <r>
    <x v="59"/>
    <n v="1000000576"/>
    <s v="借呗12期"/>
    <n v="1"/>
    <n v="7000.39"/>
    <s v="借呗"/>
    <x v="0"/>
    <x v="0"/>
    <x v="1"/>
    <s v="三组"/>
    <s v="苏州三组"/>
    <s v="普通员工"/>
    <n v="7000.39"/>
    <n v="2020"/>
    <x v="1"/>
  </r>
  <r>
    <x v="59"/>
    <n v="1000000104"/>
    <s v="借呗18期"/>
    <n v="1"/>
    <n v="7000.23"/>
    <s v="借呗"/>
    <x v="2"/>
    <x v="0"/>
    <x v="5"/>
    <s v="一组"/>
    <s v="合肥一组"/>
    <s v="普通员工"/>
    <n v="7000.23"/>
    <n v="2020"/>
    <x v="1"/>
  </r>
  <r>
    <x v="59"/>
    <n v="1000003489"/>
    <s v="借呗12期"/>
    <n v="1"/>
    <n v="7000.03"/>
    <s v="借呗"/>
    <x v="0"/>
    <x v="2"/>
    <x v="6"/>
    <s v="一组"/>
    <s v="广州一组"/>
    <s v="普通员工"/>
    <n v="7000.03"/>
    <n v="2020"/>
    <x v="1"/>
  </r>
  <r>
    <x v="59"/>
    <n v="1000000033"/>
    <s v="借呗6期"/>
    <n v="1"/>
    <n v="6000.38"/>
    <s v="借呗"/>
    <x v="1"/>
    <x v="0"/>
    <x v="1"/>
    <s v="一组"/>
    <s v="苏州一组"/>
    <s v="普通员工"/>
    <n v="6000.38"/>
    <n v="2020"/>
    <x v="1"/>
  </r>
  <r>
    <x v="59"/>
    <n v="1000006698"/>
    <s v="借呗12期"/>
    <n v="1"/>
    <n v="6000.33"/>
    <s v="借呗"/>
    <x v="0"/>
    <x v="1"/>
    <x v="4"/>
    <s v="一组"/>
    <s v="成都一组"/>
    <s v="管理人员"/>
    <n v="6000.33"/>
    <n v="2020"/>
    <x v="1"/>
  </r>
  <r>
    <x v="59"/>
    <n v="1000000104"/>
    <s v="借呗12期"/>
    <n v="1"/>
    <n v="6000.22"/>
    <s v="借呗"/>
    <x v="0"/>
    <x v="0"/>
    <x v="5"/>
    <s v="一组"/>
    <s v="合肥一组"/>
    <s v="普通员工"/>
    <n v="6000.22"/>
    <n v="2020"/>
    <x v="1"/>
  </r>
  <r>
    <x v="59"/>
    <n v="1000000044"/>
    <s v="借呗6期"/>
    <n v="1"/>
    <n v="5000.72"/>
    <s v="借呗"/>
    <x v="1"/>
    <x v="1"/>
    <x v="2"/>
    <s v="三组"/>
    <s v="北京三组"/>
    <s v="管理人员"/>
    <n v="5000.72"/>
    <n v="2020"/>
    <x v="1"/>
  </r>
  <r>
    <x v="59"/>
    <n v="1000005873"/>
    <s v="借呗6期"/>
    <n v="1"/>
    <n v="3000.58"/>
    <s v="借呗"/>
    <x v="1"/>
    <x v="0"/>
    <x v="0"/>
    <s v="二组"/>
    <s v="杭州二组"/>
    <s v="管理人员"/>
    <n v="3000.58"/>
    <n v="2020"/>
    <x v="1"/>
  </r>
  <r>
    <x v="59"/>
    <n v="1000010255"/>
    <s v="借呗6期"/>
    <n v="1"/>
    <n v="3000.52"/>
    <s v="借呗"/>
    <x v="1"/>
    <x v="2"/>
    <x v="6"/>
    <s v="三组"/>
    <s v="广州三组"/>
    <s v="普通员工"/>
    <n v="3000.52"/>
    <n v="2020"/>
    <x v="1"/>
  </r>
  <r>
    <x v="59"/>
    <n v="1000006859"/>
    <s v="借呗6期"/>
    <n v="1"/>
    <n v="2000.38"/>
    <s v="借呗"/>
    <x v="1"/>
    <x v="0"/>
    <x v="10"/>
    <s v="一组"/>
    <s v="南京一组"/>
    <s v="普通员工"/>
    <n v="2000.38"/>
    <n v="2020"/>
    <x v="1"/>
  </r>
  <r>
    <x v="59"/>
    <n v="1000000237"/>
    <s v="借呗12期"/>
    <n v="1"/>
    <n v="1127.54"/>
    <s v="借呗"/>
    <x v="0"/>
    <x v="0"/>
    <x v="5"/>
    <s v="一组"/>
    <s v="合肥一组"/>
    <s v="普通员工"/>
    <n v="1127.54"/>
    <n v="2020"/>
    <x v="1"/>
  </r>
  <r>
    <x v="59"/>
    <n v="1000000036"/>
    <s v="借呗12期"/>
    <n v="1"/>
    <n v="1000.46"/>
    <s v="借呗"/>
    <x v="0"/>
    <x v="2"/>
    <x v="6"/>
    <s v="三组"/>
    <s v="广州三组"/>
    <s v="管理人员"/>
    <n v="1000.46"/>
    <n v="2020"/>
    <x v="1"/>
  </r>
  <r>
    <x v="59"/>
    <n v="1000001513"/>
    <s v="借呗12期"/>
    <n v="1"/>
    <n v="985.24"/>
    <s v="借呗"/>
    <x v="0"/>
    <x v="0"/>
    <x v="3"/>
    <s v="二组"/>
    <s v="上海二组"/>
    <s v="普通员工"/>
    <n v="985.24"/>
    <n v="2020"/>
    <x v="1"/>
  </r>
  <r>
    <x v="59"/>
    <n v="1000004256"/>
    <s v="借呗12期"/>
    <n v="1"/>
    <n v="700.09"/>
    <s v="借呗"/>
    <x v="0"/>
    <x v="0"/>
    <x v="5"/>
    <s v="一组"/>
    <s v="合肥一组"/>
    <s v="普通员工"/>
    <n v="700.09"/>
    <n v="2020"/>
    <x v="1"/>
  </r>
  <r>
    <x v="59"/>
    <n v="1000004256"/>
    <s v="借呗18期"/>
    <n v="1"/>
    <n v="695.38"/>
    <s v="借呗"/>
    <x v="2"/>
    <x v="0"/>
    <x v="5"/>
    <s v="一组"/>
    <s v="合肥一组"/>
    <s v="普通员工"/>
    <n v="695.38"/>
    <n v="2020"/>
    <x v="1"/>
  </r>
  <r>
    <x v="59"/>
    <n v="1000000237"/>
    <s v="借呗18期"/>
    <n v="1"/>
    <n v="695.09"/>
    <s v="借呗"/>
    <x v="2"/>
    <x v="0"/>
    <x v="5"/>
    <s v="一组"/>
    <s v="合肥一组"/>
    <s v="普通员工"/>
    <n v="695.09"/>
    <n v="2020"/>
    <x v="1"/>
  </r>
  <r>
    <x v="59"/>
    <n v="1000000036"/>
    <s v="花呗12期"/>
    <n v="1"/>
    <n v="659.38"/>
    <s v="花呗"/>
    <x v="0"/>
    <x v="2"/>
    <x v="6"/>
    <s v="三组"/>
    <s v="广州三组"/>
    <s v="管理人员"/>
    <n v="659.38"/>
    <n v="2020"/>
    <x v="1"/>
  </r>
  <r>
    <x v="59"/>
    <n v="1000000028"/>
    <s v="借呗12期"/>
    <n v="1"/>
    <n v="585.71"/>
    <s v="借呗"/>
    <x v="0"/>
    <x v="0"/>
    <x v="0"/>
    <s v="二组"/>
    <s v="杭州二组"/>
    <s v="普通员工"/>
    <n v="585.71"/>
    <n v="2020"/>
    <x v="1"/>
  </r>
  <r>
    <x v="59"/>
    <n v="1000006064"/>
    <s v="借呗12期"/>
    <n v="1"/>
    <n v="500.29"/>
    <s v="借呗"/>
    <x v="0"/>
    <x v="0"/>
    <x v="5"/>
    <s v="一组"/>
    <s v="合肥一组"/>
    <s v="普通员工"/>
    <n v="500.29"/>
    <n v="2020"/>
    <x v="1"/>
  </r>
  <r>
    <x v="60"/>
    <n v="1000000050"/>
    <s v="借呗18期"/>
    <n v="2"/>
    <n v="34000.25"/>
    <s v="借呗"/>
    <x v="2"/>
    <x v="0"/>
    <x v="5"/>
    <s v="一组"/>
    <s v="合肥一组"/>
    <s v="普通员工"/>
    <n v="17000.125"/>
    <n v="2020"/>
    <x v="1"/>
  </r>
  <r>
    <x v="60"/>
    <n v="1000000043"/>
    <s v="借呗18期"/>
    <n v="1"/>
    <n v="32000.6"/>
    <s v="借呗"/>
    <x v="2"/>
    <x v="1"/>
    <x v="4"/>
    <s v="一组"/>
    <s v="成都一组"/>
    <s v="普通员工"/>
    <n v="32000.6"/>
    <n v="2020"/>
    <x v="1"/>
  </r>
  <r>
    <x v="60"/>
    <n v="1000000928"/>
    <s v="借呗12期"/>
    <n v="2"/>
    <n v="26000.11"/>
    <s v="借呗"/>
    <x v="0"/>
    <x v="1"/>
    <x v="8"/>
    <s v="一组"/>
    <s v="西安一组"/>
    <s v="普通员工"/>
    <n v="13000.055"/>
    <n v="2020"/>
    <x v="1"/>
  </r>
  <r>
    <x v="60"/>
    <n v="1000000044"/>
    <s v="借呗12期"/>
    <n v="1"/>
    <n v="20000.05"/>
    <s v="借呗"/>
    <x v="0"/>
    <x v="1"/>
    <x v="2"/>
    <s v="三组"/>
    <s v="北京三组"/>
    <s v="管理人员"/>
    <n v="20000.05"/>
    <n v="2020"/>
    <x v="1"/>
  </r>
  <r>
    <x v="60"/>
    <n v="1000000040"/>
    <s v="借呗6期"/>
    <n v="1"/>
    <n v="19999.97"/>
    <s v="借呗"/>
    <x v="1"/>
    <x v="1"/>
    <x v="2"/>
    <s v="四组"/>
    <s v="北京四组"/>
    <s v="管理人员"/>
    <n v="19999.97"/>
    <n v="2020"/>
    <x v="1"/>
  </r>
  <r>
    <x v="60"/>
    <n v="1000000032"/>
    <s v="借呗12期"/>
    <n v="2"/>
    <n v="19000.739999999998"/>
    <s v="借呗"/>
    <x v="0"/>
    <x v="0"/>
    <x v="1"/>
    <s v="一组"/>
    <s v="苏州一组"/>
    <s v="管理人员"/>
    <n v="9500.3700000000008"/>
    <n v="2020"/>
    <x v="1"/>
  </r>
  <r>
    <x v="60"/>
    <n v="1000000104"/>
    <s v="借呗18期"/>
    <n v="2"/>
    <n v="17500.54"/>
    <s v="借呗"/>
    <x v="2"/>
    <x v="0"/>
    <x v="5"/>
    <s v="一组"/>
    <s v="合肥一组"/>
    <s v="普通员工"/>
    <n v="8750.27"/>
    <n v="2020"/>
    <x v="1"/>
  </r>
  <r>
    <x v="60"/>
    <n v="1000006860"/>
    <s v="借呗18期"/>
    <n v="1"/>
    <n v="17000.39"/>
    <s v="借呗"/>
    <x v="2"/>
    <x v="0"/>
    <x v="10"/>
    <s v="一组"/>
    <s v="南京一组"/>
    <s v="普通员工"/>
    <n v="17000.39"/>
    <n v="2020"/>
    <x v="1"/>
  </r>
  <r>
    <x v="60"/>
    <n v="1000000037"/>
    <s v="借呗12期"/>
    <n v="1"/>
    <n v="17000.07"/>
    <s v="借呗"/>
    <x v="0"/>
    <x v="0"/>
    <x v="0"/>
    <s v="二组"/>
    <s v="杭州二组"/>
    <s v="普通员工"/>
    <n v="17000.07"/>
    <n v="2020"/>
    <x v="1"/>
  </r>
  <r>
    <x v="60"/>
    <n v="1000000031"/>
    <s v="借呗12期"/>
    <n v="2"/>
    <n v="16924.78"/>
    <s v="借呗"/>
    <x v="0"/>
    <x v="0"/>
    <x v="0"/>
    <s v="一组"/>
    <s v="杭州一组"/>
    <s v="管理人员"/>
    <n v="8462.39"/>
    <n v="2020"/>
    <x v="1"/>
  </r>
  <r>
    <x v="60"/>
    <n v="1000006869"/>
    <s v="借呗6期"/>
    <n v="1"/>
    <n v="15000.62"/>
    <s v="借呗"/>
    <x v="1"/>
    <x v="0"/>
    <x v="10"/>
    <s v="一组"/>
    <s v="南京一组"/>
    <s v="普通员工"/>
    <n v="15000.62"/>
    <n v="2020"/>
    <x v="1"/>
  </r>
  <r>
    <x v="60"/>
    <n v="1000000067"/>
    <s v="借呗6期"/>
    <n v="1"/>
    <n v="14000.13"/>
    <s v="借呗"/>
    <x v="1"/>
    <x v="0"/>
    <x v="1"/>
    <s v="二组"/>
    <s v="苏州二组"/>
    <s v="普通员工"/>
    <n v="14000.13"/>
    <n v="2020"/>
    <x v="1"/>
  </r>
  <r>
    <x v="60"/>
    <n v="1000000031"/>
    <s v="借呗18期"/>
    <n v="1"/>
    <n v="13000.56"/>
    <s v="借呗"/>
    <x v="2"/>
    <x v="0"/>
    <x v="0"/>
    <s v="一组"/>
    <s v="杭州一组"/>
    <s v="管理人员"/>
    <n v="13000.56"/>
    <n v="2020"/>
    <x v="1"/>
  </r>
  <r>
    <x v="60"/>
    <n v="1000008957"/>
    <s v="借呗18期"/>
    <n v="1"/>
    <n v="12000.47"/>
    <s v="借呗"/>
    <x v="2"/>
    <x v="0"/>
    <x v="3"/>
    <s v="二组"/>
    <s v="上海二组"/>
    <s v="普通员工"/>
    <n v="12000.47"/>
    <n v="2020"/>
    <x v="1"/>
  </r>
  <r>
    <x v="60"/>
    <n v="1000000566"/>
    <s v="借呗18期"/>
    <n v="2"/>
    <n v="12000.449999999999"/>
    <s v="借呗"/>
    <x v="2"/>
    <x v="2"/>
    <x v="6"/>
    <s v="三组"/>
    <s v="广州三组"/>
    <s v="普通员工"/>
    <n v="6000.2249999999995"/>
    <n v="2020"/>
    <x v="1"/>
  </r>
  <r>
    <x v="60"/>
    <n v="1000000029"/>
    <s v="借呗6期"/>
    <n v="3"/>
    <n v="11486.3"/>
    <s v="借呗"/>
    <x v="1"/>
    <x v="0"/>
    <x v="0"/>
    <s v="二组"/>
    <s v="杭州二组"/>
    <s v="普通员工"/>
    <n v="3828.7666666666664"/>
    <n v="2020"/>
    <x v="1"/>
  </r>
  <r>
    <x v="60"/>
    <n v="1000000045"/>
    <s v="借呗12期"/>
    <n v="1"/>
    <n v="10999.99"/>
    <s v="借呗"/>
    <x v="0"/>
    <x v="2"/>
    <x v="9"/>
    <s v="一组"/>
    <s v="深圳一组"/>
    <s v="普通员工"/>
    <n v="10999.99"/>
    <n v="2020"/>
    <x v="1"/>
  </r>
  <r>
    <x v="60"/>
    <n v="1000003803"/>
    <s v="借呗12期"/>
    <n v="1"/>
    <n v="10000.1"/>
    <s v="借呗"/>
    <x v="0"/>
    <x v="1"/>
    <x v="2"/>
    <s v="三组"/>
    <s v="北京三组"/>
    <s v="普通员工"/>
    <n v="10000.1"/>
    <n v="2020"/>
    <x v="1"/>
  </r>
  <r>
    <x v="60"/>
    <n v="1000000039"/>
    <s v="借呗18期"/>
    <n v="1"/>
    <n v="9999.9500000000007"/>
    <s v="借呗"/>
    <x v="2"/>
    <x v="0"/>
    <x v="1"/>
    <s v="二组"/>
    <s v="苏州二组"/>
    <s v="管理人员"/>
    <n v="9999.9500000000007"/>
    <n v="2020"/>
    <x v="1"/>
  </r>
  <r>
    <x v="60"/>
    <n v="1000000033"/>
    <s v="借呗6期"/>
    <n v="2"/>
    <n v="9866.3700000000008"/>
    <s v="借呗"/>
    <x v="1"/>
    <x v="0"/>
    <x v="1"/>
    <s v="一组"/>
    <s v="苏州一组"/>
    <s v="普通员工"/>
    <n v="4933.1850000000004"/>
    <n v="2020"/>
    <x v="1"/>
  </r>
  <r>
    <x v="60"/>
    <n v="1000000104"/>
    <s v="借呗12期"/>
    <n v="1"/>
    <n v="7000.72"/>
    <s v="借呗"/>
    <x v="0"/>
    <x v="0"/>
    <x v="5"/>
    <s v="一组"/>
    <s v="合肥一组"/>
    <s v="普通员工"/>
    <n v="7000.72"/>
    <n v="2020"/>
    <x v="1"/>
  </r>
  <r>
    <x v="60"/>
    <n v="1000000028"/>
    <s v="借呗12期"/>
    <n v="1"/>
    <n v="7000.34"/>
    <s v="借呗"/>
    <x v="0"/>
    <x v="0"/>
    <x v="0"/>
    <s v="二组"/>
    <s v="杭州二组"/>
    <s v="普通员工"/>
    <n v="7000.34"/>
    <n v="2020"/>
    <x v="1"/>
  </r>
  <r>
    <x v="60"/>
    <n v="1000000037"/>
    <s v="借呗6期"/>
    <n v="1"/>
    <n v="6000.37"/>
    <s v="借呗"/>
    <x v="1"/>
    <x v="0"/>
    <x v="0"/>
    <s v="二组"/>
    <s v="杭州二组"/>
    <s v="普通员工"/>
    <n v="6000.37"/>
    <n v="2020"/>
    <x v="1"/>
  </r>
  <r>
    <x v="60"/>
    <n v="1000000030"/>
    <s v="借呗6期"/>
    <n v="1"/>
    <n v="6000.28"/>
    <s v="借呗"/>
    <x v="1"/>
    <x v="2"/>
    <x v="6"/>
    <s v="三组"/>
    <s v="广州三组"/>
    <s v="普通员工"/>
    <n v="6000.28"/>
    <n v="2020"/>
    <x v="1"/>
  </r>
  <r>
    <x v="60"/>
    <n v="1000000041"/>
    <s v="借呗6期"/>
    <n v="1"/>
    <n v="6000.1"/>
    <s v="借呗"/>
    <x v="1"/>
    <x v="1"/>
    <x v="2"/>
    <s v="四组"/>
    <s v="北京四组"/>
    <s v="普通员工"/>
    <n v="6000.1"/>
    <n v="2020"/>
    <x v="1"/>
  </r>
  <r>
    <x v="60"/>
    <n v="1000000044"/>
    <s v="借呗6期"/>
    <n v="1"/>
    <n v="5999.97"/>
    <s v="借呗"/>
    <x v="1"/>
    <x v="1"/>
    <x v="2"/>
    <s v="三组"/>
    <s v="北京三组"/>
    <s v="管理人员"/>
    <n v="5999.97"/>
    <n v="2020"/>
    <x v="1"/>
  </r>
  <r>
    <x v="60"/>
    <n v="1000000032"/>
    <s v="借呗18期"/>
    <n v="1"/>
    <n v="5500.15"/>
    <s v="借呗"/>
    <x v="2"/>
    <x v="0"/>
    <x v="1"/>
    <s v="一组"/>
    <s v="苏州一组"/>
    <s v="管理人员"/>
    <n v="5500.15"/>
    <n v="2020"/>
    <x v="1"/>
  </r>
  <r>
    <x v="60"/>
    <n v="1000000054"/>
    <s v="借呗12期"/>
    <n v="1"/>
    <n v="5000.76"/>
    <s v="借呗"/>
    <x v="0"/>
    <x v="0"/>
    <x v="3"/>
    <s v="一组"/>
    <s v="上海一组"/>
    <s v="普通员工"/>
    <n v="5000.76"/>
    <n v="2020"/>
    <x v="1"/>
  </r>
  <r>
    <x v="60"/>
    <n v="1000000046"/>
    <s v="借呗18期"/>
    <n v="1"/>
    <n v="2000.59"/>
    <s v="借呗"/>
    <x v="2"/>
    <x v="1"/>
    <x v="4"/>
    <s v="一组"/>
    <s v="成都一组"/>
    <s v="普通员工"/>
    <n v="2000.59"/>
    <n v="2020"/>
    <x v="1"/>
  </r>
  <r>
    <x v="60"/>
    <n v="1000000067"/>
    <s v="借呗12期"/>
    <n v="1"/>
    <n v="1780.63"/>
    <s v="借呗"/>
    <x v="0"/>
    <x v="0"/>
    <x v="1"/>
    <s v="二组"/>
    <s v="苏州二组"/>
    <s v="普通员工"/>
    <n v="1780.63"/>
    <n v="2020"/>
    <x v="1"/>
  </r>
  <r>
    <x v="60"/>
    <n v="1000003926"/>
    <s v="借呗6期"/>
    <n v="1"/>
    <n v="1513.15"/>
    <s v="借呗"/>
    <x v="1"/>
    <x v="2"/>
    <x v="6"/>
    <s v="一组"/>
    <s v="广州一组"/>
    <s v="管理人员"/>
    <n v="1513.15"/>
    <n v="2020"/>
    <x v="1"/>
  </r>
  <r>
    <x v="60"/>
    <n v="1000000041"/>
    <s v="借呗18期"/>
    <n v="1"/>
    <n v="1228.05"/>
    <s v="借呗"/>
    <x v="2"/>
    <x v="1"/>
    <x v="2"/>
    <s v="四组"/>
    <s v="北京四组"/>
    <s v="普通员工"/>
    <n v="1228.05"/>
    <n v="2020"/>
    <x v="1"/>
  </r>
  <r>
    <x v="60"/>
    <n v="1000006064"/>
    <s v="借呗12期"/>
    <n v="1"/>
    <n v="1000.15"/>
    <s v="借呗"/>
    <x v="0"/>
    <x v="0"/>
    <x v="5"/>
    <s v="一组"/>
    <s v="合肥一组"/>
    <s v="普通员工"/>
    <n v="1000.15"/>
    <n v="2020"/>
    <x v="1"/>
  </r>
  <r>
    <x v="60"/>
    <n v="1000000029"/>
    <s v="借呗12期"/>
    <n v="1"/>
    <n v="800.54"/>
    <s v="借呗"/>
    <x v="0"/>
    <x v="0"/>
    <x v="0"/>
    <s v="二组"/>
    <s v="杭州二组"/>
    <s v="普通员工"/>
    <n v="800.54"/>
    <n v="2020"/>
    <x v="1"/>
  </r>
  <r>
    <x v="60"/>
    <n v="1000000032"/>
    <s v="借呗6期"/>
    <n v="1"/>
    <n v="500.11"/>
    <s v="借呗"/>
    <x v="1"/>
    <x v="0"/>
    <x v="1"/>
    <s v="一组"/>
    <s v="苏州一组"/>
    <s v="管理人员"/>
    <n v="500.11"/>
    <n v="2020"/>
    <x v="1"/>
  </r>
  <r>
    <x v="61"/>
    <n v="1000000029"/>
    <s v="借呗6期"/>
    <n v="1"/>
    <n v="8000.36"/>
    <s v="借呗"/>
    <x v="1"/>
    <x v="0"/>
    <x v="0"/>
    <s v="二组"/>
    <s v="杭州二组"/>
    <s v="普通员工"/>
    <n v="8000.36"/>
    <n v="2020"/>
    <x v="2"/>
  </r>
  <r>
    <x v="61"/>
    <n v="1000000029"/>
    <s v="借呗12期"/>
    <n v="1"/>
    <n v="5500.58"/>
    <s v="借呗"/>
    <x v="0"/>
    <x v="0"/>
    <x v="0"/>
    <s v="二组"/>
    <s v="杭州二组"/>
    <s v="普通员工"/>
    <n v="5500.58"/>
    <n v="2020"/>
    <x v="2"/>
  </r>
  <r>
    <x v="62"/>
    <n v="1000000029"/>
    <s v="借呗6期"/>
    <n v="2"/>
    <n v="22096.800000000003"/>
    <s v="借呗"/>
    <x v="1"/>
    <x v="0"/>
    <x v="0"/>
    <s v="二组"/>
    <s v="杭州二组"/>
    <s v="普通员工"/>
    <n v="11048.400000000001"/>
    <n v="2020"/>
    <x v="2"/>
  </r>
  <r>
    <x v="62"/>
    <n v="1000000029"/>
    <s v="借呗18期"/>
    <n v="1"/>
    <n v="20000.62"/>
    <s v="借呗"/>
    <x v="2"/>
    <x v="0"/>
    <x v="0"/>
    <s v="二组"/>
    <s v="杭州二组"/>
    <s v="普通员工"/>
    <n v="20000.62"/>
    <n v="2020"/>
    <x v="2"/>
  </r>
  <r>
    <x v="63"/>
    <n v="1000000029"/>
    <s v="借呗6期"/>
    <n v="2"/>
    <n v="2902.38"/>
    <s v="借呗"/>
    <x v="1"/>
    <x v="0"/>
    <x v="0"/>
    <s v="二组"/>
    <s v="杭州二组"/>
    <s v="普通员工"/>
    <n v="1451.19"/>
    <n v="2020"/>
    <x v="2"/>
  </r>
  <r>
    <x v="63"/>
    <n v="1000000029"/>
    <s v="借呗12期"/>
    <n v="1"/>
    <n v="5001.25"/>
    <s v="借呗"/>
    <x v="0"/>
    <x v="0"/>
    <x v="0"/>
    <s v="二组"/>
    <s v="杭州二组"/>
    <s v="普通员工"/>
    <n v="5001.25"/>
    <n v="2020"/>
    <x v="2"/>
  </r>
  <r>
    <x v="63"/>
    <n v="1000000028"/>
    <s v="借呗6期"/>
    <n v="1"/>
    <n v="1000.98"/>
    <s v="借呗"/>
    <x v="1"/>
    <x v="0"/>
    <x v="0"/>
    <s v="二组"/>
    <s v="杭州二组"/>
    <s v="普通员工"/>
    <n v="1000.98"/>
    <n v="2020"/>
    <x v="2"/>
  </r>
  <r>
    <x v="61"/>
    <n v="1000000030"/>
    <s v="借呗12期"/>
    <n v="1"/>
    <n v="6000.71"/>
    <s v="借呗"/>
    <x v="0"/>
    <x v="2"/>
    <x v="6"/>
    <s v="三组"/>
    <s v="广州三组"/>
    <s v="普通员工"/>
    <n v="6000.71"/>
    <n v="2020"/>
    <x v="2"/>
  </r>
  <r>
    <x v="62"/>
    <n v="1000000030"/>
    <s v="借呗6期"/>
    <n v="1"/>
    <n v="5500.15"/>
    <s v="借呗"/>
    <x v="1"/>
    <x v="2"/>
    <x v="6"/>
    <s v="三组"/>
    <s v="广州三组"/>
    <s v="普通员工"/>
    <n v="5500.15"/>
    <n v="2020"/>
    <x v="2"/>
  </r>
  <r>
    <x v="63"/>
    <n v="1000000030"/>
    <s v="借呗6期"/>
    <n v="1"/>
    <n v="1999.97"/>
    <s v="借呗"/>
    <x v="1"/>
    <x v="2"/>
    <x v="6"/>
    <s v="三组"/>
    <s v="广州三组"/>
    <s v="普通员工"/>
    <n v="1999.97"/>
    <n v="2020"/>
    <x v="2"/>
  </r>
  <r>
    <x v="63"/>
    <n v="1000000030"/>
    <s v="借呗12期"/>
    <n v="1"/>
    <n v="7000.35"/>
    <s v="借呗"/>
    <x v="0"/>
    <x v="2"/>
    <x v="6"/>
    <s v="三组"/>
    <s v="广州三组"/>
    <s v="普通员工"/>
    <n v="7000.35"/>
    <n v="2020"/>
    <x v="2"/>
  </r>
  <r>
    <x v="61"/>
    <n v="1000000031"/>
    <s v="借呗6期"/>
    <n v="1"/>
    <n v="10000.719999999999"/>
    <s v="借呗"/>
    <x v="1"/>
    <x v="0"/>
    <x v="0"/>
    <s v="一组"/>
    <s v="杭州一组"/>
    <s v="管理人员"/>
    <n v="10000.719999999999"/>
    <n v="2020"/>
    <x v="2"/>
  </r>
  <r>
    <x v="61"/>
    <n v="1000000031"/>
    <s v="借呗12期"/>
    <n v="1"/>
    <n v="15000.26"/>
    <s v="借呗"/>
    <x v="0"/>
    <x v="0"/>
    <x v="0"/>
    <s v="一组"/>
    <s v="杭州一组"/>
    <s v="管理人员"/>
    <n v="15000.26"/>
    <n v="2020"/>
    <x v="2"/>
  </r>
  <r>
    <x v="62"/>
    <n v="1000000031"/>
    <s v="借呗6期"/>
    <n v="2"/>
    <n v="17500.260000000002"/>
    <s v="借呗"/>
    <x v="1"/>
    <x v="0"/>
    <x v="0"/>
    <s v="一组"/>
    <s v="杭州一组"/>
    <s v="管理人员"/>
    <n v="8750.130000000001"/>
    <n v="2020"/>
    <x v="2"/>
  </r>
  <r>
    <x v="62"/>
    <n v="1000000031"/>
    <s v="借呗12期"/>
    <n v="1"/>
    <n v="14000.6"/>
    <s v="借呗"/>
    <x v="0"/>
    <x v="0"/>
    <x v="0"/>
    <s v="一组"/>
    <s v="杭州一组"/>
    <s v="管理人员"/>
    <n v="14000.6"/>
    <n v="2020"/>
    <x v="2"/>
  </r>
  <r>
    <x v="62"/>
    <n v="1000000031"/>
    <s v="借呗18期"/>
    <n v="1"/>
    <n v="849.01"/>
    <s v="借呗"/>
    <x v="2"/>
    <x v="0"/>
    <x v="0"/>
    <s v="一组"/>
    <s v="杭州一组"/>
    <s v="管理人员"/>
    <n v="849.01"/>
    <n v="2020"/>
    <x v="2"/>
  </r>
  <r>
    <x v="63"/>
    <n v="1000000031"/>
    <s v="借呗12期"/>
    <n v="5"/>
    <n v="59192.03"/>
    <s v="借呗"/>
    <x v="0"/>
    <x v="0"/>
    <x v="0"/>
    <s v="一组"/>
    <s v="杭州一组"/>
    <s v="管理人员"/>
    <n v="11838.405999999999"/>
    <n v="2020"/>
    <x v="2"/>
  </r>
  <r>
    <x v="63"/>
    <n v="1000000031"/>
    <s v="借呗18期"/>
    <n v="1"/>
    <n v="500.75"/>
    <s v="借呗"/>
    <x v="2"/>
    <x v="0"/>
    <x v="0"/>
    <s v="一组"/>
    <s v="杭州一组"/>
    <s v="管理人员"/>
    <n v="500.75"/>
    <n v="2020"/>
    <x v="2"/>
  </r>
  <r>
    <x v="61"/>
    <n v="1000000032"/>
    <s v="借呗6期"/>
    <n v="3"/>
    <n v="38000.94"/>
    <s v="借呗"/>
    <x v="1"/>
    <x v="0"/>
    <x v="1"/>
    <s v="一组"/>
    <s v="苏州一组"/>
    <s v="管理人员"/>
    <n v="12666.980000000001"/>
    <n v="2020"/>
    <x v="2"/>
  </r>
  <r>
    <x v="61"/>
    <n v="1000000032"/>
    <s v="借呗12期"/>
    <n v="2"/>
    <n v="8675.91"/>
    <s v="借呗"/>
    <x v="0"/>
    <x v="0"/>
    <x v="1"/>
    <s v="一组"/>
    <s v="苏州一组"/>
    <s v="管理人员"/>
    <n v="4337.9549999999999"/>
    <n v="2020"/>
    <x v="2"/>
  </r>
  <r>
    <x v="61"/>
    <n v="1000000032"/>
    <s v="借呗18期"/>
    <n v="1"/>
    <n v="1000.22"/>
    <s v="借呗"/>
    <x v="2"/>
    <x v="0"/>
    <x v="1"/>
    <s v="一组"/>
    <s v="苏州一组"/>
    <s v="管理人员"/>
    <n v="1000.22"/>
    <n v="2020"/>
    <x v="2"/>
  </r>
  <r>
    <x v="62"/>
    <n v="1000000032"/>
    <s v="借呗6期"/>
    <n v="1"/>
    <n v="875.32"/>
    <s v="借呗"/>
    <x v="1"/>
    <x v="0"/>
    <x v="1"/>
    <s v="一组"/>
    <s v="苏州一组"/>
    <s v="管理人员"/>
    <n v="875.32"/>
    <n v="2020"/>
    <x v="2"/>
  </r>
  <r>
    <x v="62"/>
    <n v="1000000032"/>
    <s v="借呗12期"/>
    <n v="1"/>
    <n v="11000.62"/>
    <s v="借呗"/>
    <x v="0"/>
    <x v="0"/>
    <x v="1"/>
    <s v="一组"/>
    <s v="苏州一组"/>
    <s v="管理人员"/>
    <n v="11000.62"/>
    <n v="2020"/>
    <x v="2"/>
  </r>
  <r>
    <x v="63"/>
    <n v="1000000032"/>
    <s v="借呗12期"/>
    <n v="2"/>
    <n v="29000.83"/>
    <s v="借呗"/>
    <x v="0"/>
    <x v="0"/>
    <x v="1"/>
    <s v="一组"/>
    <s v="苏州一组"/>
    <s v="管理人员"/>
    <n v="14500.415000000001"/>
    <n v="2020"/>
    <x v="2"/>
  </r>
  <r>
    <x v="62"/>
    <n v="1000000033"/>
    <s v="借呗12期"/>
    <n v="1"/>
    <n v="20000.009999999998"/>
    <s v="借呗"/>
    <x v="0"/>
    <x v="0"/>
    <x v="1"/>
    <s v="一组"/>
    <s v="苏州一组"/>
    <s v="普通员工"/>
    <n v="20000.009999999998"/>
    <n v="2020"/>
    <x v="2"/>
  </r>
  <r>
    <x v="63"/>
    <n v="1000000033"/>
    <s v="借呗12期"/>
    <n v="1"/>
    <n v="6000.24"/>
    <s v="借呗"/>
    <x v="0"/>
    <x v="0"/>
    <x v="1"/>
    <s v="一组"/>
    <s v="苏州一组"/>
    <s v="普通员工"/>
    <n v="6000.24"/>
    <n v="2020"/>
    <x v="2"/>
  </r>
  <r>
    <x v="62"/>
    <n v="1000000034"/>
    <s v="借呗12期"/>
    <n v="1"/>
    <n v="1747.48"/>
    <s v="借呗"/>
    <x v="0"/>
    <x v="0"/>
    <x v="1"/>
    <s v="一组"/>
    <s v="苏州一组"/>
    <s v="普通员工"/>
    <n v="1747.48"/>
    <n v="2020"/>
    <x v="2"/>
  </r>
  <r>
    <x v="61"/>
    <n v="1000000035"/>
    <s v="借呗6期"/>
    <n v="1"/>
    <n v="1657.59"/>
    <s v="借呗"/>
    <x v="1"/>
    <x v="0"/>
    <x v="1"/>
    <s v="三组"/>
    <s v="苏州三组"/>
    <s v="普通员工"/>
    <n v="1657.59"/>
    <n v="2020"/>
    <x v="2"/>
  </r>
  <r>
    <x v="61"/>
    <n v="1000000036"/>
    <s v="借呗12期"/>
    <n v="1"/>
    <n v="10000.1"/>
    <s v="借呗"/>
    <x v="0"/>
    <x v="2"/>
    <x v="6"/>
    <s v="三组"/>
    <s v="广州三组"/>
    <s v="管理人员"/>
    <n v="10000.1"/>
    <n v="2020"/>
    <x v="2"/>
  </r>
  <r>
    <x v="61"/>
    <n v="1000000036"/>
    <s v="借呗18期"/>
    <n v="1"/>
    <n v="1261.74"/>
    <s v="借呗"/>
    <x v="2"/>
    <x v="2"/>
    <x v="6"/>
    <s v="三组"/>
    <s v="广州三组"/>
    <s v="管理人员"/>
    <n v="1261.74"/>
    <n v="2020"/>
    <x v="2"/>
  </r>
  <r>
    <x v="63"/>
    <n v="1000000036"/>
    <s v="花呗18期"/>
    <n v="1"/>
    <n v="5388.38"/>
    <s v="花呗"/>
    <x v="2"/>
    <x v="2"/>
    <x v="6"/>
    <s v="三组"/>
    <s v="广州三组"/>
    <s v="管理人员"/>
    <n v="5388.38"/>
    <n v="2020"/>
    <x v="2"/>
  </r>
  <r>
    <x v="63"/>
    <n v="1000000036"/>
    <s v="借呗6期"/>
    <n v="1"/>
    <n v="5114.62"/>
    <s v="借呗"/>
    <x v="1"/>
    <x v="2"/>
    <x v="6"/>
    <s v="三组"/>
    <s v="广州三组"/>
    <s v="管理人员"/>
    <n v="5114.62"/>
    <n v="2020"/>
    <x v="2"/>
  </r>
  <r>
    <x v="63"/>
    <n v="1000000036"/>
    <s v="借呗12期"/>
    <n v="1"/>
    <n v="17000.75"/>
    <s v="借呗"/>
    <x v="0"/>
    <x v="2"/>
    <x v="6"/>
    <s v="三组"/>
    <s v="广州三组"/>
    <s v="管理人员"/>
    <n v="17000.75"/>
    <n v="2020"/>
    <x v="2"/>
  </r>
  <r>
    <x v="61"/>
    <n v="1000000037"/>
    <s v="借呗18期"/>
    <n v="1"/>
    <n v="12000.24"/>
    <s v="借呗"/>
    <x v="2"/>
    <x v="0"/>
    <x v="0"/>
    <s v="二组"/>
    <s v="杭州二组"/>
    <s v="普通员工"/>
    <n v="12000.24"/>
    <n v="2020"/>
    <x v="2"/>
  </r>
  <r>
    <x v="62"/>
    <n v="1000000037"/>
    <s v="借呗6期"/>
    <n v="1"/>
    <n v="7000.18"/>
    <s v="借呗"/>
    <x v="1"/>
    <x v="0"/>
    <x v="0"/>
    <s v="二组"/>
    <s v="杭州二组"/>
    <s v="普通员工"/>
    <n v="7000.18"/>
    <n v="2020"/>
    <x v="2"/>
  </r>
  <r>
    <x v="62"/>
    <n v="1000000037"/>
    <s v="借呗12期"/>
    <n v="2"/>
    <n v="36000.449999999997"/>
    <s v="借呗"/>
    <x v="0"/>
    <x v="0"/>
    <x v="0"/>
    <s v="二组"/>
    <s v="杭州二组"/>
    <s v="普通员工"/>
    <n v="18000.224999999999"/>
    <n v="2020"/>
    <x v="2"/>
  </r>
  <r>
    <x v="63"/>
    <n v="1000000037"/>
    <s v="借呗6期"/>
    <n v="3"/>
    <n v="29001.160000000003"/>
    <s v="借呗"/>
    <x v="1"/>
    <x v="0"/>
    <x v="0"/>
    <s v="二组"/>
    <s v="杭州二组"/>
    <s v="普通员工"/>
    <n v="9667.0533333333351"/>
    <n v="2020"/>
    <x v="2"/>
  </r>
  <r>
    <x v="61"/>
    <n v="1000000039"/>
    <s v="借呗6期"/>
    <n v="2"/>
    <n v="16000.54"/>
    <s v="借呗"/>
    <x v="1"/>
    <x v="0"/>
    <x v="1"/>
    <s v="二组"/>
    <s v="苏州二组"/>
    <s v="管理人员"/>
    <n v="8000.27"/>
    <n v="2020"/>
    <x v="2"/>
  </r>
  <r>
    <x v="62"/>
    <n v="1000000039"/>
    <s v="借呗6期"/>
    <n v="1"/>
    <n v="700.41"/>
    <s v="借呗"/>
    <x v="1"/>
    <x v="0"/>
    <x v="1"/>
    <s v="二组"/>
    <s v="苏州二组"/>
    <s v="管理人员"/>
    <n v="700.41"/>
    <n v="2020"/>
    <x v="2"/>
  </r>
  <r>
    <x v="63"/>
    <n v="1000000039"/>
    <s v="借呗6期"/>
    <n v="2"/>
    <n v="6500.8"/>
    <s v="借呗"/>
    <x v="1"/>
    <x v="0"/>
    <x v="1"/>
    <s v="二组"/>
    <s v="苏州二组"/>
    <s v="管理人员"/>
    <n v="3250.4"/>
    <n v="2020"/>
    <x v="2"/>
  </r>
  <r>
    <x v="61"/>
    <n v="1000000040"/>
    <s v="借呗6期"/>
    <n v="1"/>
    <n v="14000.38"/>
    <s v="借呗"/>
    <x v="1"/>
    <x v="1"/>
    <x v="2"/>
    <s v="四组"/>
    <s v="北京四组"/>
    <s v="管理人员"/>
    <n v="14000.38"/>
    <n v="2020"/>
    <x v="2"/>
  </r>
  <r>
    <x v="61"/>
    <n v="1000000040"/>
    <s v="借呗12期"/>
    <n v="1"/>
    <n v="1000.19"/>
    <s v="借呗"/>
    <x v="0"/>
    <x v="1"/>
    <x v="2"/>
    <s v="四组"/>
    <s v="北京四组"/>
    <s v="管理人员"/>
    <n v="1000.19"/>
    <n v="2020"/>
    <x v="2"/>
  </r>
  <r>
    <x v="62"/>
    <n v="1000000040"/>
    <s v="借呗6期"/>
    <n v="1"/>
    <n v="943.19"/>
    <s v="借呗"/>
    <x v="1"/>
    <x v="1"/>
    <x v="2"/>
    <s v="四组"/>
    <s v="北京四组"/>
    <s v="管理人员"/>
    <n v="943.19"/>
    <n v="2020"/>
    <x v="2"/>
  </r>
  <r>
    <x v="63"/>
    <n v="1000000040"/>
    <s v="借呗12期"/>
    <n v="2"/>
    <n v="25000.69"/>
    <s v="借呗"/>
    <x v="0"/>
    <x v="1"/>
    <x v="2"/>
    <s v="四组"/>
    <s v="北京四组"/>
    <s v="管理人员"/>
    <n v="12500.344999999999"/>
    <n v="2020"/>
    <x v="2"/>
  </r>
  <r>
    <x v="62"/>
    <n v="1000000041"/>
    <s v="借呗12期"/>
    <n v="1"/>
    <n v="5000.4799999999996"/>
    <s v="借呗"/>
    <x v="0"/>
    <x v="1"/>
    <x v="2"/>
    <s v="四组"/>
    <s v="北京四组"/>
    <s v="普通员工"/>
    <n v="5000.4799999999996"/>
    <n v="2020"/>
    <x v="2"/>
  </r>
  <r>
    <x v="63"/>
    <n v="1000000041"/>
    <s v="借呗6期"/>
    <n v="1"/>
    <n v="14000.46"/>
    <s v="借呗"/>
    <x v="1"/>
    <x v="1"/>
    <x v="2"/>
    <s v="四组"/>
    <s v="北京四组"/>
    <s v="普通员工"/>
    <n v="14000.46"/>
    <n v="2020"/>
    <x v="2"/>
  </r>
  <r>
    <x v="61"/>
    <n v="1000000044"/>
    <s v="借呗12期"/>
    <n v="2"/>
    <n v="32001.190000000002"/>
    <s v="借呗"/>
    <x v="0"/>
    <x v="1"/>
    <x v="2"/>
    <s v="三组"/>
    <s v="北京三组"/>
    <s v="管理人员"/>
    <n v="16000.595000000001"/>
    <n v="2020"/>
    <x v="2"/>
  </r>
  <r>
    <x v="63"/>
    <n v="1000000044"/>
    <s v="借呗12期"/>
    <n v="1"/>
    <n v="10000.39"/>
    <s v="借呗"/>
    <x v="0"/>
    <x v="1"/>
    <x v="2"/>
    <s v="三组"/>
    <s v="北京三组"/>
    <s v="管理人员"/>
    <n v="10000.39"/>
    <n v="2020"/>
    <x v="2"/>
  </r>
  <r>
    <x v="62"/>
    <n v="1000000043"/>
    <s v="借呗6期"/>
    <n v="1"/>
    <n v="7000.68"/>
    <s v="借呗"/>
    <x v="1"/>
    <x v="1"/>
    <x v="4"/>
    <s v="一组"/>
    <s v="成都一组"/>
    <s v="普通员工"/>
    <n v="7000.68"/>
    <n v="2020"/>
    <x v="2"/>
  </r>
  <r>
    <x v="62"/>
    <n v="1000000043"/>
    <s v="借呗18期"/>
    <n v="1"/>
    <n v="1405.57"/>
    <s v="借呗"/>
    <x v="2"/>
    <x v="1"/>
    <x v="4"/>
    <s v="一组"/>
    <s v="成都一组"/>
    <s v="普通员工"/>
    <n v="1405.57"/>
    <n v="2020"/>
    <x v="2"/>
  </r>
  <r>
    <x v="63"/>
    <n v="1000000043"/>
    <s v="借呗6期"/>
    <n v="2"/>
    <n v="26290.97"/>
    <s v="借呗"/>
    <x v="1"/>
    <x v="1"/>
    <x v="4"/>
    <s v="一组"/>
    <s v="成都一组"/>
    <s v="普通员工"/>
    <n v="13145.485000000001"/>
    <n v="2020"/>
    <x v="2"/>
  </r>
  <r>
    <x v="63"/>
    <n v="1000000043"/>
    <s v="借呗18期"/>
    <n v="1"/>
    <n v="17000.189999999999"/>
    <s v="借呗"/>
    <x v="2"/>
    <x v="1"/>
    <x v="4"/>
    <s v="一组"/>
    <s v="成都一组"/>
    <s v="普通员工"/>
    <n v="17000.189999999999"/>
    <n v="2020"/>
    <x v="2"/>
  </r>
  <r>
    <x v="61"/>
    <n v="1000000045"/>
    <s v="借呗18期"/>
    <n v="1"/>
    <n v="5000.08"/>
    <s v="借呗"/>
    <x v="2"/>
    <x v="2"/>
    <x v="9"/>
    <s v="一组"/>
    <s v="深圳一组"/>
    <s v="普通员工"/>
    <n v="5000.08"/>
    <n v="2020"/>
    <x v="2"/>
  </r>
  <r>
    <x v="63"/>
    <n v="1000000045"/>
    <s v="借呗12期"/>
    <n v="1"/>
    <n v="17000.57"/>
    <s v="借呗"/>
    <x v="0"/>
    <x v="2"/>
    <x v="9"/>
    <s v="一组"/>
    <s v="深圳一组"/>
    <s v="普通员工"/>
    <n v="17000.57"/>
    <n v="2020"/>
    <x v="2"/>
  </r>
  <r>
    <x v="63"/>
    <n v="1000000045"/>
    <s v="借呗18期"/>
    <n v="1"/>
    <n v="1260.96"/>
    <s v="借呗"/>
    <x v="2"/>
    <x v="2"/>
    <x v="9"/>
    <s v="一组"/>
    <s v="深圳一组"/>
    <s v="普通员工"/>
    <n v="1260.96"/>
    <n v="2020"/>
    <x v="2"/>
  </r>
  <r>
    <x v="61"/>
    <n v="1000000054"/>
    <s v="借呗6期"/>
    <n v="1"/>
    <n v="6499.99"/>
    <s v="借呗"/>
    <x v="1"/>
    <x v="0"/>
    <x v="3"/>
    <s v="一组"/>
    <s v="上海一组"/>
    <s v="普通员工"/>
    <n v="6499.99"/>
    <n v="2020"/>
    <x v="2"/>
  </r>
  <r>
    <x v="61"/>
    <n v="1000000054"/>
    <s v="借呗18期"/>
    <n v="1"/>
    <n v="18000.63"/>
    <s v="借呗"/>
    <x v="2"/>
    <x v="0"/>
    <x v="3"/>
    <s v="一组"/>
    <s v="上海一组"/>
    <s v="普通员工"/>
    <n v="18000.63"/>
    <n v="2020"/>
    <x v="2"/>
  </r>
  <r>
    <x v="62"/>
    <n v="1000000046"/>
    <s v="借呗6期"/>
    <n v="1"/>
    <n v="13000.16"/>
    <s v="借呗"/>
    <x v="1"/>
    <x v="1"/>
    <x v="4"/>
    <s v="一组"/>
    <s v="成都一组"/>
    <s v="普通员工"/>
    <n v="13000.16"/>
    <n v="2020"/>
    <x v="2"/>
  </r>
  <r>
    <x v="63"/>
    <n v="1000000046"/>
    <s v="借呗12期"/>
    <n v="1"/>
    <n v="2499.9899999999998"/>
    <s v="借呗"/>
    <x v="0"/>
    <x v="1"/>
    <x v="4"/>
    <s v="一组"/>
    <s v="成都一组"/>
    <s v="普通员工"/>
    <n v="2499.9899999999998"/>
    <n v="2020"/>
    <x v="2"/>
  </r>
  <r>
    <x v="61"/>
    <n v="1000000056"/>
    <s v="借呗6期"/>
    <n v="1"/>
    <n v="17999.98"/>
    <s v="借呗"/>
    <x v="1"/>
    <x v="0"/>
    <x v="3"/>
    <s v="一组"/>
    <s v="上海一组"/>
    <s v="管理人员"/>
    <n v="17999.98"/>
    <n v="2020"/>
    <x v="2"/>
  </r>
  <r>
    <x v="62"/>
    <n v="1000000056"/>
    <s v="借呗18期"/>
    <n v="1"/>
    <n v="7000.41"/>
    <s v="借呗"/>
    <x v="2"/>
    <x v="0"/>
    <x v="3"/>
    <s v="一组"/>
    <s v="上海一组"/>
    <s v="管理人员"/>
    <n v="7000.41"/>
    <n v="2020"/>
    <x v="2"/>
  </r>
  <r>
    <x v="63"/>
    <n v="1000000056"/>
    <s v="借呗6期"/>
    <n v="2"/>
    <n v="25000.18"/>
    <s v="借呗"/>
    <x v="1"/>
    <x v="0"/>
    <x v="3"/>
    <s v="一组"/>
    <s v="上海一组"/>
    <s v="管理人员"/>
    <n v="12500.09"/>
    <n v="2020"/>
    <x v="2"/>
  </r>
  <r>
    <x v="63"/>
    <n v="1000000056"/>
    <s v="借呗12期"/>
    <n v="2"/>
    <n v="20000.54"/>
    <s v="借呗"/>
    <x v="0"/>
    <x v="0"/>
    <x v="3"/>
    <s v="一组"/>
    <s v="上海一组"/>
    <s v="管理人员"/>
    <n v="10000.27"/>
    <n v="2020"/>
    <x v="2"/>
  </r>
  <r>
    <x v="62"/>
    <n v="1000000047"/>
    <s v="借呗6期"/>
    <n v="1"/>
    <n v="900.09"/>
    <s v="借呗"/>
    <x v="1"/>
    <x v="2"/>
    <x v="6"/>
    <s v="一组"/>
    <s v="广州一组"/>
    <s v="普通员工"/>
    <n v="900.09"/>
    <n v="2020"/>
    <x v="2"/>
  </r>
  <r>
    <x v="63"/>
    <n v="1000000047"/>
    <s v="借呗18期"/>
    <n v="1"/>
    <n v="700.39"/>
    <s v="借呗"/>
    <x v="2"/>
    <x v="2"/>
    <x v="6"/>
    <s v="一组"/>
    <s v="广州一组"/>
    <s v="普通员工"/>
    <n v="700.39"/>
    <n v="2020"/>
    <x v="2"/>
  </r>
  <r>
    <x v="61"/>
    <n v="1000000058"/>
    <s v="借呗6期"/>
    <n v="1"/>
    <n v="5178.1400000000003"/>
    <s v="借呗"/>
    <x v="1"/>
    <x v="0"/>
    <x v="3"/>
    <s v="二组"/>
    <s v="上海二组"/>
    <s v="普通员工"/>
    <n v="5178.1400000000003"/>
    <n v="2020"/>
    <x v="2"/>
  </r>
  <r>
    <x v="61"/>
    <n v="1000000067"/>
    <s v="借呗12期"/>
    <n v="1"/>
    <n v="10000.19"/>
    <s v="借呗"/>
    <x v="0"/>
    <x v="0"/>
    <x v="1"/>
    <s v="二组"/>
    <s v="苏州二组"/>
    <s v="普通员工"/>
    <n v="10000.19"/>
    <n v="2020"/>
    <x v="2"/>
  </r>
  <r>
    <x v="62"/>
    <n v="1000000067"/>
    <s v="借呗6期"/>
    <n v="1"/>
    <n v="1729.45"/>
    <s v="借呗"/>
    <x v="1"/>
    <x v="0"/>
    <x v="1"/>
    <s v="二组"/>
    <s v="苏州二组"/>
    <s v="普通员工"/>
    <n v="1729.45"/>
    <n v="2020"/>
    <x v="2"/>
  </r>
  <r>
    <x v="63"/>
    <n v="1000000067"/>
    <s v="借呗6期"/>
    <n v="1"/>
    <n v="3986.03"/>
    <s v="借呗"/>
    <x v="1"/>
    <x v="0"/>
    <x v="1"/>
    <s v="二组"/>
    <s v="苏州二组"/>
    <s v="普通员工"/>
    <n v="3986.03"/>
    <n v="2020"/>
    <x v="2"/>
  </r>
  <r>
    <x v="61"/>
    <n v="1000000068"/>
    <s v="借呗6期"/>
    <n v="1"/>
    <n v="14000.13"/>
    <s v="借呗"/>
    <x v="1"/>
    <x v="1"/>
    <x v="7"/>
    <s v="一组"/>
    <s v="重庆一组"/>
    <s v="管理人员"/>
    <n v="14000.13"/>
    <n v="2020"/>
    <x v="2"/>
  </r>
  <r>
    <x v="61"/>
    <n v="1000000068"/>
    <s v="借呗12期"/>
    <n v="2"/>
    <n v="20001.46"/>
    <s v="借呗"/>
    <x v="0"/>
    <x v="1"/>
    <x v="7"/>
    <s v="一组"/>
    <s v="重庆一组"/>
    <s v="管理人员"/>
    <n v="10000.73"/>
    <n v="2020"/>
    <x v="2"/>
  </r>
  <r>
    <x v="61"/>
    <n v="1000000068"/>
    <s v="借呗18期"/>
    <n v="1"/>
    <n v="3000.08"/>
    <s v="借呗"/>
    <x v="2"/>
    <x v="1"/>
    <x v="7"/>
    <s v="一组"/>
    <s v="重庆一组"/>
    <s v="管理人员"/>
    <n v="3000.08"/>
    <n v="2020"/>
    <x v="2"/>
  </r>
  <r>
    <x v="62"/>
    <n v="1000000068"/>
    <s v="借呗12期"/>
    <n v="1"/>
    <n v="6000.19"/>
    <s v="借呗"/>
    <x v="0"/>
    <x v="1"/>
    <x v="7"/>
    <s v="一组"/>
    <s v="重庆一组"/>
    <s v="管理人员"/>
    <n v="6000.19"/>
    <n v="2020"/>
    <x v="2"/>
  </r>
  <r>
    <x v="63"/>
    <n v="1000000068"/>
    <s v="借呗12期"/>
    <n v="3"/>
    <n v="41000.57"/>
    <s v="借呗"/>
    <x v="0"/>
    <x v="1"/>
    <x v="7"/>
    <s v="一组"/>
    <s v="重庆一组"/>
    <s v="管理人员"/>
    <n v="13666.856666666667"/>
    <n v="2020"/>
    <x v="2"/>
  </r>
  <r>
    <x v="62"/>
    <n v="1000000050"/>
    <s v="借呗6期"/>
    <n v="1"/>
    <n v="5700.08"/>
    <s v="借呗"/>
    <x v="1"/>
    <x v="0"/>
    <x v="5"/>
    <s v="一组"/>
    <s v="合肥一组"/>
    <s v="普通员工"/>
    <n v="5700.08"/>
    <n v="2020"/>
    <x v="2"/>
  </r>
  <r>
    <x v="62"/>
    <n v="1000000050"/>
    <s v="借呗18期"/>
    <n v="2"/>
    <n v="25000.65"/>
    <s v="借呗"/>
    <x v="2"/>
    <x v="0"/>
    <x v="5"/>
    <s v="一组"/>
    <s v="合肥一组"/>
    <s v="普通员工"/>
    <n v="12500.325000000001"/>
    <n v="2020"/>
    <x v="2"/>
  </r>
  <r>
    <x v="63"/>
    <n v="1000000050"/>
    <s v="借呗12期"/>
    <n v="2"/>
    <n v="12501.150000000001"/>
    <s v="借呗"/>
    <x v="0"/>
    <x v="0"/>
    <x v="5"/>
    <s v="一组"/>
    <s v="合肥一组"/>
    <s v="普通员工"/>
    <n v="6250.5750000000007"/>
    <n v="2020"/>
    <x v="2"/>
  </r>
  <r>
    <x v="61"/>
    <n v="1000000237"/>
    <s v="借呗12期"/>
    <n v="2"/>
    <n v="1493.02"/>
    <s v="借呗"/>
    <x v="0"/>
    <x v="0"/>
    <x v="5"/>
    <s v="一组"/>
    <s v="合肥一组"/>
    <s v="普通员工"/>
    <n v="746.51"/>
    <n v="2020"/>
    <x v="2"/>
  </r>
  <r>
    <x v="61"/>
    <n v="1000000237"/>
    <s v="借呗18期"/>
    <n v="1"/>
    <n v="9000.34"/>
    <s v="借呗"/>
    <x v="2"/>
    <x v="0"/>
    <x v="5"/>
    <s v="一组"/>
    <s v="合肥一组"/>
    <s v="普通员工"/>
    <n v="9000.34"/>
    <n v="2020"/>
    <x v="2"/>
  </r>
  <r>
    <x v="63"/>
    <n v="1000000237"/>
    <s v="借呗18期"/>
    <n v="1"/>
    <n v="5000.1499999999996"/>
    <s v="借呗"/>
    <x v="2"/>
    <x v="0"/>
    <x v="5"/>
    <s v="一组"/>
    <s v="合肥一组"/>
    <s v="普通员工"/>
    <n v="5000.1499999999996"/>
    <n v="2020"/>
    <x v="2"/>
  </r>
  <r>
    <x v="61"/>
    <n v="1000000566"/>
    <s v="借呗6期"/>
    <n v="2"/>
    <n v="6100.35"/>
    <s v="借呗"/>
    <x v="1"/>
    <x v="2"/>
    <x v="6"/>
    <s v="三组"/>
    <s v="广州三组"/>
    <s v="普通员工"/>
    <n v="3050.1750000000002"/>
    <n v="2020"/>
    <x v="2"/>
  </r>
  <r>
    <x v="61"/>
    <n v="1000000566"/>
    <s v="借呗18期"/>
    <n v="1"/>
    <n v="10000.76"/>
    <s v="借呗"/>
    <x v="2"/>
    <x v="2"/>
    <x v="6"/>
    <s v="三组"/>
    <s v="广州三组"/>
    <s v="普通员工"/>
    <n v="10000.76"/>
    <n v="2020"/>
    <x v="2"/>
  </r>
  <r>
    <x v="62"/>
    <n v="1000000566"/>
    <s v="借呗6期"/>
    <n v="1"/>
    <n v="8400.4599999999991"/>
    <s v="借呗"/>
    <x v="1"/>
    <x v="2"/>
    <x v="6"/>
    <s v="三组"/>
    <s v="广州三组"/>
    <s v="普通员工"/>
    <n v="8400.4599999999991"/>
    <n v="2020"/>
    <x v="2"/>
  </r>
  <r>
    <x v="62"/>
    <n v="1000000566"/>
    <s v="借呗12期"/>
    <n v="2"/>
    <n v="16000.810000000001"/>
    <s v="借呗"/>
    <x v="0"/>
    <x v="2"/>
    <x v="6"/>
    <s v="三组"/>
    <s v="广州三组"/>
    <s v="普通员工"/>
    <n v="8000.4050000000007"/>
    <n v="2020"/>
    <x v="2"/>
  </r>
  <r>
    <x v="63"/>
    <n v="1000000566"/>
    <s v="借呗6期"/>
    <n v="2"/>
    <n v="36000.229999999996"/>
    <s v="借呗"/>
    <x v="1"/>
    <x v="2"/>
    <x v="6"/>
    <s v="三组"/>
    <s v="广州三组"/>
    <s v="普通员工"/>
    <n v="18000.114999999998"/>
    <n v="2020"/>
    <x v="2"/>
  </r>
  <r>
    <x v="63"/>
    <n v="1000000566"/>
    <s v="借呗18期"/>
    <n v="1"/>
    <n v="7000.57"/>
    <s v="借呗"/>
    <x v="2"/>
    <x v="2"/>
    <x v="6"/>
    <s v="三组"/>
    <s v="广州三组"/>
    <s v="普通员工"/>
    <n v="7000.57"/>
    <n v="2020"/>
    <x v="2"/>
  </r>
  <r>
    <x v="61"/>
    <n v="1000003803"/>
    <s v="借呗12期"/>
    <n v="1"/>
    <n v="20000.21"/>
    <s v="借呗"/>
    <x v="0"/>
    <x v="1"/>
    <x v="2"/>
    <s v="三组"/>
    <s v="北京三组"/>
    <s v="普通员工"/>
    <n v="20000.21"/>
    <n v="2020"/>
    <x v="2"/>
  </r>
  <r>
    <x v="63"/>
    <n v="1000003803"/>
    <s v="借呗6期"/>
    <n v="1"/>
    <n v="15000.3"/>
    <s v="借呗"/>
    <x v="1"/>
    <x v="1"/>
    <x v="2"/>
    <s v="三组"/>
    <s v="北京三组"/>
    <s v="普通员工"/>
    <n v="15000.3"/>
    <n v="2020"/>
    <x v="2"/>
  </r>
  <r>
    <x v="63"/>
    <n v="1000003803"/>
    <s v="借呗12期"/>
    <n v="2"/>
    <n v="21001.41"/>
    <s v="借呗"/>
    <x v="0"/>
    <x v="1"/>
    <x v="2"/>
    <s v="三组"/>
    <s v="北京三组"/>
    <s v="普通员工"/>
    <n v="10500.705"/>
    <n v="2020"/>
    <x v="2"/>
  </r>
  <r>
    <x v="61"/>
    <n v="1000003926"/>
    <s v="借呗6期"/>
    <n v="1"/>
    <n v="25000.46"/>
    <s v="借呗"/>
    <x v="1"/>
    <x v="2"/>
    <x v="6"/>
    <s v="一组"/>
    <s v="广州一组"/>
    <s v="管理人员"/>
    <n v="25000.46"/>
    <n v="2020"/>
    <x v="2"/>
  </r>
  <r>
    <x v="61"/>
    <n v="1000003926"/>
    <s v="借呗12期"/>
    <n v="2"/>
    <n v="31000.28"/>
    <s v="借呗"/>
    <x v="0"/>
    <x v="2"/>
    <x v="6"/>
    <s v="一组"/>
    <s v="广州一组"/>
    <s v="管理人员"/>
    <n v="15500.14"/>
    <n v="2020"/>
    <x v="2"/>
  </r>
  <r>
    <x v="61"/>
    <n v="1000003926"/>
    <s v="借呗18期"/>
    <n v="1"/>
    <n v="2000.65"/>
    <s v="借呗"/>
    <x v="2"/>
    <x v="2"/>
    <x v="6"/>
    <s v="一组"/>
    <s v="广州一组"/>
    <s v="管理人员"/>
    <n v="2000.65"/>
    <n v="2020"/>
    <x v="2"/>
  </r>
  <r>
    <x v="62"/>
    <n v="1000003926"/>
    <s v="借呗6期"/>
    <n v="4"/>
    <n v="53000.740000000005"/>
    <s v="借呗"/>
    <x v="1"/>
    <x v="2"/>
    <x v="6"/>
    <s v="一组"/>
    <s v="广州一组"/>
    <s v="管理人员"/>
    <n v="13250.185000000001"/>
    <n v="2020"/>
    <x v="2"/>
  </r>
  <r>
    <x v="63"/>
    <n v="1000003926"/>
    <s v="借呗6期"/>
    <n v="2"/>
    <n v="34000.559999999998"/>
    <s v="借呗"/>
    <x v="1"/>
    <x v="2"/>
    <x v="6"/>
    <s v="一组"/>
    <s v="广州一组"/>
    <s v="管理人员"/>
    <n v="17000.28"/>
    <n v="2020"/>
    <x v="2"/>
  </r>
  <r>
    <x v="63"/>
    <n v="1000000061"/>
    <s v="借呗12期"/>
    <n v="1"/>
    <n v="5000.21"/>
    <s v="借呗"/>
    <x v="0"/>
    <x v="0"/>
    <x v="3"/>
    <s v="二组"/>
    <s v="上海二组"/>
    <s v="普通员工"/>
    <n v="5000.21"/>
    <n v="2020"/>
    <x v="2"/>
  </r>
  <r>
    <x v="61"/>
    <n v="1000004170"/>
    <s v="借呗6期"/>
    <n v="2"/>
    <n v="11500.77"/>
    <s v="借呗"/>
    <x v="1"/>
    <x v="0"/>
    <x v="3"/>
    <s v="二组"/>
    <s v="上海二组"/>
    <s v="管理人员"/>
    <n v="5750.3850000000002"/>
    <n v="2020"/>
    <x v="2"/>
  </r>
  <r>
    <x v="62"/>
    <n v="1000004170"/>
    <s v="借呗12期"/>
    <n v="1"/>
    <n v="7000.59"/>
    <s v="借呗"/>
    <x v="0"/>
    <x v="0"/>
    <x v="3"/>
    <s v="二组"/>
    <s v="上海二组"/>
    <s v="管理人员"/>
    <n v="7000.59"/>
    <n v="2020"/>
    <x v="2"/>
  </r>
  <r>
    <x v="63"/>
    <n v="1000004170"/>
    <s v="借呗6期"/>
    <n v="3"/>
    <n v="33001.689999999995"/>
    <s v="借呗"/>
    <x v="1"/>
    <x v="0"/>
    <x v="3"/>
    <s v="二组"/>
    <s v="上海二组"/>
    <s v="管理人员"/>
    <n v="11000.563333333332"/>
    <n v="2020"/>
    <x v="2"/>
  </r>
  <r>
    <x v="63"/>
    <n v="1000004170"/>
    <s v="借呗12期"/>
    <n v="1"/>
    <n v="7000.52"/>
    <s v="借呗"/>
    <x v="0"/>
    <x v="0"/>
    <x v="3"/>
    <s v="二组"/>
    <s v="上海二组"/>
    <s v="管理人员"/>
    <n v="7000.52"/>
    <n v="2020"/>
    <x v="2"/>
  </r>
  <r>
    <x v="61"/>
    <n v="1000004256"/>
    <s v="借呗18期"/>
    <n v="1"/>
    <n v="15000.09"/>
    <s v="借呗"/>
    <x v="2"/>
    <x v="0"/>
    <x v="5"/>
    <s v="一组"/>
    <s v="合肥一组"/>
    <s v="普通员工"/>
    <n v="15000.09"/>
    <n v="2020"/>
    <x v="2"/>
  </r>
  <r>
    <x v="62"/>
    <n v="1000004256"/>
    <s v="借呗6期"/>
    <n v="1"/>
    <n v="18000.46"/>
    <s v="借呗"/>
    <x v="1"/>
    <x v="0"/>
    <x v="5"/>
    <s v="一组"/>
    <s v="合肥一组"/>
    <s v="普通员工"/>
    <n v="18000.46"/>
    <n v="2020"/>
    <x v="2"/>
  </r>
  <r>
    <x v="62"/>
    <n v="1000004256"/>
    <s v="借呗18期"/>
    <n v="1"/>
    <n v="17000.28"/>
    <s v="借呗"/>
    <x v="2"/>
    <x v="0"/>
    <x v="5"/>
    <s v="一组"/>
    <s v="合肥一组"/>
    <s v="普通员工"/>
    <n v="17000.28"/>
    <n v="2020"/>
    <x v="2"/>
  </r>
  <r>
    <x v="63"/>
    <n v="1000004256"/>
    <s v="借呗18期"/>
    <n v="1"/>
    <n v="17000.32"/>
    <s v="借呗"/>
    <x v="2"/>
    <x v="0"/>
    <x v="5"/>
    <s v="一组"/>
    <s v="合肥一组"/>
    <s v="普通员工"/>
    <n v="17000.32"/>
    <n v="2020"/>
    <x v="2"/>
  </r>
  <r>
    <x v="61"/>
    <n v="1000006064"/>
    <s v="借呗18期"/>
    <n v="2"/>
    <n v="13500.43"/>
    <s v="借呗"/>
    <x v="2"/>
    <x v="0"/>
    <x v="5"/>
    <s v="一组"/>
    <s v="合肥一组"/>
    <s v="普通员工"/>
    <n v="6750.2150000000001"/>
    <n v="2020"/>
    <x v="2"/>
  </r>
  <r>
    <x v="62"/>
    <n v="1000006064"/>
    <s v="借呗12期"/>
    <n v="1"/>
    <n v="2000.03"/>
    <s v="借呗"/>
    <x v="0"/>
    <x v="0"/>
    <x v="5"/>
    <s v="一组"/>
    <s v="合肥一组"/>
    <s v="普通员工"/>
    <n v="2000.03"/>
    <n v="2020"/>
    <x v="2"/>
  </r>
  <r>
    <x v="61"/>
    <n v="1000006867"/>
    <s v="借呗12期"/>
    <n v="1"/>
    <n v="12000.35"/>
    <s v="借呗"/>
    <x v="0"/>
    <x v="0"/>
    <x v="10"/>
    <s v="一组"/>
    <s v="南京一组"/>
    <s v="普通员工"/>
    <n v="12000.35"/>
    <n v="2020"/>
    <x v="2"/>
  </r>
  <r>
    <x v="62"/>
    <n v="1000006867"/>
    <s v="借呗12期"/>
    <n v="1"/>
    <n v="7000.55"/>
    <s v="借呗"/>
    <x v="0"/>
    <x v="0"/>
    <x v="10"/>
    <s v="一组"/>
    <s v="南京一组"/>
    <s v="普通员工"/>
    <n v="7000.55"/>
    <n v="2020"/>
    <x v="2"/>
  </r>
  <r>
    <x v="61"/>
    <n v="1000008228"/>
    <s v="借呗6期"/>
    <n v="2"/>
    <n v="45000.67"/>
    <s v="借呗"/>
    <x v="1"/>
    <x v="1"/>
    <x v="2"/>
    <s v="三组"/>
    <s v="北京三组"/>
    <s v="普通员工"/>
    <n v="22500.334999999999"/>
    <n v="2020"/>
    <x v="2"/>
  </r>
  <r>
    <x v="63"/>
    <n v="1000000104"/>
    <s v="借呗6期"/>
    <n v="1"/>
    <n v="7500.03"/>
    <s v="借呗"/>
    <x v="1"/>
    <x v="0"/>
    <x v="5"/>
    <s v="一组"/>
    <s v="合肥一组"/>
    <s v="普通员工"/>
    <n v="7500.03"/>
    <n v="2020"/>
    <x v="2"/>
  </r>
  <r>
    <x v="61"/>
    <n v="1000008957"/>
    <s v="借呗6期"/>
    <n v="1"/>
    <n v="7000.63"/>
    <s v="借呗"/>
    <x v="1"/>
    <x v="0"/>
    <x v="3"/>
    <s v="二组"/>
    <s v="上海二组"/>
    <s v="普通员工"/>
    <n v="7000.63"/>
    <n v="2020"/>
    <x v="2"/>
  </r>
  <r>
    <x v="62"/>
    <n v="1000008957"/>
    <s v="借呗6期"/>
    <n v="1"/>
    <n v="6000.56"/>
    <s v="借呗"/>
    <x v="1"/>
    <x v="0"/>
    <x v="3"/>
    <s v="二组"/>
    <s v="上海二组"/>
    <s v="普通员工"/>
    <n v="6000.56"/>
    <n v="2020"/>
    <x v="2"/>
  </r>
  <r>
    <x v="61"/>
    <n v="1000010255"/>
    <s v="借呗18期"/>
    <n v="1"/>
    <n v="9000.2900000000009"/>
    <s v="借呗"/>
    <x v="2"/>
    <x v="2"/>
    <x v="6"/>
    <s v="三组"/>
    <s v="广州三组"/>
    <s v="普通员工"/>
    <n v="9000.2900000000009"/>
    <n v="2020"/>
    <x v="2"/>
  </r>
  <r>
    <x v="62"/>
    <n v="1000010255"/>
    <s v="借呗6期"/>
    <n v="1"/>
    <n v="3000.14"/>
    <s v="借呗"/>
    <x v="1"/>
    <x v="2"/>
    <x v="6"/>
    <s v="三组"/>
    <s v="广州三组"/>
    <s v="普通员工"/>
    <n v="3000.14"/>
    <n v="2020"/>
    <x v="2"/>
  </r>
  <r>
    <x v="61"/>
    <n v="1000010815"/>
    <s v="借呗6期"/>
    <n v="1"/>
    <n v="14999.96"/>
    <s v="借呗"/>
    <x v="1"/>
    <x v="0"/>
    <x v="10"/>
    <s v="一组"/>
    <s v="南京一组"/>
    <s v="普通员工"/>
    <n v="14999.96"/>
    <n v="2020"/>
    <x v="2"/>
  </r>
  <r>
    <x v="63"/>
    <n v="1000000576"/>
    <s v="借呗12期"/>
    <n v="1"/>
    <n v="14000.36"/>
    <s v="借呗"/>
    <x v="0"/>
    <x v="0"/>
    <x v="1"/>
    <s v="三组"/>
    <s v="苏州三组"/>
    <s v="普通员工"/>
    <n v="14000.36"/>
    <n v="2020"/>
    <x v="2"/>
  </r>
  <r>
    <x v="63"/>
    <n v="1000000581"/>
    <s v="借呗18期"/>
    <n v="1"/>
    <n v="1255.68"/>
    <s v="借呗"/>
    <x v="2"/>
    <x v="2"/>
    <x v="6"/>
    <s v="三组"/>
    <s v="广州三组"/>
    <s v="普通员工"/>
    <n v="1255.68"/>
    <n v="2020"/>
    <x v="2"/>
  </r>
  <r>
    <x v="63"/>
    <n v="1000000594"/>
    <s v="借呗12期"/>
    <n v="1"/>
    <n v="17000.27"/>
    <s v="借呗"/>
    <x v="0"/>
    <x v="0"/>
    <x v="1"/>
    <s v="二组"/>
    <s v="苏州二组"/>
    <s v="普通员工"/>
    <n v="17000.27"/>
    <n v="2020"/>
    <x v="2"/>
  </r>
  <r>
    <x v="63"/>
    <n v="1000000928"/>
    <s v="借呗6期"/>
    <n v="1"/>
    <n v="8000.31"/>
    <s v="借呗"/>
    <x v="1"/>
    <x v="1"/>
    <x v="8"/>
    <s v="一组"/>
    <s v="西安一组"/>
    <s v="普通员工"/>
    <n v="8000.31"/>
    <n v="2020"/>
    <x v="2"/>
  </r>
  <r>
    <x v="63"/>
    <n v="1000000928"/>
    <s v="借呗12期"/>
    <n v="2"/>
    <n v="9200.93"/>
    <s v="借呗"/>
    <x v="0"/>
    <x v="1"/>
    <x v="8"/>
    <s v="一组"/>
    <s v="西安一组"/>
    <s v="普通员工"/>
    <n v="4600.4650000000001"/>
    <n v="2020"/>
    <x v="2"/>
  </r>
  <r>
    <x v="62"/>
    <n v="1000001513"/>
    <s v="借呗6期"/>
    <n v="1"/>
    <n v="3000.71"/>
    <s v="借呗"/>
    <x v="1"/>
    <x v="0"/>
    <x v="3"/>
    <s v="二组"/>
    <s v="上海二组"/>
    <s v="普通员工"/>
    <n v="3000.71"/>
    <n v="2020"/>
    <x v="2"/>
  </r>
  <r>
    <x v="62"/>
    <n v="1000001524"/>
    <s v="借呗12期"/>
    <n v="4"/>
    <n v="49001.14"/>
    <s v="借呗"/>
    <x v="0"/>
    <x v="0"/>
    <x v="1"/>
    <s v="二组"/>
    <s v="苏州二组"/>
    <s v="普通员工"/>
    <n v="12250.285"/>
    <n v="2020"/>
    <x v="2"/>
  </r>
  <r>
    <x v="62"/>
    <n v="1000001524"/>
    <s v="借呗18期"/>
    <n v="1"/>
    <n v="20000.13"/>
    <s v="借呗"/>
    <x v="2"/>
    <x v="0"/>
    <x v="1"/>
    <s v="二组"/>
    <s v="苏州二组"/>
    <s v="普通员工"/>
    <n v="20000.13"/>
    <n v="2020"/>
    <x v="2"/>
  </r>
  <r>
    <x v="63"/>
    <n v="1000001524"/>
    <s v="借呗6期"/>
    <n v="1"/>
    <n v="3000.16"/>
    <s v="借呗"/>
    <x v="1"/>
    <x v="0"/>
    <x v="1"/>
    <s v="二组"/>
    <s v="苏州二组"/>
    <s v="普通员工"/>
    <n v="3000.16"/>
    <n v="2020"/>
    <x v="2"/>
  </r>
  <r>
    <x v="63"/>
    <n v="1000001524"/>
    <s v="借呗12期"/>
    <n v="2"/>
    <n v="39000.380000000005"/>
    <s v="借呗"/>
    <x v="0"/>
    <x v="0"/>
    <x v="1"/>
    <s v="二组"/>
    <s v="苏州二组"/>
    <s v="普通员工"/>
    <n v="19500.190000000002"/>
    <n v="2020"/>
    <x v="2"/>
  </r>
  <r>
    <x v="62"/>
    <n v="1000003489"/>
    <s v="借呗6期"/>
    <n v="2"/>
    <n v="19500.84"/>
    <s v="借呗"/>
    <x v="1"/>
    <x v="2"/>
    <x v="6"/>
    <s v="一组"/>
    <s v="广州一组"/>
    <s v="普通员工"/>
    <n v="9750.42"/>
    <n v="2020"/>
    <x v="2"/>
  </r>
  <r>
    <x v="62"/>
    <n v="1000003489"/>
    <s v="借呗12期"/>
    <n v="1"/>
    <n v="9000.5499999999993"/>
    <s v="借呗"/>
    <x v="0"/>
    <x v="2"/>
    <x v="6"/>
    <s v="一组"/>
    <s v="广州一组"/>
    <s v="普通员工"/>
    <n v="9000.5499999999993"/>
    <n v="2020"/>
    <x v="2"/>
  </r>
  <r>
    <x v="62"/>
    <n v="1000003489"/>
    <s v="借呗18期"/>
    <n v="1"/>
    <n v="8800.2900000000009"/>
    <s v="借呗"/>
    <x v="2"/>
    <x v="2"/>
    <x v="6"/>
    <s v="一组"/>
    <s v="广州一组"/>
    <s v="普通员工"/>
    <n v="8800.2900000000009"/>
    <n v="2020"/>
    <x v="2"/>
  </r>
  <r>
    <x v="63"/>
    <n v="1000003489"/>
    <s v="借呗6期"/>
    <n v="1"/>
    <n v="6500.76"/>
    <s v="借呗"/>
    <x v="1"/>
    <x v="2"/>
    <x v="6"/>
    <s v="一组"/>
    <s v="广州一组"/>
    <s v="普通员工"/>
    <n v="6500.76"/>
    <n v="2020"/>
    <x v="2"/>
  </r>
  <r>
    <x v="63"/>
    <n v="1000003489"/>
    <s v="借呗12期"/>
    <n v="1"/>
    <n v="5500.65"/>
    <s v="借呗"/>
    <x v="0"/>
    <x v="2"/>
    <x v="6"/>
    <s v="一组"/>
    <s v="广州一组"/>
    <s v="普通员工"/>
    <n v="5500.65"/>
    <n v="2020"/>
    <x v="2"/>
  </r>
  <r>
    <x v="62"/>
    <n v="1000005873"/>
    <s v="借呗18期"/>
    <n v="1"/>
    <n v="19999.990000000002"/>
    <s v="借呗"/>
    <x v="2"/>
    <x v="0"/>
    <x v="0"/>
    <s v="二组"/>
    <s v="杭州二组"/>
    <s v="管理人员"/>
    <n v="19999.990000000002"/>
    <n v="2020"/>
    <x v="2"/>
  </r>
  <r>
    <x v="63"/>
    <n v="1000005873"/>
    <s v="借呗6期"/>
    <n v="1"/>
    <n v="5000.2700000000004"/>
    <s v="借呗"/>
    <x v="1"/>
    <x v="0"/>
    <x v="0"/>
    <s v="二组"/>
    <s v="杭州二组"/>
    <s v="管理人员"/>
    <n v="5000.2700000000004"/>
    <n v="2020"/>
    <x v="2"/>
  </r>
  <r>
    <x v="62"/>
    <n v="1000006698"/>
    <s v="借呗6期"/>
    <n v="1"/>
    <n v="10000.73"/>
    <s v="借呗"/>
    <x v="1"/>
    <x v="1"/>
    <x v="4"/>
    <s v="一组"/>
    <s v="成都一组"/>
    <s v="管理人员"/>
    <n v="10000.73"/>
    <n v="2020"/>
    <x v="2"/>
  </r>
  <r>
    <x v="62"/>
    <n v="1000006698"/>
    <s v="借呗12期"/>
    <n v="1"/>
    <n v="17000.75"/>
    <s v="借呗"/>
    <x v="0"/>
    <x v="1"/>
    <x v="4"/>
    <s v="一组"/>
    <s v="成都一组"/>
    <s v="管理人员"/>
    <n v="17000.75"/>
    <n v="2020"/>
    <x v="2"/>
  </r>
  <r>
    <x v="63"/>
    <n v="1000006698"/>
    <s v="借呗12期"/>
    <n v="2"/>
    <n v="18000.75"/>
    <s v="借呗"/>
    <x v="0"/>
    <x v="1"/>
    <x v="4"/>
    <s v="一组"/>
    <s v="成都一组"/>
    <s v="管理人员"/>
    <n v="9000.375"/>
    <n v="2020"/>
    <x v="2"/>
  </r>
  <r>
    <x v="62"/>
    <n v="1000006859"/>
    <s v="借呗12期"/>
    <n v="2"/>
    <n v="25000.81"/>
    <s v="借呗"/>
    <x v="0"/>
    <x v="0"/>
    <x v="10"/>
    <s v="一组"/>
    <s v="南京一组"/>
    <s v="普通员工"/>
    <n v="12500.405000000001"/>
    <n v="2020"/>
    <x v="2"/>
  </r>
  <r>
    <x v="63"/>
    <n v="1000006859"/>
    <s v="借呗6期"/>
    <n v="1"/>
    <n v="11000.29"/>
    <s v="借呗"/>
    <x v="1"/>
    <x v="0"/>
    <x v="10"/>
    <s v="一组"/>
    <s v="南京一组"/>
    <s v="普通员工"/>
    <n v="11000.29"/>
    <n v="2020"/>
    <x v="2"/>
  </r>
  <r>
    <x v="63"/>
    <n v="1000006859"/>
    <s v="借呗12期"/>
    <n v="2"/>
    <n v="14001.150000000001"/>
    <s v="借呗"/>
    <x v="0"/>
    <x v="0"/>
    <x v="10"/>
    <s v="一组"/>
    <s v="南京一组"/>
    <s v="普通员工"/>
    <n v="7000.5750000000007"/>
    <n v="2020"/>
    <x v="2"/>
  </r>
  <r>
    <x v="62"/>
    <n v="1000007197"/>
    <s v="借呗12期"/>
    <n v="1"/>
    <n v="9000.14"/>
    <s v="借呗"/>
    <x v="0"/>
    <x v="0"/>
    <x v="5"/>
    <s v="一组"/>
    <s v="合肥一组"/>
    <s v="普通员工"/>
    <n v="9000.14"/>
    <n v="2020"/>
    <x v="2"/>
  </r>
  <r>
    <x v="62"/>
    <n v="1000007320"/>
    <s v="借呗12期"/>
    <n v="3"/>
    <n v="45001.08"/>
    <s v="借呗"/>
    <x v="0"/>
    <x v="0"/>
    <x v="3"/>
    <s v="一组"/>
    <s v="上海一组"/>
    <s v="普通员工"/>
    <n v="15000.36"/>
    <n v="2020"/>
    <x v="2"/>
  </r>
  <r>
    <x v="62"/>
    <n v="1000008239"/>
    <s v="借呗12期"/>
    <n v="2"/>
    <n v="37000.639999999999"/>
    <s v="借呗"/>
    <x v="0"/>
    <x v="0"/>
    <x v="10"/>
    <s v="一组"/>
    <s v="南京一组"/>
    <s v="管理人员"/>
    <n v="18500.32"/>
    <n v="2020"/>
    <x v="2"/>
  </r>
  <r>
    <x v="62"/>
    <n v="1000009288"/>
    <s v="借呗6期"/>
    <n v="1"/>
    <n v="15000.68"/>
    <s v="借呗"/>
    <x v="1"/>
    <x v="0"/>
    <x v="1"/>
    <s v="二组"/>
    <s v="苏州二组"/>
    <s v="普通员工"/>
    <n v="15000.68"/>
    <n v="2020"/>
    <x v="2"/>
  </r>
  <r>
    <x v="62"/>
    <n v="1000009288"/>
    <s v="借呗12期"/>
    <n v="2"/>
    <n v="10500.71"/>
    <s v="借呗"/>
    <x v="0"/>
    <x v="0"/>
    <x v="1"/>
    <s v="二组"/>
    <s v="苏州二组"/>
    <s v="普通员工"/>
    <n v="5250.3549999999996"/>
    <n v="2020"/>
    <x v="2"/>
  </r>
  <r>
    <x v="62"/>
    <n v="1000010814"/>
    <s v="借呗12期"/>
    <n v="2"/>
    <n v="14000.470000000001"/>
    <s v="借呗"/>
    <x v="0"/>
    <x v="0"/>
    <x v="10"/>
    <s v="四组"/>
    <s v="南京四组"/>
    <s v="普通员工"/>
    <n v="7000.2350000000006"/>
    <n v="2020"/>
    <x v="2"/>
  </r>
  <r>
    <x v="62"/>
    <n v="1000010837"/>
    <s v="借呗12期"/>
    <n v="1"/>
    <n v="24999.97"/>
    <s v="借呗"/>
    <x v="0"/>
    <x v="0"/>
    <x v="10"/>
    <s v="一组"/>
    <s v="南京一组"/>
    <s v="普通员工"/>
    <n v="24999.97"/>
    <n v="2020"/>
    <x v="2"/>
  </r>
  <r>
    <x v="62"/>
    <n v="1000010881"/>
    <s v="借呗6期"/>
    <n v="1"/>
    <n v="10000.44"/>
    <s v="借呗"/>
    <x v="1"/>
    <x v="2"/>
    <x v="6"/>
    <s v="一组"/>
    <s v="广州一组"/>
    <s v="普通员工"/>
    <n v="10000.44"/>
    <n v="2020"/>
    <x v="2"/>
  </r>
  <r>
    <x v="63"/>
    <n v="1000006867"/>
    <s v="借呗6期"/>
    <n v="1"/>
    <n v="5000.51"/>
    <s v="借呗"/>
    <x v="1"/>
    <x v="0"/>
    <x v="10"/>
    <s v="一组"/>
    <s v="南京一组"/>
    <s v="普通员工"/>
    <n v="5000.51"/>
    <n v="2020"/>
    <x v="2"/>
  </r>
  <r>
    <x v="63"/>
    <n v="1000006867"/>
    <s v="借呗12期"/>
    <n v="2"/>
    <n v="14501.42"/>
    <s v="借呗"/>
    <x v="0"/>
    <x v="0"/>
    <x v="10"/>
    <s v="一组"/>
    <s v="南京一组"/>
    <s v="普通员工"/>
    <n v="7250.71"/>
    <n v="2020"/>
    <x v="2"/>
  </r>
  <r>
    <x v="63"/>
    <n v="1000006867"/>
    <s v="借呗18期"/>
    <n v="2"/>
    <n v="36000.660000000003"/>
    <s v="借呗"/>
    <x v="2"/>
    <x v="0"/>
    <x v="10"/>
    <s v="一组"/>
    <s v="南京一组"/>
    <s v="普通员工"/>
    <n v="18000.330000000002"/>
    <n v="2020"/>
    <x v="2"/>
  </r>
  <r>
    <x v="63"/>
    <n v="1000006869"/>
    <s v="借呗6期"/>
    <n v="3"/>
    <n v="35000.65"/>
    <s v="借呗"/>
    <x v="1"/>
    <x v="0"/>
    <x v="10"/>
    <s v="一组"/>
    <s v="南京一组"/>
    <s v="普通员工"/>
    <n v="11666.883333333333"/>
    <n v="2020"/>
    <x v="2"/>
  </r>
  <r>
    <x v="63"/>
    <n v="1000006869"/>
    <s v="借呗12期"/>
    <n v="1"/>
    <n v="5999.98"/>
    <s v="借呗"/>
    <x v="0"/>
    <x v="0"/>
    <x v="10"/>
    <s v="一组"/>
    <s v="南京一组"/>
    <s v="普通员工"/>
    <n v="5999.98"/>
    <n v="2020"/>
    <x v="2"/>
  </r>
  <r>
    <x v="63"/>
    <n v="1000007197"/>
    <s v="借呗6期"/>
    <n v="1"/>
    <n v="24999.96"/>
    <s v="借呗"/>
    <x v="1"/>
    <x v="0"/>
    <x v="5"/>
    <s v="一组"/>
    <s v="合肥一组"/>
    <s v="普通员工"/>
    <n v="24999.96"/>
    <n v="2020"/>
    <x v="2"/>
  </r>
  <r>
    <x v="63"/>
    <n v="1000007320"/>
    <s v="借呗12期"/>
    <n v="1"/>
    <n v="15000.35"/>
    <s v="借呗"/>
    <x v="0"/>
    <x v="0"/>
    <x v="3"/>
    <s v="一组"/>
    <s v="上海一组"/>
    <s v="普通员工"/>
    <n v="15000.35"/>
    <n v="2020"/>
    <x v="2"/>
  </r>
  <r>
    <x v="63"/>
    <n v="1000008228"/>
    <s v="借呗6期"/>
    <n v="2"/>
    <n v="19000.55"/>
    <s v="借呗"/>
    <x v="1"/>
    <x v="1"/>
    <x v="2"/>
    <s v="三组"/>
    <s v="北京三组"/>
    <s v="普通员工"/>
    <n v="9500.2749999999996"/>
    <n v="2020"/>
    <x v="2"/>
  </r>
  <r>
    <x v="63"/>
    <n v="1000008239"/>
    <s v="借呗12期"/>
    <n v="3"/>
    <n v="44001.950000000004"/>
    <s v="借呗"/>
    <x v="0"/>
    <x v="0"/>
    <x v="10"/>
    <s v="一组"/>
    <s v="南京一组"/>
    <s v="管理人员"/>
    <n v="14667.316666666668"/>
    <n v="2020"/>
    <x v="2"/>
  </r>
  <r>
    <x v="63"/>
    <n v="1000008239"/>
    <s v="借呗18期"/>
    <n v="1"/>
    <n v="6000.29"/>
    <s v="借呗"/>
    <x v="2"/>
    <x v="0"/>
    <x v="10"/>
    <s v="一组"/>
    <s v="南京一组"/>
    <s v="管理人员"/>
    <n v="6000.29"/>
    <n v="2020"/>
    <x v="2"/>
  </r>
  <r>
    <x v="63"/>
    <n v="1000008957"/>
    <s v="借呗6期"/>
    <n v="1"/>
    <n v="8000.16"/>
    <s v="借呗"/>
    <x v="1"/>
    <x v="0"/>
    <x v="3"/>
    <s v="二组"/>
    <s v="上海二组"/>
    <s v="普通员工"/>
    <n v="8000.16"/>
    <n v="2020"/>
    <x v="2"/>
  </r>
  <r>
    <x v="63"/>
    <n v="1000009288"/>
    <s v="借呗12期"/>
    <n v="1"/>
    <n v="12000.48"/>
    <s v="借呗"/>
    <x v="0"/>
    <x v="0"/>
    <x v="1"/>
    <s v="二组"/>
    <s v="苏州二组"/>
    <s v="普通员工"/>
    <n v="12000.48"/>
    <n v="2020"/>
    <x v="2"/>
  </r>
  <r>
    <x v="63"/>
    <n v="1000010814"/>
    <s v="借呗12期"/>
    <n v="5"/>
    <n v="59502.219999999994"/>
    <s v="借呗"/>
    <x v="0"/>
    <x v="0"/>
    <x v="10"/>
    <s v="四组"/>
    <s v="南京四组"/>
    <s v="普通员工"/>
    <n v="11900.444"/>
    <n v="2020"/>
    <x v="2"/>
  </r>
  <r>
    <x v="63"/>
    <n v="1000010815"/>
    <s v="借呗12期"/>
    <n v="1"/>
    <n v="12000.22"/>
    <s v="借呗"/>
    <x v="0"/>
    <x v="0"/>
    <x v="10"/>
    <s v="一组"/>
    <s v="南京一组"/>
    <s v="普通员工"/>
    <n v="12000.22"/>
    <n v="2020"/>
    <x v="2"/>
  </r>
  <r>
    <x v="63"/>
    <n v="1000010837"/>
    <s v="借呗6期"/>
    <n v="2"/>
    <n v="15500.800000000001"/>
    <s v="借呗"/>
    <x v="1"/>
    <x v="0"/>
    <x v="10"/>
    <s v="一组"/>
    <s v="南京一组"/>
    <s v="普通员工"/>
    <n v="7750.4000000000005"/>
    <n v="2020"/>
    <x v="2"/>
  </r>
  <r>
    <x v="63"/>
    <n v="1000010837"/>
    <s v="借呗18期"/>
    <n v="1"/>
    <n v="20000.46"/>
    <s v="借呗"/>
    <x v="2"/>
    <x v="0"/>
    <x v="10"/>
    <s v="一组"/>
    <s v="南京一组"/>
    <s v="普通员工"/>
    <n v="20000.46"/>
    <n v="2020"/>
    <x v="2"/>
  </r>
  <r>
    <x v="63"/>
    <n v="1000010881"/>
    <s v="借呗6期"/>
    <n v="1"/>
    <n v="5000.2299999999996"/>
    <s v="借呗"/>
    <x v="1"/>
    <x v="2"/>
    <x v="6"/>
    <s v="一组"/>
    <s v="广州一组"/>
    <s v="普通员工"/>
    <n v="5000.2299999999996"/>
    <n v="2020"/>
    <x v="2"/>
  </r>
  <r>
    <x v="64"/>
    <n v="1000000028"/>
    <s v="借呗6期"/>
    <n v="1"/>
    <n v="3399.46"/>
    <s v="借呗"/>
    <x v="1"/>
    <x v="0"/>
    <x v="0"/>
    <s v="二组"/>
    <s v="杭州二组"/>
    <s v="普通员工"/>
    <n v="3399.46"/>
    <n v="2020"/>
    <x v="2"/>
  </r>
  <r>
    <x v="64"/>
    <n v="1000000029"/>
    <s v="借呗6期"/>
    <n v="2"/>
    <n v="6690.2"/>
    <s v="借呗"/>
    <x v="1"/>
    <x v="0"/>
    <x v="0"/>
    <s v="二组"/>
    <s v="杭州二组"/>
    <s v="普通员工"/>
    <n v="3345.1"/>
    <n v="2020"/>
    <x v="2"/>
  </r>
  <r>
    <x v="64"/>
    <n v="1000000029"/>
    <s v="借呗12期"/>
    <n v="1"/>
    <n v="15000.67"/>
    <s v="借呗"/>
    <x v="0"/>
    <x v="0"/>
    <x v="0"/>
    <s v="二组"/>
    <s v="杭州二组"/>
    <s v="普通员工"/>
    <n v="15000.67"/>
    <n v="2020"/>
    <x v="2"/>
  </r>
  <r>
    <x v="64"/>
    <n v="1000000030"/>
    <s v="借呗6期"/>
    <n v="2"/>
    <n v="17001.009999999998"/>
    <s v="借呗"/>
    <x v="1"/>
    <x v="2"/>
    <x v="6"/>
    <s v="三组"/>
    <s v="广州三组"/>
    <s v="普通员工"/>
    <n v="8500.5049999999992"/>
    <n v="2020"/>
    <x v="2"/>
  </r>
  <r>
    <x v="64"/>
    <n v="1000000031"/>
    <s v="借呗12期"/>
    <n v="1"/>
    <n v="10000.35"/>
    <s v="借呗"/>
    <x v="0"/>
    <x v="0"/>
    <x v="0"/>
    <s v="一组"/>
    <s v="杭州一组"/>
    <s v="管理人员"/>
    <n v="10000.35"/>
    <n v="2020"/>
    <x v="2"/>
  </r>
  <r>
    <x v="64"/>
    <n v="1000000032"/>
    <s v="借呗6期"/>
    <n v="3"/>
    <n v="51982.130000000005"/>
    <s v="借呗"/>
    <x v="1"/>
    <x v="0"/>
    <x v="1"/>
    <s v="一组"/>
    <s v="苏州一组"/>
    <s v="管理人员"/>
    <n v="17327.376666666667"/>
    <n v="2020"/>
    <x v="2"/>
  </r>
  <r>
    <x v="64"/>
    <n v="1000000033"/>
    <s v="借呗6期"/>
    <n v="1"/>
    <n v="500.48"/>
    <s v="借呗"/>
    <x v="1"/>
    <x v="0"/>
    <x v="1"/>
    <s v="一组"/>
    <s v="苏州一组"/>
    <s v="普通员工"/>
    <n v="500.48"/>
    <n v="2020"/>
    <x v="2"/>
  </r>
  <r>
    <x v="64"/>
    <n v="1000000033"/>
    <s v="借呗12期"/>
    <n v="2"/>
    <n v="26000.82"/>
    <s v="借呗"/>
    <x v="0"/>
    <x v="0"/>
    <x v="1"/>
    <s v="一组"/>
    <s v="苏州一组"/>
    <s v="普通员工"/>
    <n v="13000.41"/>
    <n v="2020"/>
    <x v="2"/>
  </r>
  <r>
    <x v="64"/>
    <n v="1000000034"/>
    <s v="借呗12期"/>
    <n v="2"/>
    <n v="13500.810000000001"/>
    <s v="借呗"/>
    <x v="0"/>
    <x v="0"/>
    <x v="1"/>
    <s v="一组"/>
    <s v="苏州一组"/>
    <s v="普通员工"/>
    <n v="6750.4050000000007"/>
    <n v="2020"/>
    <x v="2"/>
  </r>
  <r>
    <x v="64"/>
    <n v="1000000036"/>
    <s v="借呗12期"/>
    <n v="1"/>
    <n v="5000.6099999999997"/>
    <s v="借呗"/>
    <x v="0"/>
    <x v="2"/>
    <x v="6"/>
    <s v="三组"/>
    <s v="广州三组"/>
    <s v="管理人员"/>
    <n v="5000.6099999999997"/>
    <n v="2020"/>
    <x v="2"/>
  </r>
  <r>
    <x v="64"/>
    <n v="1000000036"/>
    <s v="借呗18期"/>
    <n v="1"/>
    <n v="9000.59"/>
    <s v="借呗"/>
    <x v="2"/>
    <x v="2"/>
    <x v="6"/>
    <s v="三组"/>
    <s v="广州三组"/>
    <s v="管理人员"/>
    <n v="9000.59"/>
    <n v="2020"/>
    <x v="2"/>
  </r>
  <r>
    <x v="64"/>
    <n v="1000000037"/>
    <s v="借呗6期"/>
    <n v="3"/>
    <n v="29677.469999999998"/>
    <s v="借呗"/>
    <x v="1"/>
    <x v="0"/>
    <x v="0"/>
    <s v="二组"/>
    <s v="杭州二组"/>
    <s v="普通员工"/>
    <n v="9892.49"/>
    <n v="2020"/>
    <x v="2"/>
  </r>
  <r>
    <x v="64"/>
    <n v="1000000037"/>
    <s v="借呗12期"/>
    <n v="1"/>
    <n v="10000.030000000001"/>
    <s v="借呗"/>
    <x v="0"/>
    <x v="0"/>
    <x v="0"/>
    <s v="二组"/>
    <s v="杭州二组"/>
    <s v="普通员工"/>
    <n v="10000.030000000001"/>
    <n v="2020"/>
    <x v="2"/>
  </r>
  <r>
    <x v="64"/>
    <n v="1000000039"/>
    <s v="借呗6期"/>
    <n v="2"/>
    <n v="2469.6400000000003"/>
    <s v="借呗"/>
    <x v="1"/>
    <x v="0"/>
    <x v="1"/>
    <s v="二组"/>
    <s v="苏州二组"/>
    <s v="管理人员"/>
    <n v="1234.8200000000002"/>
    <n v="2020"/>
    <x v="2"/>
  </r>
  <r>
    <x v="64"/>
    <n v="1000000039"/>
    <s v="借呗12期"/>
    <n v="1"/>
    <n v="7000.57"/>
    <s v="借呗"/>
    <x v="0"/>
    <x v="0"/>
    <x v="1"/>
    <s v="二组"/>
    <s v="苏州二组"/>
    <s v="管理人员"/>
    <n v="7000.57"/>
    <n v="2020"/>
    <x v="2"/>
  </r>
  <r>
    <x v="64"/>
    <n v="1000000039"/>
    <s v="借呗18期"/>
    <n v="1"/>
    <n v="2350.1999999999998"/>
    <s v="借呗"/>
    <x v="2"/>
    <x v="0"/>
    <x v="1"/>
    <s v="二组"/>
    <s v="苏州二组"/>
    <s v="管理人员"/>
    <n v="2350.1999999999998"/>
    <n v="2020"/>
    <x v="2"/>
  </r>
  <r>
    <x v="64"/>
    <n v="1000000040"/>
    <s v="借呗6期"/>
    <n v="1"/>
    <n v="1287.1400000000001"/>
    <s v="借呗"/>
    <x v="1"/>
    <x v="1"/>
    <x v="2"/>
    <s v="四组"/>
    <s v="北京四组"/>
    <s v="管理人员"/>
    <n v="1287.1400000000001"/>
    <n v="2020"/>
    <x v="2"/>
  </r>
  <r>
    <x v="64"/>
    <n v="1000000040"/>
    <s v="借呗12期"/>
    <n v="1"/>
    <n v="25000.69"/>
    <s v="借呗"/>
    <x v="0"/>
    <x v="1"/>
    <x v="2"/>
    <s v="四组"/>
    <s v="北京四组"/>
    <s v="管理人员"/>
    <n v="25000.69"/>
    <n v="2020"/>
    <x v="2"/>
  </r>
  <r>
    <x v="64"/>
    <n v="1000000041"/>
    <s v="借呗6期"/>
    <n v="1"/>
    <n v="8999.93"/>
    <s v="借呗"/>
    <x v="1"/>
    <x v="1"/>
    <x v="2"/>
    <s v="四组"/>
    <s v="北京四组"/>
    <s v="普通员工"/>
    <n v="8999.93"/>
    <n v="2020"/>
    <x v="2"/>
  </r>
  <r>
    <x v="64"/>
    <n v="1000000041"/>
    <s v="借呗12期"/>
    <n v="2"/>
    <n v="20001.03"/>
    <s v="借呗"/>
    <x v="0"/>
    <x v="1"/>
    <x v="2"/>
    <s v="四组"/>
    <s v="北京四组"/>
    <s v="普通员工"/>
    <n v="10000.514999999999"/>
    <n v="2020"/>
    <x v="2"/>
  </r>
  <r>
    <x v="64"/>
    <n v="1000000043"/>
    <s v="借呗12期"/>
    <n v="1"/>
    <n v="11000.27"/>
    <s v="借呗"/>
    <x v="0"/>
    <x v="1"/>
    <x v="4"/>
    <s v="一组"/>
    <s v="成都一组"/>
    <s v="普通员工"/>
    <n v="11000.27"/>
    <n v="2020"/>
    <x v="2"/>
  </r>
  <r>
    <x v="64"/>
    <n v="1000000044"/>
    <s v="借呗6期"/>
    <n v="2"/>
    <n v="29000.720000000001"/>
    <s v="借呗"/>
    <x v="1"/>
    <x v="1"/>
    <x v="2"/>
    <s v="三组"/>
    <s v="北京三组"/>
    <s v="管理人员"/>
    <n v="14500.36"/>
    <n v="2020"/>
    <x v="2"/>
  </r>
  <r>
    <x v="64"/>
    <n v="1000000045"/>
    <s v="借呗6期"/>
    <n v="1"/>
    <n v="9000.41"/>
    <s v="借呗"/>
    <x v="1"/>
    <x v="2"/>
    <x v="9"/>
    <s v="一组"/>
    <s v="深圳一组"/>
    <s v="普通员工"/>
    <n v="9000.41"/>
    <n v="2020"/>
    <x v="2"/>
  </r>
  <r>
    <x v="64"/>
    <n v="1000000046"/>
    <s v="借呗18期"/>
    <n v="1"/>
    <n v="13000.41"/>
    <s v="借呗"/>
    <x v="2"/>
    <x v="1"/>
    <x v="4"/>
    <s v="一组"/>
    <s v="成都一组"/>
    <s v="普通员工"/>
    <n v="13000.41"/>
    <n v="2020"/>
    <x v="2"/>
  </r>
  <r>
    <x v="64"/>
    <n v="1000000050"/>
    <s v="借呗6期"/>
    <n v="1"/>
    <n v="1000.34"/>
    <s v="借呗"/>
    <x v="1"/>
    <x v="0"/>
    <x v="5"/>
    <s v="一组"/>
    <s v="合肥一组"/>
    <s v="普通员工"/>
    <n v="1000.34"/>
    <n v="2020"/>
    <x v="2"/>
  </r>
  <r>
    <x v="64"/>
    <n v="1000000050"/>
    <s v="借呗12期"/>
    <n v="1"/>
    <n v="20000.599999999999"/>
    <s v="借呗"/>
    <x v="0"/>
    <x v="0"/>
    <x v="5"/>
    <s v="一组"/>
    <s v="合肥一组"/>
    <s v="普通员工"/>
    <n v="20000.599999999999"/>
    <n v="2020"/>
    <x v="2"/>
  </r>
  <r>
    <x v="64"/>
    <n v="1000000050"/>
    <s v="借呗18期"/>
    <n v="3"/>
    <n v="40001.49"/>
    <s v="借呗"/>
    <x v="2"/>
    <x v="0"/>
    <x v="5"/>
    <s v="一组"/>
    <s v="合肥一组"/>
    <s v="普通员工"/>
    <n v="13333.83"/>
    <n v="2020"/>
    <x v="2"/>
  </r>
  <r>
    <x v="64"/>
    <n v="1000000051"/>
    <s v="借呗12期"/>
    <n v="1"/>
    <n v="2000.57"/>
    <s v="借呗"/>
    <x v="0"/>
    <x v="0"/>
    <x v="3"/>
    <s v="二组"/>
    <s v="上海二组"/>
    <s v="普通员工"/>
    <n v="2000.57"/>
    <n v="2020"/>
    <x v="2"/>
  </r>
  <r>
    <x v="64"/>
    <n v="1000000054"/>
    <s v="借呗6期"/>
    <n v="1"/>
    <n v="10000.34"/>
    <s v="借呗"/>
    <x v="1"/>
    <x v="0"/>
    <x v="3"/>
    <s v="一组"/>
    <s v="上海一组"/>
    <s v="普通员工"/>
    <n v="10000.34"/>
    <n v="2020"/>
    <x v="2"/>
  </r>
  <r>
    <x v="64"/>
    <n v="1000000056"/>
    <s v="借呗6期"/>
    <n v="1"/>
    <n v="10000.43"/>
    <s v="借呗"/>
    <x v="1"/>
    <x v="0"/>
    <x v="3"/>
    <s v="一组"/>
    <s v="上海一组"/>
    <s v="管理人员"/>
    <n v="10000.43"/>
    <n v="2020"/>
    <x v="2"/>
  </r>
  <r>
    <x v="64"/>
    <n v="1000000104"/>
    <s v="借呗6期"/>
    <n v="1"/>
    <n v="13000.33"/>
    <s v="借呗"/>
    <x v="1"/>
    <x v="0"/>
    <x v="5"/>
    <s v="一组"/>
    <s v="合肥一组"/>
    <s v="普通员工"/>
    <n v="13000.33"/>
    <n v="2020"/>
    <x v="2"/>
  </r>
  <r>
    <x v="64"/>
    <n v="1000000237"/>
    <s v="借呗18期"/>
    <n v="1"/>
    <n v="9000.02"/>
    <s v="借呗"/>
    <x v="2"/>
    <x v="0"/>
    <x v="5"/>
    <s v="一组"/>
    <s v="合肥一组"/>
    <s v="普通员工"/>
    <n v="9000.02"/>
    <n v="2020"/>
    <x v="2"/>
  </r>
  <r>
    <x v="64"/>
    <n v="1000000566"/>
    <s v="借呗6期"/>
    <n v="3"/>
    <n v="32501.18"/>
    <s v="借呗"/>
    <x v="1"/>
    <x v="2"/>
    <x v="6"/>
    <s v="三组"/>
    <s v="广州三组"/>
    <s v="普通员工"/>
    <n v="10833.726666666667"/>
    <n v="2020"/>
    <x v="2"/>
  </r>
  <r>
    <x v="64"/>
    <n v="1000000566"/>
    <s v="借呗18期"/>
    <n v="1"/>
    <n v="733.23"/>
    <s v="借呗"/>
    <x v="2"/>
    <x v="2"/>
    <x v="6"/>
    <s v="三组"/>
    <s v="广州三组"/>
    <s v="普通员工"/>
    <n v="733.23"/>
    <n v="2020"/>
    <x v="2"/>
  </r>
  <r>
    <x v="64"/>
    <n v="1000001524"/>
    <s v="借呗6期"/>
    <n v="2"/>
    <n v="34000.449999999997"/>
    <s v="借呗"/>
    <x v="1"/>
    <x v="0"/>
    <x v="1"/>
    <s v="二组"/>
    <s v="苏州二组"/>
    <s v="普通员工"/>
    <n v="17000.224999999999"/>
    <n v="2020"/>
    <x v="2"/>
  </r>
  <r>
    <x v="64"/>
    <n v="1000003803"/>
    <s v="借呗6期"/>
    <n v="1"/>
    <n v="9500.02"/>
    <s v="借呗"/>
    <x v="1"/>
    <x v="1"/>
    <x v="2"/>
    <s v="三组"/>
    <s v="北京三组"/>
    <s v="普通员工"/>
    <n v="9500.02"/>
    <n v="2020"/>
    <x v="2"/>
  </r>
  <r>
    <x v="64"/>
    <n v="1000003803"/>
    <s v="借呗12期"/>
    <n v="2"/>
    <n v="39001.06"/>
    <s v="借呗"/>
    <x v="0"/>
    <x v="1"/>
    <x v="2"/>
    <s v="三组"/>
    <s v="北京三组"/>
    <s v="普通员工"/>
    <n v="19500.53"/>
    <n v="2020"/>
    <x v="2"/>
  </r>
  <r>
    <x v="64"/>
    <n v="1000003926"/>
    <s v="借呗12期"/>
    <n v="2"/>
    <n v="18000.79"/>
    <s v="借呗"/>
    <x v="0"/>
    <x v="2"/>
    <x v="6"/>
    <s v="一组"/>
    <s v="广州一组"/>
    <s v="管理人员"/>
    <n v="9000.3950000000004"/>
    <n v="2020"/>
    <x v="2"/>
  </r>
  <r>
    <x v="64"/>
    <n v="1000003926"/>
    <s v="借呗18期"/>
    <n v="1"/>
    <n v="5000.38"/>
    <s v="借呗"/>
    <x v="2"/>
    <x v="2"/>
    <x v="6"/>
    <s v="一组"/>
    <s v="广州一组"/>
    <s v="管理人员"/>
    <n v="5000.38"/>
    <n v="2020"/>
    <x v="2"/>
  </r>
  <r>
    <x v="64"/>
    <n v="1000003989"/>
    <s v="借呗6期"/>
    <n v="1"/>
    <n v="20000.13"/>
    <s v="借呗"/>
    <x v="1"/>
    <x v="1"/>
    <x v="2"/>
    <s v="三组"/>
    <s v="北京三组"/>
    <s v="普通员工"/>
    <n v="20000.13"/>
    <n v="2020"/>
    <x v="2"/>
  </r>
  <r>
    <x v="64"/>
    <n v="1000004170"/>
    <s v="借呗6期"/>
    <n v="1"/>
    <n v="6500.26"/>
    <s v="借呗"/>
    <x v="1"/>
    <x v="0"/>
    <x v="3"/>
    <s v="二组"/>
    <s v="上海二组"/>
    <s v="管理人员"/>
    <n v="6500.26"/>
    <n v="2020"/>
    <x v="2"/>
  </r>
  <r>
    <x v="64"/>
    <n v="1000004256"/>
    <s v="借呗18期"/>
    <n v="1"/>
    <n v="22000.13"/>
    <s v="借呗"/>
    <x v="2"/>
    <x v="0"/>
    <x v="5"/>
    <s v="一组"/>
    <s v="合肥一组"/>
    <s v="普通员工"/>
    <n v="22000.13"/>
    <n v="2020"/>
    <x v="2"/>
  </r>
  <r>
    <x v="64"/>
    <n v="1000005873"/>
    <s v="借呗6期"/>
    <n v="1"/>
    <n v="999.96"/>
    <s v="借呗"/>
    <x v="1"/>
    <x v="0"/>
    <x v="0"/>
    <s v="二组"/>
    <s v="杭州二组"/>
    <s v="管理人员"/>
    <n v="999.96"/>
    <n v="2020"/>
    <x v="2"/>
  </r>
  <r>
    <x v="64"/>
    <n v="1000005873"/>
    <s v="借呗12期"/>
    <n v="1"/>
    <n v="13000.27"/>
    <s v="借呗"/>
    <x v="0"/>
    <x v="0"/>
    <x v="0"/>
    <s v="二组"/>
    <s v="杭州二组"/>
    <s v="管理人员"/>
    <n v="13000.27"/>
    <n v="2020"/>
    <x v="2"/>
  </r>
  <r>
    <x v="64"/>
    <n v="1000005873"/>
    <s v="借呗18期"/>
    <n v="1"/>
    <n v="9000.09"/>
    <s v="借呗"/>
    <x v="2"/>
    <x v="0"/>
    <x v="0"/>
    <s v="二组"/>
    <s v="杭州二组"/>
    <s v="管理人员"/>
    <n v="9000.09"/>
    <n v="2020"/>
    <x v="2"/>
  </r>
  <r>
    <x v="64"/>
    <n v="1000006064"/>
    <s v="借呗12期"/>
    <n v="1"/>
    <n v="16000.59"/>
    <s v="借呗"/>
    <x v="0"/>
    <x v="0"/>
    <x v="5"/>
    <s v="一组"/>
    <s v="合肥一组"/>
    <s v="普通员工"/>
    <n v="16000.59"/>
    <n v="2020"/>
    <x v="2"/>
  </r>
  <r>
    <x v="64"/>
    <n v="1000006698"/>
    <s v="借呗6期"/>
    <n v="1"/>
    <n v="10999.93"/>
    <s v="借呗"/>
    <x v="1"/>
    <x v="1"/>
    <x v="4"/>
    <s v="一组"/>
    <s v="成都一组"/>
    <s v="管理人员"/>
    <n v="10999.93"/>
    <n v="2020"/>
    <x v="2"/>
  </r>
  <r>
    <x v="64"/>
    <n v="1000006698"/>
    <s v="借呗12期"/>
    <n v="1"/>
    <n v="12000.72"/>
    <s v="借呗"/>
    <x v="0"/>
    <x v="1"/>
    <x v="4"/>
    <s v="一组"/>
    <s v="成都一组"/>
    <s v="管理人员"/>
    <n v="12000.72"/>
    <n v="2020"/>
    <x v="2"/>
  </r>
  <r>
    <x v="64"/>
    <n v="1000006859"/>
    <s v="借呗6期"/>
    <n v="1"/>
    <n v="10000.25"/>
    <s v="借呗"/>
    <x v="1"/>
    <x v="0"/>
    <x v="10"/>
    <s v="一组"/>
    <s v="南京一组"/>
    <s v="普通员工"/>
    <n v="10000.25"/>
    <n v="2020"/>
    <x v="2"/>
  </r>
  <r>
    <x v="64"/>
    <n v="1000006867"/>
    <s v="借呗12期"/>
    <n v="3"/>
    <n v="49001.08"/>
    <s v="借呗"/>
    <x v="0"/>
    <x v="0"/>
    <x v="10"/>
    <s v="一组"/>
    <s v="南京一组"/>
    <s v="普通员工"/>
    <n v="16333.693333333335"/>
    <n v="2020"/>
    <x v="2"/>
  </r>
  <r>
    <x v="64"/>
    <n v="1000006869"/>
    <s v="借呗6期"/>
    <n v="1"/>
    <n v="14000.1"/>
    <s v="借呗"/>
    <x v="1"/>
    <x v="0"/>
    <x v="10"/>
    <s v="一组"/>
    <s v="南京一组"/>
    <s v="普通员工"/>
    <n v="14000.1"/>
    <n v="2020"/>
    <x v="2"/>
  </r>
  <r>
    <x v="64"/>
    <n v="1000007197"/>
    <s v="借呗12期"/>
    <n v="1"/>
    <n v="13000.72"/>
    <s v="借呗"/>
    <x v="0"/>
    <x v="0"/>
    <x v="5"/>
    <s v="一组"/>
    <s v="合肥一组"/>
    <s v="普通员工"/>
    <n v="13000.72"/>
    <n v="2020"/>
    <x v="2"/>
  </r>
  <r>
    <x v="64"/>
    <n v="1000007320"/>
    <s v="借呗12期"/>
    <n v="1"/>
    <n v="16000.74"/>
    <s v="借呗"/>
    <x v="0"/>
    <x v="0"/>
    <x v="3"/>
    <s v="一组"/>
    <s v="上海一组"/>
    <s v="普通员工"/>
    <n v="16000.74"/>
    <n v="2020"/>
    <x v="2"/>
  </r>
  <r>
    <x v="64"/>
    <n v="1000007320"/>
    <s v="借呗18期"/>
    <n v="1"/>
    <n v="9000.06"/>
    <s v="借呗"/>
    <x v="2"/>
    <x v="0"/>
    <x v="3"/>
    <s v="一组"/>
    <s v="上海一组"/>
    <s v="普通员工"/>
    <n v="9000.06"/>
    <n v="2020"/>
    <x v="2"/>
  </r>
  <r>
    <x v="64"/>
    <n v="1000008239"/>
    <s v="借呗12期"/>
    <n v="1"/>
    <n v="20000.169999999998"/>
    <s v="借呗"/>
    <x v="0"/>
    <x v="0"/>
    <x v="10"/>
    <s v="一组"/>
    <s v="南京一组"/>
    <s v="管理人员"/>
    <n v="20000.169999999998"/>
    <n v="2020"/>
    <x v="2"/>
  </r>
  <r>
    <x v="64"/>
    <n v="1000008239"/>
    <s v="借呗18期"/>
    <n v="1"/>
    <n v="5000.3999999999996"/>
    <s v="借呗"/>
    <x v="2"/>
    <x v="0"/>
    <x v="10"/>
    <s v="一组"/>
    <s v="南京一组"/>
    <s v="管理人员"/>
    <n v="5000.3999999999996"/>
    <n v="2020"/>
    <x v="2"/>
  </r>
  <r>
    <x v="64"/>
    <n v="1000008542"/>
    <s v="借呗6期"/>
    <n v="1"/>
    <n v="16000.61"/>
    <s v="借呗"/>
    <x v="1"/>
    <x v="0"/>
    <x v="5"/>
    <s v="一组"/>
    <s v="合肥一组"/>
    <s v="普通员工"/>
    <n v="16000.61"/>
    <n v="2020"/>
    <x v="2"/>
  </r>
  <r>
    <x v="64"/>
    <n v="1000008957"/>
    <s v="借呗12期"/>
    <n v="1"/>
    <n v="4000.31"/>
    <s v="借呗"/>
    <x v="0"/>
    <x v="0"/>
    <x v="3"/>
    <s v="二组"/>
    <s v="上海二组"/>
    <s v="普通员工"/>
    <n v="4000.31"/>
    <n v="2020"/>
    <x v="2"/>
  </r>
  <r>
    <x v="64"/>
    <n v="1000009288"/>
    <s v="借呗12期"/>
    <n v="2"/>
    <n v="12500.16"/>
    <s v="借呗"/>
    <x v="0"/>
    <x v="0"/>
    <x v="1"/>
    <s v="二组"/>
    <s v="苏州二组"/>
    <s v="普通员工"/>
    <n v="6250.08"/>
    <n v="2020"/>
    <x v="2"/>
  </r>
  <r>
    <x v="64"/>
    <n v="1000010815"/>
    <s v="借呗18期"/>
    <n v="1"/>
    <n v="6000.56"/>
    <s v="借呗"/>
    <x v="2"/>
    <x v="0"/>
    <x v="10"/>
    <s v="一组"/>
    <s v="南京一组"/>
    <s v="普通员工"/>
    <n v="6000.56"/>
    <n v="2020"/>
    <x v="2"/>
  </r>
  <r>
    <x v="65"/>
    <n v="1000000028"/>
    <s v="借呗6期"/>
    <n v="1"/>
    <n v="650.47"/>
    <s v="借呗"/>
    <x v="1"/>
    <x v="0"/>
    <x v="0"/>
    <s v="二组"/>
    <s v="杭州二组"/>
    <s v="普通员工"/>
    <n v="650.47"/>
    <n v="2020"/>
    <x v="2"/>
  </r>
  <r>
    <x v="65"/>
    <n v="1000000029"/>
    <s v="借呗6期"/>
    <n v="1"/>
    <n v="1672.74"/>
    <s v="借呗"/>
    <x v="1"/>
    <x v="0"/>
    <x v="0"/>
    <s v="二组"/>
    <s v="杭州二组"/>
    <s v="普通员工"/>
    <n v="1672.74"/>
    <n v="2020"/>
    <x v="2"/>
  </r>
  <r>
    <x v="65"/>
    <n v="1000000029"/>
    <s v="借呗12期"/>
    <n v="3"/>
    <n v="37501.339999999997"/>
    <s v="借呗"/>
    <x v="0"/>
    <x v="0"/>
    <x v="0"/>
    <s v="二组"/>
    <s v="杭州二组"/>
    <s v="普通员工"/>
    <n v="12500.446666666665"/>
    <n v="2020"/>
    <x v="2"/>
  </r>
  <r>
    <x v="65"/>
    <n v="1000000030"/>
    <s v="借呗6期"/>
    <n v="2"/>
    <n v="6500.38"/>
    <s v="借呗"/>
    <x v="1"/>
    <x v="2"/>
    <x v="6"/>
    <s v="三组"/>
    <s v="广州三组"/>
    <s v="普通员工"/>
    <n v="3250.19"/>
    <n v="2020"/>
    <x v="2"/>
  </r>
  <r>
    <x v="65"/>
    <n v="1000000031"/>
    <s v="借呗6期"/>
    <n v="2"/>
    <n v="26001.18"/>
    <s v="借呗"/>
    <x v="1"/>
    <x v="0"/>
    <x v="0"/>
    <s v="一组"/>
    <s v="杭州一组"/>
    <s v="管理人员"/>
    <n v="13000.59"/>
    <n v="2020"/>
    <x v="2"/>
  </r>
  <r>
    <x v="65"/>
    <n v="1000000031"/>
    <s v="借呗12期"/>
    <n v="4"/>
    <n v="51001.760000000002"/>
    <s v="借呗"/>
    <x v="0"/>
    <x v="0"/>
    <x v="0"/>
    <s v="一组"/>
    <s v="杭州一组"/>
    <s v="管理人员"/>
    <n v="12750.44"/>
    <n v="2020"/>
    <x v="2"/>
  </r>
  <r>
    <x v="65"/>
    <n v="1000000032"/>
    <s v="借呗6期"/>
    <n v="1"/>
    <n v="13000.64"/>
    <s v="借呗"/>
    <x v="1"/>
    <x v="0"/>
    <x v="1"/>
    <s v="一组"/>
    <s v="苏州一组"/>
    <s v="管理人员"/>
    <n v="13000.64"/>
    <n v="2020"/>
    <x v="2"/>
  </r>
  <r>
    <x v="65"/>
    <n v="1000000032"/>
    <s v="借呗12期"/>
    <n v="1"/>
    <n v="702.05"/>
    <s v="借呗"/>
    <x v="0"/>
    <x v="0"/>
    <x v="1"/>
    <s v="一组"/>
    <s v="苏州一组"/>
    <s v="管理人员"/>
    <n v="702.05"/>
    <n v="2020"/>
    <x v="2"/>
  </r>
  <r>
    <x v="65"/>
    <n v="1000000033"/>
    <s v="借呗6期"/>
    <n v="2"/>
    <n v="5000.96"/>
    <s v="借呗"/>
    <x v="1"/>
    <x v="0"/>
    <x v="1"/>
    <s v="一组"/>
    <s v="苏州一组"/>
    <s v="普通员工"/>
    <n v="2500.48"/>
    <n v="2020"/>
    <x v="2"/>
  </r>
  <r>
    <x v="65"/>
    <n v="1000000033"/>
    <s v="借呗12期"/>
    <n v="2"/>
    <n v="18000.78"/>
    <s v="借呗"/>
    <x v="0"/>
    <x v="0"/>
    <x v="1"/>
    <s v="一组"/>
    <s v="苏州一组"/>
    <s v="普通员工"/>
    <n v="9000.39"/>
    <n v="2020"/>
    <x v="2"/>
  </r>
  <r>
    <x v="65"/>
    <n v="1000000034"/>
    <s v="借呗12期"/>
    <n v="2"/>
    <n v="13000.97"/>
    <s v="借呗"/>
    <x v="0"/>
    <x v="0"/>
    <x v="1"/>
    <s v="一组"/>
    <s v="苏州一组"/>
    <s v="普通员工"/>
    <n v="6500.4849999999997"/>
    <n v="2020"/>
    <x v="2"/>
  </r>
  <r>
    <x v="65"/>
    <n v="1000000034"/>
    <s v="借呗18期"/>
    <n v="1"/>
    <n v="15000.72"/>
    <s v="借呗"/>
    <x v="2"/>
    <x v="0"/>
    <x v="1"/>
    <s v="一组"/>
    <s v="苏州一组"/>
    <s v="普通员工"/>
    <n v="15000.72"/>
    <n v="2020"/>
    <x v="2"/>
  </r>
  <r>
    <x v="65"/>
    <n v="1000000035"/>
    <s v="借呗6期"/>
    <n v="1"/>
    <n v="1520.75"/>
    <s v="借呗"/>
    <x v="1"/>
    <x v="0"/>
    <x v="1"/>
    <s v="三组"/>
    <s v="苏州三组"/>
    <s v="普通员工"/>
    <n v="1520.75"/>
    <n v="2020"/>
    <x v="2"/>
  </r>
  <r>
    <x v="65"/>
    <n v="1000000036"/>
    <s v="借呗6期"/>
    <n v="2"/>
    <n v="2901.25"/>
    <s v="借呗"/>
    <x v="1"/>
    <x v="2"/>
    <x v="6"/>
    <s v="三组"/>
    <s v="广州三组"/>
    <s v="管理人员"/>
    <n v="1450.625"/>
    <n v="2020"/>
    <x v="2"/>
  </r>
  <r>
    <x v="65"/>
    <n v="1000000036"/>
    <s v="借呗12期"/>
    <n v="3"/>
    <n v="48000.539999999994"/>
    <s v="借呗"/>
    <x v="0"/>
    <x v="2"/>
    <x v="6"/>
    <s v="三组"/>
    <s v="广州三组"/>
    <s v="管理人员"/>
    <n v="16000.179999999998"/>
    <n v="2020"/>
    <x v="2"/>
  </r>
  <r>
    <x v="65"/>
    <n v="1000000037"/>
    <s v="借呗6期"/>
    <n v="2"/>
    <n v="18000.57"/>
    <s v="借呗"/>
    <x v="1"/>
    <x v="0"/>
    <x v="0"/>
    <s v="二组"/>
    <s v="杭州二组"/>
    <s v="普通员工"/>
    <n v="9000.2849999999999"/>
    <n v="2020"/>
    <x v="2"/>
  </r>
  <r>
    <x v="65"/>
    <n v="1000000037"/>
    <s v="借呗12期"/>
    <n v="1"/>
    <n v="10000.16"/>
    <s v="借呗"/>
    <x v="0"/>
    <x v="0"/>
    <x v="0"/>
    <s v="二组"/>
    <s v="杭州二组"/>
    <s v="普通员工"/>
    <n v="10000.16"/>
    <n v="2020"/>
    <x v="2"/>
  </r>
  <r>
    <x v="65"/>
    <n v="1000000039"/>
    <s v="借呗12期"/>
    <n v="1"/>
    <n v="9000.3700000000008"/>
    <s v="借呗"/>
    <x v="0"/>
    <x v="0"/>
    <x v="1"/>
    <s v="二组"/>
    <s v="苏州二组"/>
    <s v="管理人员"/>
    <n v="9000.3700000000008"/>
    <n v="2020"/>
    <x v="2"/>
  </r>
  <r>
    <x v="65"/>
    <n v="1000000039"/>
    <s v="借呗18期"/>
    <n v="1"/>
    <n v="16000.41"/>
    <s v="借呗"/>
    <x v="2"/>
    <x v="0"/>
    <x v="1"/>
    <s v="二组"/>
    <s v="苏州二组"/>
    <s v="管理人员"/>
    <n v="16000.41"/>
    <n v="2020"/>
    <x v="2"/>
  </r>
  <r>
    <x v="65"/>
    <n v="1000000040"/>
    <s v="借呗12期"/>
    <n v="4"/>
    <n v="31501.379999999997"/>
    <s v="借呗"/>
    <x v="0"/>
    <x v="1"/>
    <x v="2"/>
    <s v="四组"/>
    <s v="北京四组"/>
    <s v="管理人员"/>
    <n v="7875.3449999999993"/>
    <n v="2020"/>
    <x v="2"/>
  </r>
  <r>
    <x v="65"/>
    <n v="1000000041"/>
    <s v="借呗12期"/>
    <n v="2"/>
    <n v="35000.75"/>
    <s v="借呗"/>
    <x v="0"/>
    <x v="1"/>
    <x v="2"/>
    <s v="四组"/>
    <s v="北京四组"/>
    <s v="普通员工"/>
    <n v="17500.375"/>
    <n v="2020"/>
    <x v="2"/>
  </r>
  <r>
    <x v="65"/>
    <n v="1000000043"/>
    <s v="借呗18期"/>
    <n v="1"/>
    <n v="758.48"/>
    <s v="借呗"/>
    <x v="2"/>
    <x v="1"/>
    <x v="4"/>
    <s v="一组"/>
    <s v="成都一组"/>
    <s v="普通员工"/>
    <n v="758.48"/>
    <n v="2020"/>
    <x v="2"/>
  </r>
  <r>
    <x v="65"/>
    <n v="1000000044"/>
    <s v="借呗6期"/>
    <n v="3"/>
    <n v="7027.59"/>
    <s v="借呗"/>
    <x v="1"/>
    <x v="1"/>
    <x v="2"/>
    <s v="三组"/>
    <s v="北京三组"/>
    <s v="管理人员"/>
    <n v="2342.5300000000002"/>
    <n v="2020"/>
    <x v="2"/>
  </r>
  <r>
    <x v="65"/>
    <n v="1000000045"/>
    <s v="借呗6期"/>
    <n v="1"/>
    <n v="15000.24"/>
    <s v="借呗"/>
    <x v="1"/>
    <x v="2"/>
    <x v="9"/>
    <s v="一组"/>
    <s v="深圳一组"/>
    <s v="普通员工"/>
    <n v="15000.24"/>
    <n v="2020"/>
    <x v="2"/>
  </r>
  <r>
    <x v="65"/>
    <n v="1000000045"/>
    <s v="借呗18期"/>
    <n v="1"/>
    <n v="5000.59"/>
    <s v="借呗"/>
    <x v="2"/>
    <x v="2"/>
    <x v="9"/>
    <s v="一组"/>
    <s v="深圳一组"/>
    <s v="普通员工"/>
    <n v="5000.59"/>
    <n v="2020"/>
    <x v="2"/>
  </r>
  <r>
    <x v="65"/>
    <n v="1000000049"/>
    <s v="借呗18期"/>
    <n v="1"/>
    <n v="3492.66"/>
    <s v="借呗"/>
    <x v="2"/>
    <x v="0"/>
    <x v="5"/>
    <s v="一组"/>
    <s v="合肥一组"/>
    <s v="普通员工"/>
    <n v="3492.66"/>
    <n v="2020"/>
    <x v="2"/>
  </r>
  <r>
    <x v="65"/>
    <n v="1000000050"/>
    <s v="借呗6期"/>
    <n v="1"/>
    <n v="1100.71"/>
    <s v="借呗"/>
    <x v="1"/>
    <x v="0"/>
    <x v="5"/>
    <s v="一组"/>
    <s v="合肥一组"/>
    <s v="普通员工"/>
    <n v="1100.71"/>
    <n v="2020"/>
    <x v="2"/>
  </r>
  <r>
    <x v="65"/>
    <n v="1000000050"/>
    <s v="借呗18期"/>
    <n v="1"/>
    <n v="13000.15"/>
    <s v="借呗"/>
    <x v="2"/>
    <x v="0"/>
    <x v="5"/>
    <s v="一组"/>
    <s v="合肥一组"/>
    <s v="普通员工"/>
    <n v="13000.15"/>
    <n v="2020"/>
    <x v="2"/>
  </r>
  <r>
    <x v="65"/>
    <n v="1000000056"/>
    <s v="借呗6期"/>
    <n v="4"/>
    <n v="27941.309999999998"/>
    <s v="借呗"/>
    <x v="1"/>
    <x v="0"/>
    <x v="3"/>
    <s v="一组"/>
    <s v="上海一组"/>
    <s v="管理人员"/>
    <n v="6985.3274999999994"/>
    <n v="2020"/>
    <x v="2"/>
  </r>
  <r>
    <x v="65"/>
    <n v="1000000056"/>
    <s v="借呗12期"/>
    <n v="1"/>
    <n v="17000.54"/>
    <s v="借呗"/>
    <x v="0"/>
    <x v="0"/>
    <x v="3"/>
    <s v="一组"/>
    <s v="上海一组"/>
    <s v="管理人员"/>
    <n v="17000.54"/>
    <n v="2020"/>
    <x v="2"/>
  </r>
  <r>
    <x v="65"/>
    <n v="1000000057"/>
    <s v="借呗18期"/>
    <n v="1"/>
    <n v="526.44000000000005"/>
    <s v="借呗"/>
    <x v="2"/>
    <x v="0"/>
    <x v="3"/>
    <s v="二组"/>
    <s v="上海二组"/>
    <s v="普通员工"/>
    <n v="526.44000000000005"/>
    <n v="2020"/>
    <x v="2"/>
  </r>
  <r>
    <x v="65"/>
    <n v="1000000067"/>
    <s v="借呗12期"/>
    <n v="3"/>
    <n v="40001.589999999997"/>
    <s v="借呗"/>
    <x v="0"/>
    <x v="0"/>
    <x v="1"/>
    <s v="二组"/>
    <s v="苏州二组"/>
    <s v="普通员工"/>
    <n v="13333.863333333333"/>
    <n v="2020"/>
    <x v="2"/>
  </r>
  <r>
    <x v="65"/>
    <n v="1000000067"/>
    <s v="借呗18期"/>
    <n v="1"/>
    <n v="1400.54"/>
    <s v="借呗"/>
    <x v="2"/>
    <x v="0"/>
    <x v="1"/>
    <s v="二组"/>
    <s v="苏州二组"/>
    <s v="普通员工"/>
    <n v="1400.54"/>
    <n v="2020"/>
    <x v="2"/>
  </r>
  <r>
    <x v="65"/>
    <n v="1000000068"/>
    <s v="借呗18期"/>
    <n v="2"/>
    <n v="19750.689999999999"/>
    <s v="借呗"/>
    <x v="2"/>
    <x v="1"/>
    <x v="7"/>
    <s v="一组"/>
    <s v="重庆一组"/>
    <s v="管理人员"/>
    <n v="9875.3449999999993"/>
    <n v="2020"/>
    <x v="2"/>
  </r>
  <r>
    <x v="65"/>
    <n v="1000000237"/>
    <s v="借呗18期"/>
    <n v="2"/>
    <n v="1298.19"/>
    <s v="借呗"/>
    <x v="2"/>
    <x v="0"/>
    <x v="5"/>
    <s v="一组"/>
    <s v="合肥一组"/>
    <s v="普通员工"/>
    <n v="649.09500000000003"/>
    <n v="2020"/>
    <x v="2"/>
  </r>
  <r>
    <x v="65"/>
    <n v="1000000566"/>
    <s v="借呗6期"/>
    <n v="1"/>
    <n v="11000.1"/>
    <s v="借呗"/>
    <x v="1"/>
    <x v="2"/>
    <x v="6"/>
    <s v="三组"/>
    <s v="广州三组"/>
    <s v="普通员工"/>
    <n v="11000.1"/>
    <n v="2020"/>
    <x v="2"/>
  </r>
  <r>
    <x v="65"/>
    <n v="1000000566"/>
    <s v="借呗18期"/>
    <n v="1"/>
    <n v="10000.35"/>
    <s v="借呗"/>
    <x v="2"/>
    <x v="2"/>
    <x v="6"/>
    <s v="三组"/>
    <s v="广州三组"/>
    <s v="普通员工"/>
    <n v="10000.35"/>
    <n v="2020"/>
    <x v="2"/>
  </r>
  <r>
    <x v="65"/>
    <n v="1000000576"/>
    <s v="借呗6期"/>
    <n v="1"/>
    <n v="3198.94"/>
    <s v="借呗"/>
    <x v="1"/>
    <x v="0"/>
    <x v="1"/>
    <s v="三组"/>
    <s v="苏州三组"/>
    <s v="普通员工"/>
    <n v="3198.94"/>
    <n v="2020"/>
    <x v="2"/>
  </r>
  <r>
    <x v="65"/>
    <n v="1000000576"/>
    <s v="借呗12期"/>
    <n v="1"/>
    <n v="20000.66"/>
    <s v="借呗"/>
    <x v="0"/>
    <x v="0"/>
    <x v="1"/>
    <s v="三组"/>
    <s v="苏州三组"/>
    <s v="普通员工"/>
    <n v="20000.66"/>
    <n v="2020"/>
    <x v="2"/>
  </r>
  <r>
    <x v="65"/>
    <n v="1000000576"/>
    <s v="借呗18期"/>
    <n v="1"/>
    <n v="2867.35"/>
    <s v="借呗"/>
    <x v="2"/>
    <x v="0"/>
    <x v="1"/>
    <s v="三组"/>
    <s v="苏州三组"/>
    <s v="普通员工"/>
    <n v="2867.35"/>
    <n v="2020"/>
    <x v="2"/>
  </r>
  <r>
    <x v="65"/>
    <n v="1000000928"/>
    <s v="借呗12期"/>
    <n v="1"/>
    <n v="7000.31"/>
    <s v="借呗"/>
    <x v="0"/>
    <x v="1"/>
    <x v="8"/>
    <s v="一组"/>
    <s v="西安一组"/>
    <s v="普通员工"/>
    <n v="7000.31"/>
    <n v="2020"/>
    <x v="2"/>
  </r>
  <r>
    <x v="65"/>
    <n v="1000003926"/>
    <s v="借呗6期"/>
    <n v="2"/>
    <n v="30000.73"/>
    <s v="借呗"/>
    <x v="1"/>
    <x v="2"/>
    <x v="6"/>
    <s v="一组"/>
    <s v="广州一组"/>
    <s v="管理人员"/>
    <n v="15000.365"/>
    <n v="2020"/>
    <x v="2"/>
  </r>
  <r>
    <x v="65"/>
    <n v="1000003926"/>
    <s v="借呗12期"/>
    <n v="6"/>
    <n v="86002.26999999999"/>
    <s v="借呗"/>
    <x v="0"/>
    <x v="2"/>
    <x v="6"/>
    <s v="一组"/>
    <s v="广州一组"/>
    <s v="管理人员"/>
    <n v="14333.711666666664"/>
    <n v="2020"/>
    <x v="2"/>
  </r>
  <r>
    <x v="65"/>
    <n v="1000004170"/>
    <s v="借呗6期"/>
    <n v="5"/>
    <n v="74001.239999999991"/>
    <s v="借呗"/>
    <x v="1"/>
    <x v="0"/>
    <x v="3"/>
    <s v="二组"/>
    <s v="上海二组"/>
    <s v="管理人员"/>
    <n v="14800.247999999998"/>
    <n v="2020"/>
    <x v="2"/>
  </r>
  <r>
    <x v="65"/>
    <n v="1000004256"/>
    <s v="借呗6期"/>
    <n v="1"/>
    <n v="30000.3"/>
    <s v="借呗"/>
    <x v="1"/>
    <x v="0"/>
    <x v="5"/>
    <s v="一组"/>
    <s v="合肥一组"/>
    <s v="普通员工"/>
    <n v="30000.3"/>
    <n v="2020"/>
    <x v="2"/>
  </r>
  <r>
    <x v="65"/>
    <n v="1000004256"/>
    <s v="借呗18期"/>
    <n v="2"/>
    <n v="22907.120000000003"/>
    <s v="借呗"/>
    <x v="2"/>
    <x v="0"/>
    <x v="5"/>
    <s v="一组"/>
    <s v="合肥一组"/>
    <s v="普通员工"/>
    <n v="11453.560000000001"/>
    <n v="2020"/>
    <x v="2"/>
  </r>
  <r>
    <x v="65"/>
    <n v="1000006064"/>
    <s v="借呗12期"/>
    <n v="1"/>
    <n v="1500.21"/>
    <s v="借呗"/>
    <x v="0"/>
    <x v="0"/>
    <x v="5"/>
    <s v="一组"/>
    <s v="合肥一组"/>
    <s v="普通员工"/>
    <n v="1500.21"/>
    <n v="2020"/>
    <x v="2"/>
  </r>
  <r>
    <x v="65"/>
    <n v="1000006064"/>
    <s v="借呗18期"/>
    <n v="1"/>
    <n v="700.57"/>
    <s v="借呗"/>
    <x v="2"/>
    <x v="0"/>
    <x v="5"/>
    <s v="一组"/>
    <s v="合肥一组"/>
    <s v="普通员工"/>
    <n v="700.57"/>
    <n v="2020"/>
    <x v="2"/>
  </r>
  <r>
    <x v="65"/>
    <n v="1000006698"/>
    <s v="借呗12期"/>
    <n v="1"/>
    <n v="13000.27"/>
    <s v="借呗"/>
    <x v="0"/>
    <x v="1"/>
    <x v="4"/>
    <s v="一组"/>
    <s v="成都一组"/>
    <s v="管理人员"/>
    <n v="13000.27"/>
    <n v="2020"/>
    <x v="2"/>
  </r>
  <r>
    <x v="65"/>
    <n v="1000006859"/>
    <s v="借呗18期"/>
    <n v="1"/>
    <n v="8000.7"/>
    <s v="借呗"/>
    <x v="2"/>
    <x v="0"/>
    <x v="10"/>
    <s v="一组"/>
    <s v="南京一组"/>
    <s v="普通员工"/>
    <n v="8000.7"/>
    <n v="2020"/>
    <x v="2"/>
  </r>
  <r>
    <x v="65"/>
    <n v="1000006869"/>
    <s v="借呗12期"/>
    <n v="1"/>
    <n v="20000.39"/>
    <s v="借呗"/>
    <x v="0"/>
    <x v="0"/>
    <x v="10"/>
    <s v="一组"/>
    <s v="南京一组"/>
    <s v="普通员工"/>
    <n v="20000.39"/>
    <n v="2020"/>
    <x v="2"/>
  </r>
  <r>
    <x v="65"/>
    <n v="1000006869"/>
    <s v="借呗18期"/>
    <n v="1"/>
    <n v="15000.36"/>
    <s v="借呗"/>
    <x v="2"/>
    <x v="0"/>
    <x v="10"/>
    <s v="一组"/>
    <s v="南京一组"/>
    <s v="普通员工"/>
    <n v="15000.36"/>
    <n v="2020"/>
    <x v="2"/>
  </r>
  <r>
    <x v="65"/>
    <n v="1000007320"/>
    <s v="借呗12期"/>
    <n v="2"/>
    <n v="21000.57"/>
    <s v="借呗"/>
    <x v="0"/>
    <x v="0"/>
    <x v="3"/>
    <s v="一组"/>
    <s v="上海一组"/>
    <s v="普通员工"/>
    <n v="10500.285"/>
    <n v="2020"/>
    <x v="2"/>
  </r>
  <r>
    <x v="65"/>
    <n v="1000008239"/>
    <s v="借呗6期"/>
    <n v="2"/>
    <n v="12500.16"/>
    <s v="借呗"/>
    <x v="1"/>
    <x v="0"/>
    <x v="10"/>
    <s v="一组"/>
    <s v="南京一组"/>
    <s v="管理人员"/>
    <n v="6250.08"/>
    <n v="2020"/>
    <x v="2"/>
  </r>
  <r>
    <x v="65"/>
    <n v="1000008239"/>
    <s v="借呗12期"/>
    <n v="3"/>
    <n v="27000.79"/>
    <s v="借呗"/>
    <x v="0"/>
    <x v="0"/>
    <x v="10"/>
    <s v="一组"/>
    <s v="南京一组"/>
    <s v="管理人员"/>
    <n v="9000.2633333333342"/>
    <n v="2020"/>
    <x v="2"/>
  </r>
  <r>
    <x v="65"/>
    <n v="1000010815"/>
    <s v="借呗6期"/>
    <n v="1"/>
    <n v="16000.43"/>
    <s v="借呗"/>
    <x v="1"/>
    <x v="0"/>
    <x v="10"/>
    <s v="一组"/>
    <s v="南京一组"/>
    <s v="普通员工"/>
    <n v="16000.43"/>
    <n v="2020"/>
    <x v="2"/>
  </r>
  <r>
    <x v="65"/>
    <n v="1000010815"/>
    <s v="借呗12期"/>
    <n v="1"/>
    <n v="7000.02"/>
    <s v="借呗"/>
    <x v="0"/>
    <x v="0"/>
    <x v="10"/>
    <s v="一组"/>
    <s v="南京一组"/>
    <s v="普通员工"/>
    <n v="7000.02"/>
    <n v="2020"/>
    <x v="2"/>
  </r>
  <r>
    <x v="65"/>
    <n v="1000010837"/>
    <s v="借呗12期"/>
    <n v="1"/>
    <n v="15999.96"/>
    <s v="借呗"/>
    <x v="0"/>
    <x v="0"/>
    <x v="10"/>
    <s v="一组"/>
    <s v="南京一组"/>
    <s v="普通员工"/>
    <n v="15999.96"/>
    <n v="2020"/>
    <x v="2"/>
  </r>
  <r>
    <x v="65"/>
    <n v="1000010881"/>
    <s v="借呗6期"/>
    <n v="1"/>
    <n v="15000.16"/>
    <s v="借呗"/>
    <x v="1"/>
    <x v="2"/>
    <x v="6"/>
    <s v="一组"/>
    <s v="广州一组"/>
    <s v="普通员工"/>
    <n v="15000.16"/>
    <n v="2020"/>
    <x v="2"/>
  </r>
  <r>
    <x v="65"/>
    <n v="1000011698"/>
    <s v="借呗12期"/>
    <n v="1"/>
    <n v="18000.740000000002"/>
    <s v="借呗"/>
    <x v="0"/>
    <x v="0"/>
    <x v="3"/>
    <s v="二组"/>
    <s v="上海二组"/>
    <s v="普通员工"/>
    <n v="18000.740000000002"/>
    <n v="2020"/>
    <x v="2"/>
  </r>
  <r>
    <x v="65"/>
    <n v="1000011731"/>
    <s v="借呗12期"/>
    <n v="1"/>
    <n v="7499.94"/>
    <s v="借呗"/>
    <x v="0"/>
    <x v="2"/>
    <x v="6"/>
    <s v="三组"/>
    <s v="广州三组"/>
    <s v="普通员工"/>
    <n v="7499.94"/>
    <n v="2020"/>
    <x v="2"/>
  </r>
  <r>
    <x v="65"/>
    <n v="1000012096"/>
    <s v="借呗6期"/>
    <n v="1"/>
    <n v="5500.23"/>
    <s v="借呗"/>
    <x v="1"/>
    <x v="0"/>
    <x v="0"/>
    <s v="一组"/>
    <s v="杭州一组"/>
    <s v="普通员工"/>
    <n v="5500.23"/>
    <n v="2020"/>
    <x v="2"/>
  </r>
  <r>
    <x v="65"/>
    <n v="1000012096"/>
    <s v="借呗12期"/>
    <n v="1"/>
    <n v="16000.46"/>
    <s v="借呗"/>
    <x v="0"/>
    <x v="0"/>
    <x v="0"/>
    <s v="一组"/>
    <s v="杭州一组"/>
    <s v="普通员工"/>
    <n v="16000.46"/>
    <n v="2020"/>
    <x v="2"/>
  </r>
  <r>
    <x v="65"/>
    <n v="1000012099"/>
    <s v="借呗12期"/>
    <n v="1"/>
    <n v="16000.1"/>
    <s v="借呗"/>
    <x v="0"/>
    <x v="0"/>
    <x v="0"/>
    <s v="二组"/>
    <s v="杭州二组"/>
    <s v="普通员工"/>
    <n v="16000.1"/>
    <n v="2020"/>
    <x v="2"/>
  </r>
  <r>
    <x v="65"/>
    <n v="1000012112"/>
    <s v="借呗6期"/>
    <n v="2"/>
    <n v="15000.599999999999"/>
    <s v="借呗"/>
    <x v="1"/>
    <x v="0"/>
    <x v="0"/>
    <s v="三组"/>
    <s v="杭州三组"/>
    <s v="管理人员"/>
    <n v="7500.2999999999993"/>
    <n v="2020"/>
    <x v="2"/>
  </r>
  <r>
    <x v="65"/>
    <n v="1000012112"/>
    <s v="借呗12期"/>
    <n v="3"/>
    <n v="48001.520000000004"/>
    <s v="借呗"/>
    <x v="0"/>
    <x v="0"/>
    <x v="0"/>
    <s v="三组"/>
    <s v="杭州三组"/>
    <s v="管理人员"/>
    <n v="16000.506666666668"/>
    <n v="2020"/>
    <x v="2"/>
  </r>
  <r>
    <x v="65"/>
    <n v="1000012124"/>
    <s v="借呗6期"/>
    <n v="1"/>
    <n v="17000.650000000001"/>
    <s v="借呗"/>
    <x v="1"/>
    <x v="0"/>
    <x v="0"/>
    <s v="一组"/>
    <s v="杭州一组"/>
    <s v="普通员工"/>
    <n v="17000.650000000001"/>
    <n v="2020"/>
    <x v="2"/>
  </r>
  <r>
    <x v="66"/>
    <n v="1000000029"/>
    <s v="借呗6期"/>
    <n v="1"/>
    <n v="520.54999999999995"/>
    <s v="借呗"/>
    <x v="1"/>
    <x v="0"/>
    <x v="0"/>
    <s v="二组"/>
    <s v="杭州二组"/>
    <s v="普通员工"/>
    <n v="520.54999999999995"/>
    <n v="2020"/>
    <x v="2"/>
  </r>
  <r>
    <x v="66"/>
    <n v="1000000029"/>
    <s v="借呗18期"/>
    <n v="1"/>
    <n v="7000.28"/>
    <s v="借呗"/>
    <x v="2"/>
    <x v="0"/>
    <x v="0"/>
    <s v="二组"/>
    <s v="杭州二组"/>
    <s v="普通员工"/>
    <n v="7000.28"/>
    <n v="2020"/>
    <x v="2"/>
  </r>
  <r>
    <x v="66"/>
    <n v="1000000030"/>
    <s v="借呗6期"/>
    <n v="2"/>
    <n v="21000.73"/>
    <s v="借呗"/>
    <x v="1"/>
    <x v="2"/>
    <x v="6"/>
    <s v="三组"/>
    <s v="广州三组"/>
    <s v="普通员工"/>
    <n v="10500.365"/>
    <n v="2020"/>
    <x v="2"/>
  </r>
  <r>
    <x v="66"/>
    <n v="1000000030"/>
    <s v="借呗12期"/>
    <n v="1"/>
    <n v="3732.39"/>
    <s v="借呗"/>
    <x v="0"/>
    <x v="2"/>
    <x v="6"/>
    <s v="三组"/>
    <s v="广州三组"/>
    <s v="普通员工"/>
    <n v="3732.39"/>
    <n v="2020"/>
    <x v="2"/>
  </r>
  <r>
    <x v="66"/>
    <n v="1000000030"/>
    <s v="借呗18期"/>
    <n v="1"/>
    <n v="5000.1000000000004"/>
    <s v="借呗"/>
    <x v="2"/>
    <x v="2"/>
    <x v="6"/>
    <s v="三组"/>
    <s v="广州三组"/>
    <s v="普通员工"/>
    <n v="5000.1000000000004"/>
    <n v="2020"/>
    <x v="2"/>
  </r>
  <r>
    <x v="66"/>
    <n v="1000000031"/>
    <s v="借呗6期"/>
    <n v="2"/>
    <n v="19000.53"/>
    <s v="借呗"/>
    <x v="1"/>
    <x v="0"/>
    <x v="0"/>
    <s v="一组"/>
    <s v="杭州一组"/>
    <s v="管理人员"/>
    <n v="9500.2649999999994"/>
    <n v="2020"/>
    <x v="2"/>
  </r>
  <r>
    <x v="66"/>
    <n v="1000000031"/>
    <s v="借呗12期"/>
    <n v="1"/>
    <n v="15000.49"/>
    <s v="借呗"/>
    <x v="0"/>
    <x v="0"/>
    <x v="0"/>
    <s v="一组"/>
    <s v="杭州一组"/>
    <s v="管理人员"/>
    <n v="15000.49"/>
    <n v="2020"/>
    <x v="2"/>
  </r>
  <r>
    <x v="66"/>
    <n v="1000000032"/>
    <s v="借呗6期"/>
    <n v="1"/>
    <n v="1848.11"/>
    <s v="借呗"/>
    <x v="1"/>
    <x v="0"/>
    <x v="1"/>
    <s v="一组"/>
    <s v="苏州一组"/>
    <s v="管理人员"/>
    <n v="1848.11"/>
    <n v="2020"/>
    <x v="2"/>
  </r>
  <r>
    <x v="66"/>
    <n v="1000000032"/>
    <s v="借呗12期"/>
    <n v="1"/>
    <n v="14999.99"/>
    <s v="借呗"/>
    <x v="0"/>
    <x v="0"/>
    <x v="1"/>
    <s v="一组"/>
    <s v="苏州一组"/>
    <s v="管理人员"/>
    <n v="14999.99"/>
    <n v="2020"/>
    <x v="2"/>
  </r>
  <r>
    <x v="66"/>
    <n v="1000000033"/>
    <s v="借呗6期"/>
    <n v="1"/>
    <n v="1000.59"/>
    <s v="借呗"/>
    <x v="1"/>
    <x v="0"/>
    <x v="1"/>
    <s v="一组"/>
    <s v="苏州一组"/>
    <s v="普通员工"/>
    <n v="1000.59"/>
    <n v="2020"/>
    <x v="2"/>
  </r>
  <r>
    <x v="66"/>
    <n v="1000000033"/>
    <s v="借呗12期"/>
    <n v="1"/>
    <n v="5000.6899999999996"/>
    <s v="借呗"/>
    <x v="0"/>
    <x v="0"/>
    <x v="1"/>
    <s v="一组"/>
    <s v="苏州一组"/>
    <s v="普通员工"/>
    <n v="5000.6899999999996"/>
    <n v="2020"/>
    <x v="2"/>
  </r>
  <r>
    <x v="66"/>
    <n v="1000000033"/>
    <s v="借呗18期"/>
    <n v="1"/>
    <n v="1000.42"/>
    <s v="借呗"/>
    <x v="2"/>
    <x v="0"/>
    <x v="1"/>
    <s v="一组"/>
    <s v="苏州一组"/>
    <s v="普通员工"/>
    <n v="1000.42"/>
    <n v="2020"/>
    <x v="2"/>
  </r>
  <r>
    <x v="66"/>
    <n v="1000000036"/>
    <s v="借呗6期"/>
    <n v="1"/>
    <n v="6000.04"/>
    <s v="借呗"/>
    <x v="1"/>
    <x v="2"/>
    <x v="6"/>
    <s v="三组"/>
    <s v="广州三组"/>
    <s v="管理人员"/>
    <n v="6000.04"/>
    <n v="2020"/>
    <x v="2"/>
  </r>
  <r>
    <x v="66"/>
    <n v="1000000036"/>
    <s v="借呗12期"/>
    <n v="1"/>
    <n v="17000.13"/>
    <s v="借呗"/>
    <x v="0"/>
    <x v="2"/>
    <x v="6"/>
    <s v="三组"/>
    <s v="广州三组"/>
    <s v="管理人员"/>
    <n v="17000.13"/>
    <n v="2020"/>
    <x v="2"/>
  </r>
  <r>
    <x v="66"/>
    <n v="1000000037"/>
    <s v="借呗18期"/>
    <n v="1"/>
    <n v="2400.63"/>
    <s v="借呗"/>
    <x v="2"/>
    <x v="0"/>
    <x v="0"/>
    <s v="二组"/>
    <s v="杭州二组"/>
    <s v="普通员工"/>
    <n v="2400.63"/>
    <n v="2020"/>
    <x v="2"/>
  </r>
  <r>
    <x v="66"/>
    <n v="1000000039"/>
    <s v="借呗6期"/>
    <n v="1"/>
    <n v="3000.16"/>
    <s v="借呗"/>
    <x v="1"/>
    <x v="0"/>
    <x v="1"/>
    <s v="二组"/>
    <s v="苏州二组"/>
    <s v="管理人员"/>
    <n v="3000.16"/>
    <n v="2020"/>
    <x v="2"/>
  </r>
  <r>
    <x v="66"/>
    <n v="1000000039"/>
    <s v="借呗12期"/>
    <n v="1"/>
    <n v="12999.93"/>
    <s v="借呗"/>
    <x v="0"/>
    <x v="0"/>
    <x v="1"/>
    <s v="二组"/>
    <s v="苏州二组"/>
    <s v="管理人员"/>
    <n v="12999.93"/>
    <n v="2020"/>
    <x v="2"/>
  </r>
  <r>
    <x v="66"/>
    <n v="1000000041"/>
    <s v="借呗6期"/>
    <n v="4"/>
    <n v="60001.2"/>
    <s v="借呗"/>
    <x v="1"/>
    <x v="1"/>
    <x v="2"/>
    <s v="四组"/>
    <s v="北京四组"/>
    <s v="普通员工"/>
    <n v="15000.3"/>
    <n v="2020"/>
    <x v="2"/>
  </r>
  <r>
    <x v="66"/>
    <n v="1000000041"/>
    <s v="借呗12期"/>
    <n v="1"/>
    <n v="17000.38"/>
    <s v="借呗"/>
    <x v="0"/>
    <x v="1"/>
    <x v="2"/>
    <s v="四组"/>
    <s v="北京四组"/>
    <s v="普通员工"/>
    <n v="17000.38"/>
    <n v="2020"/>
    <x v="2"/>
  </r>
  <r>
    <x v="66"/>
    <n v="1000000045"/>
    <s v="借呗6期"/>
    <n v="2"/>
    <n v="31000.73"/>
    <s v="借呗"/>
    <x v="1"/>
    <x v="2"/>
    <x v="9"/>
    <s v="一组"/>
    <s v="深圳一组"/>
    <s v="普通员工"/>
    <n v="15500.365"/>
    <n v="2020"/>
    <x v="2"/>
  </r>
  <r>
    <x v="66"/>
    <n v="1000000045"/>
    <s v="借呗12期"/>
    <n v="1"/>
    <n v="1031.04"/>
    <s v="借呗"/>
    <x v="0"/>
    <x v="2"/>
    <x v="9"/>
    <s v="一组"/>
    <s v="深圳一组"/>
    <s v="普通员工"/>
    <n v="1031.04"/>
    <n v="2020"/>
    <x v="2"/>
  </r>
  <r>
    <x v="66"/>
    <n v="1000000046"/>
    <s v="借呗12期"/>
    <n v="1"/>
    <n v="14000.33"/>
    <s v="借呗"/>
    <x v="0"/>
    <x v="1"/>
    <x v="4"/>
    <s v="一组"/>
    <s v="成都一组"/>
    <s v="普通员工"/>
    <n v="14000.33"/>
    <n v="2020"/>
    <x v="2"/>
  </r>
  <r>
    <x v="66"/>
    <n v="1000000046"/>
    <s v="借呗18期"/>
    <n v="1"/>
    <n v="1499.96"/>
    <s v="借呗"/>
    <x v="2"/>
    <x v="1"/>
    <x v="4"/>
    <s v="一组"/>
    <s v="成都一组"/>
    <s v="普通员工"/>
    <n v="1499.96"/>
    <n v="2020"/>
    <x v="2"/>
  </r>
  <r>
    <x v="66"/>
    <n v="1000000047"/>
    <s v="借呗18期"/>
    <n v="1"/>
    <n v="2268"/>
    <s v="借呗"/>
    <x v="2"/>
    <x v="2"/>
    <x v="6"/>
    <s v="一组"/>
    <s v="广州一组"/>
    <s v="普通员工"/>
    <n v="2268"/>
    <n v="2020"/>
    <x v="2"/>
  </r>
  <r>
    <x v="66"/>
    <n v="1000000050"/>
    <s v="借呗6期"/>
    <n v="1"/>
    <n v="8444.68"/>
    <s v="借呗"/>
    <x v="1"/>
    <x v="0"/>
    <x v="5"/>
    <s v="一组"/>
    <s v="合肥一组"/>
    <s v="普通员工"/>
    <n v="8444.68"/>
    <n v="2020"/>
    <x v="2"/>
  </r>
  <r>
    <x v="66"/>
    <n v="1000000050"/>
    <s v="借呗18期"/>
    <n v="2"/>
    <n v="30000.899999999998"/>
    <s v="借呗"/>
    <x v="2"/>
    <x v="0"/>
    <x v="5"/>
    <s v="一组"/>
    <s v="合肥一组"/>
    <s v="普通员工"/>
    <n v="15000.449999999999"/>
    <n v="2020"/>
    <x v="2"/>
  </r>
  <r>
    <x v="66"/>
    <n v="1000000054"/>
    <s v="借呗6期"/>
    <n v="1"/>
    <n v="5000.6499999999996"/>
    <s v="借呗"/>
    <x v="1"/>
    <x v="0"/>
    <x v="3"/>
    <s v="一组"/>
    <s v="上海一组"/>
    <s v="普通员工"/>
    <n v="5000.6499999999996"/>
    <n v="2020"/>
    <x v="2"/>
  </r>
  <r>
    <x v="66"/>
    <n v="1000000054"/>
    <s v="借呗12期"/>
    <n v="1"/>
    <n v="16000.42"/>
    <s v="借呗"/>
    <x v="0"/>
    <x v="0"/>
    <x v="3"/>
    <s v="一组"/>
    <s v="上海一组"/>
    <s v="普通员工"/>
    <n v="16000.42"/>
    <n v="2020"/>
    <x v="2"/>
  </r>
  <r>
    <x v="66"/>
    <n v="1000000056"/>
    <s v="借呗6期"/>
    <n v="3"/>
    <n v="37001.19"/>
    <s v="借呗"/>
    <x v="1"/>
    <x v="0"/>
    <x v="3"/>
    <s v="一组"/>
    <s v="上海一组"/>
    <s v="管理人员"/>
    <n v="12333.730000000001"/>
    <n v="2020"/>
    <x v="2"/>
  </r>
  <r>
    <x v="66"/>
    <n v="1000000056"/>
    <s v="借呗12期"/>
    <n v="1"/>
    <n v="6000.4"/>
    <s v="借呗"/>
    <x v="0"/>
    <x v="0"/>
    <x v="3"/>
    <s v="一组"/>
    <s v="上海一组"/>
    <s v="管理人员"/>
    <n v="6000.4"/>
    <n v="2020"/>
    <x v="2"/>
  </r>
  <r>
    <x v="66"/>
    <n v="1000000067"/>
    <s v="借呗6期"/>
    <n v="1"/>
    <n v="5000.75"/>
    <s v="借呗"/>
    <x v="1"/>
    <x v="0"/>
    <x v="1"/>
    <s v="二组"/>
    <s v="苏州二组"/>
    <s v="普通员工"/>
    <n v="5000.75"/>
    <n v="2020"/>
    <x v="2"/>
  </r>
  <r>
    <x v="66"/>
    <n v="1000000067"/>
    <s v="借呗18期"/>
    <n v="2"/>
    <n v="10191.99"/>
    <s v="借呗"/>
    <x v="2"/>
    <x v="0"/>
    <x v="1"/>
    <s v="二组"/>
    <s v="苏州二组"/>
    <s v="普通员工"/>
    <n v="5095.9949999999999"/>
    <n v="2020"/>
    <x v="2"/>
  </r>
  <r>
    <x v="66"/>
    <n v="1000000068"/>
    <s v="借呗6期"/>
    <n v="1"/>
    <n v="17999.95"/>
    <s v="借呗"/>
    <x v="1"/>
    <x v="1"/>
    <x v="7"/>
    <s v="一组"/>
    <s v="重庆一组"/>
    <s v="管理人员"/>
    <n v="17999.95"/>
    <n v="2020"/>
    <x v="2"/>
  </r>
  <r>
    <x v="66"/>
    <n v="1000000104"/>
    <s v="借呗6期"/>
    <n v="1"/>
    <n v="5500.73"/>
    <s v="借呗"/>
    <x v="1"/>
    <x v="0"/>
    <x v="5"/>
    <s v="一组"/>
    <s v="合肥一组"/>
    <s v="普通员工"/>
    <n v="5500.73"/>
    <n v="2020"/>
    <x v="2"/>
  </r>
  <r>
    <x v="66"/>
    <n v="1000000237"/>
    <s v="借呗6期"/>
    <n v="1"/>
    <n v="950.6"/>
    <s v="借呗"/>
    <x v="1"/>
    <x v="0"/>
    <x v="5"/>
    <s v="一组"/>
    <s v="合肥一组"/>
    <s v="普通员工"/>
    <n v="950.6"/>
    <n v="2020"/>
    <x v="2"/>
  </r>
  <r>
    <x v="66"/>
    <n v="1000000237"/>
    <s v="借呗12期"/>
    <n v="1"/>
    <n v="10000.56"/>
    <s v="借呗"/>
    <x v="0"/>
    <x v="0"/>
    <x v="5"/>
    <s v="一组"/>
    <s v="合肥一组"/>
    <s v="普通员工"/>
    <n v="10000.56"/>
    <n v="2020"/>
    <x v="2"/>
  </r>
  <r>
    <x v="66"/>
    <n v="1000000566"/>
    <s v="借呗12期"/>
    <n v="1"/>
    <n v="6000.3"/>
    <s v="借呗"/>
    <x v="0"/>
    <x v="2"/>
    <x v="6"/>
    <s v="三组"/>
    <s v="广州三组"/>
    <s v="普通员工"/>
    <n v="6000.3"/>
    <n v="2020"/>
    <x v="2"/>
  </r>
  <r>
    <x v="66"/>
    <n v="1000000594"/>
    <s v="借呗12期"/>
    <n v="1"/>
    <n v="22000.5"/>
    <s v="借呗"/>
    <x v="0"/>
    <x v="0"/>
    <x v="1"/>
    <s v="二组"/>
    <s v="苏州二组"/>
    <s v="普通员工"/>
    <n v="22000.5"/>
    <n v="2020"/>
    <x v="2"/>
  </r>
  <r>
    <x v="66"/>
    <n v="1000000928"/>
    <s v="借呗6期"/>
    <n v="1"/>
    <n v="25000.44"/>
    <s v="借呗"/>
    <x v="1"/>
    <x v="1"/>
    <x v="8"/>
    <s v="一组"/>
    <s v="西安一组"/>
    <s v="普通员工"/>
    <n v="25000.44"/>
    <n v="2020"/>
    <x v="2"/>
  </r>
  <r>
    <x v="66"/>
    <n v="1000001513"/>
    <s v="借呗6期"/>
    <n v="2"/>
    <n v="9500.41"/>
    <s v="借呗"/>
    <x v="1"/>
    <x v="0"/>
    <x v="3"/>
    <s v="二组"/>
    <s v="上海二组"/>
    <s v="普通员工"/>
    <n v="4750.2049999999999"/>
    <n v="2020"/>
    <x v="2"/>
  </r>
  <r>
    <x v="66"/>
    <n v="1000003489"/>
    <s v="借呗6期"/>
    <n v="1"/>
    <n v="7500.09"/>
    <s v="借呗"/>
    <x v="1"/>
    <x v="2"/>
    <x v="6"/>
    <s v="一组"/>
    <s v="广州一组"/>
    <s v="普通员工"/>
    <n v="7500.09"/>
    <n v="2020"/>
    <x v="2"/>
  </r>
  <r>
    <x v="66"/>
    <n v="1000003803"/>
    <s v="借呗12期"/>
    <n v="1"/>
    <n v="4999.9799999999996"/>
    <s v="借呗"/>
    <x v="0"/>
    <x v="1"/>
    <x v="2"/>
    <s v="三组"/>
    <s v="北京三组"/>
    <s v="普通员工"/>
    <n v="4999.9799999999996"/>
    <n v="2020"/>
    <x v="2"/>
  </r>
  <r>
    <x v="66"/>
    <n v="1000003926"/>
    <s v="借呗12期"/>
    <n v="5"/>
    <n v="34501.230000000003"/>
    <s v="借呗"/>
    <x v="0"/>
    <x v="2"/>
    <x v="6"/>
    <s v="一组"/>
    <s v="广州一组"/>
    <s v="管理人员"/>
    <n v="6900.246000000001"/>
    <n v="2020"/>
    <x v="2"/>
  </r>
  <r>
    <x v="66"/>
    <n v="1000004170"/>
    <s v="借呗6期"/>
    <n v="3"/>
    <n v="39000.81"/>
    <s v="借呗"/>
    <x v="1"/>
    <x v="0"/>
    <x v="3"/>
    <s v="二组"/>
    <s v="上海二组"/>
    <s v="管理人员"/>
    <n v="13000.269999999999"/>
    <n v="2020"/>
    <x v="2"/>
  </r>
  <r>
    <x v="66"/>
    <n v="1000004256"/>
    <s v="借呗18期"/>
    <n v="1"/>
    <n v="25000.34"/>
    <s v="借呗"/>
    <x v="2"/>
    <x v="0"/>
    <x v="5"/>
    <s v="一组"/>
    <s v="合肥一组"/>
    <s v="普通员工"/>
    <n v="25000.34"/>
    <n v="2020"/>
    <x v="2"/>
  </r>
  <r>
    <x v="66"/>
    <n v="1000006064"/>
    <s v="借呗6期"/>
    <n v="1"/>
    <n v="6000.41"/>
    <s v="借呗"/>
    <x v="1"/>
    <x v="0"/>
    <x v="5"/>
    <s v="一组"/>
    <s v="合肥一组"/>
    <s v="普通员工"/>
    <n v="6000.41"/>
    <n v="2020"/>
    <x v="2"/>
  </r>
  <r>
    <x v="66"/>
    <n v="1000006064"/>
    <s v="借呗18期"/>
    <n v="1"/>
    <n v="5500.15"/>
    <s v="借呗"/>
    <x v="2"/>
    <x v="0"/>
    <x v="5"/>
    <s v="一组"/>
    <s v="合肥一组"/>
    <s v="普通员工"/>
    <n v="5500.15"/>
    <n v="2020"/>
    <x v="2"/>
  </r>
  <r>
    <x v="66"/>
    <n v="1000006869"/>
    <s v="借呗6期"/>
    <n v="1"/>
    <n v="6500.66"/>
    <s v="借呗"/>
    <x v="1"/>
    <x v="0"/>
    <x v="10"/>
    <s v="一组"/>
    <s v="南京一组"/>
    <s v="普通员工"/>
    <n v="6500.66"/>
    <n v="2020"/>
    <x v="2"/>
  </r>
  <r>
    <x v="66"/>
    <n v="1000007197"/>
    <s v="借呗12期"/>
    <n v="1"/>
    <n v="7500.52"/>
    <s v="借呗"/>
    <x v="0"/>
    <x v="0"/>
    <x v="5"/>
    <s v="一组"/>
    <s v="合肥一组"/>
    <s v="普通员工"/>
    <n v="7500.52"/>
    <n v="2020"/>
    <x v="2"/>
  </r>
  <r>
    <x v="66"/>
    <n v="1000007197"/>
    <s v="借呗18期"/>
    <n v="1"/>
    <n v="12000.54"/>
    <s v="借呗"/>
    <x v="2"/>
    <x v="0"/>
    <x v="5"/>
    <s v="一组"/>
    <s v="合肥一组"/>
    <s v="普通员工"/>
    <n v="12000.54"/>
    <n v="2020"/>
    <x v="2"/>
  </r>
  <r>
    <x v="66"/>
    <n v="1000008239"/>
    <s v="借呗18期"/>
    <n v="1"/>
    <n v="1000.46"/>
    <s v="借呗"/>
    <x v="2"/>
    <x v="0"/>
    <x v="10"/>
    <s v="一组"/>
    <s v="南京一组"/>
    <s v="管理人员"/>
    <n v="1000.46"/>
    <n v="2020"/>
    <x v="2"/>
  </r>
  <r>
    <x v="66"/>
    <n v="1000010881"/>
    <s v="借呗6期"/>
    <n v="1"/>
    <n v="2500.62"/>
    <s v="借呗"/>
    <x v="1"/>
    <x v="2"/>
    <x v="6"/>
    <s v="一组"/>
    <s v="广州一组"/>
    <s v="普通员工"/>
    <n v="2500.62"/>
    <n v="2020"/>
    <x v="2"/>
  </r>
  <r>
    <x v="66"/>
    <n v="1000011697"/>
    <s v="借呗12期"/>
    <n v="1"/>
    <n v="6000.56"/>
    <s v="借呗"/>
    <x v="0"/>
    <x v="0"/>
    <x v="3"/>
    <s v="二组"/>
    <s v="上海二组"/>
    <s v="普通员工"/>
    <n v="6000.56"/>
    <n v="2020"/>
    <x v="2"/>
  </r>
  <r>
    <x v="66"/>
    <n v="1000011698"/>
    <s v="借呗6期"/>
    <n v="2"/>
    <n v="38000.35"/>
    <s v="借呗"/>
    <x v="1"/>
    <x v="0"/>
    <x v="3"/>
    <s v="二组"/>
    <s v="上海二组"/>
    <s v="普通员工"/>
    <n v="19000.174999999999"/>
    <n v="2020"/>
    <x v="2"/>
  </r>
  <r>
    <x v="66"/>
    <n v="1000012096"/>
    <s v="借呗6期"/>
    <n v="1"/>
    <n v="24999.99"/>
    <s v="借呗"/>
    <x v="1"/>
    <x v="0"/>
    <x v="0"/>
    <s v="一组"/>
    <s v="杭州一组"/>
    <s v="普通员工"/>
    <n v="24999.99"/>
    <n v="2020"/>
    <x v="2"/>
  </r>
  <r>
    <x v="66"/>
    <n v="1000012099"/>
    <s v="借呗12期"/>
    <n v="2"/>
    <n v="39000.380000000005"/>
    <s v="借呗"/>
    <x v="0"/>
    <x v="0"/>
    <x v="0"/>
    <s v="二组"/>
    <s v="杭州二组"/>
    <s v="普通员工"/>
    <n v="19500.190000000002"/>
    <n v="2020"/>
    <x v="2"/>
  </r>
  <r>
    <x v="66"/>
    <n v="1000012112"/>
    <s v="借呗6期"/>
    <n v="1"/>
    <n v="19999.990000000002"/>
    <s v="借呗"/>
    <x v="1"/>
    <x v="0"/>
    <x v="0"/>
    <s v="三组"/>
    <s v="杭州三组"/>
    <s v="管理人员"/>
    <n v="19999.990000000002"/>
    <n v="2020"/>
    <x v="2"/>
  </r>
  <r>
    <x v="66"/>
    <n v="1000012112"/>
    <s v="借呗12期"/>
    <n v="1"/>
    <n v="20000.13"/>
    <s v="借呗"/>
    <x v="0"/>
    <x v="0"/>
    <x v="0"/>
    <s v="三组"/>
    <s v="杭州三组"/>
    <s v="管理人员"/>
    <n v="20000.13"/>
    <n v="2020"/>
    <x v="2"/>
  </r>
  <r>
    <x v="66"/>
    <n v="1000012124"/>
    <s v="借呗6期"/>
    <n v="2"/>
    <n v="12000.52"/>
    <s v="借呗"/>
    <x v="1"/>
    <x v="0"/>
    <x v="0"/>
    <s v="一组"/>
    <s v="杭州一组"/>
    <s v="普通员工"/>
    <n v="6000.26"/>
    <n v="2020"/>
    <x v="2"/>
  </r>
  <r>
    <x v="66"/>
    <n v="1000012313"/>
    <s v="借呗12期"/>
    <n v="1"/>
    <n v="20000.61"/>
    <s v="借呗"/>
    <x v="0"/>
    <x v="2"/>
    <x v="11"/>
    <s v="一组"/>
    <s v="南宁一组"/>
    <s v="普通员工"/>
    <n v="20000.61"/>
    <n v="2020"/>
    <x v="2"/>
  </r>
  <r>
    <x v="66"/>
    <n v="1000012446"/>
    <s v="借呗18期"/>
    <n v="1"/>
    <n v="25000.240000000002"/>
    <s v="借呗"/>
    <x v="2"/>
    <x v="1"/>
    <x v="2"/>
    <s v="三组"/>
    <s v="北京三组"/>
    <s v="普通员工"/>
    <n v="25000.240000000002"/>
    <n v="2020"/>
    <x v="2"/>
  </r>
  <r>
    <x v="67"/>
    <n v="1000000029"/>
    <s v="借呗6期"/>
    <n v="2"/>
    <n v="8162.01"/>
    <s v="借呗"/>
    <x v="1"/>
    <x v="0"/>
    <x v="0"/>
    <s v="二组"/>
    <s v="杭州二组"/>
    <s v="普通员工"/>
    <n v="4081.0050000000001"/>
    <n v="2020"/>
    <x v="2"/>
  </r>
  <r>
    <x v="67"/>
    <n v="1000000029"/>
    <s v="借呗12期"/>
    <n v="2"/>
    <n v="15500.75"/>
    <s v="借呗"/>
    <x v="0"/>
    <x v="0"/>
    <x v="0"/>
    <s v="二组"/>
    <s v="杭州二组"/>
    <s v="普通员工"/>
    <n v="7750.375"/>
    <n v="2020"/>
    <x v="2"/>
  </r>
  <r>
    <x v="67"/>
    <n v="1000000031"/>
    <s v="借呗12期"/>
    <n v="2"/>
    <n v="18500.25"/>
    <s v="借呗"/>
    <x v="0"/>
    <x v="0"/>
    <x v="0"/>
    <s v="一组"/>
    <s v="杭州一组"/>
    <s v="管理人员"/>
    <n v="9250.125"/>
    <n v="2020"/>
    <x v="2"/>
  </r>
  <r>
    <x v="67"/>
    <n v="1000000035"/>
    <s v="借呗18期"/>
    <n v="1"/>
    <n v="1400.53"/>
    <s v="借呗"/>
    <x v="2"/>
    <x v="0"/>
    <x v="1"/>
    <s v="三组"/>
    <s v="苏州三组"/>
    <s v="普通员工"/>
    <n v="1400.53"/>
    <n v="2020"/>
    <x v="2"/>
  </r>
  <r>
    <x v="67"/>
    <n v="1000000036"/>
    <s v="借呗6期"/>
    <n v="3"/>
    <n v="4202.26"/>
    <s v="借呗"/>
    <x v="1"/>
    <x v="2"/>
    <x v="6"/>
    <s v="三组"/>
    <s v="广州三组"/>
    <s v="管理人员"/>
    <n v="1400.7533333333333"/>
    <n v="2020"/>
    <x v="2"/>
  </r>
  <r>
    <x v="67"/>
    <n v="1000000037"/>
    <s v="借呗6期"/>
    <n v="1"/>
    <n v="3064.18"/>
    <s v="借呗"/>
    <x v="1"/>
    <x v="0"/>
    <x v="0"/>
    <s v="二组"/>
    <s v="杭州二组"/>
    <s v="普通员工"/>
    <n v="3064.18"/>
    <n v="2020"/>
    <x v="2"/>
  </r>
  <r>
    <x v="67"/>
    <n v="1000000037"/>
    <s v="借呗12期"/>
    <n v="1"/>
    <n v="10000.4"/>
    <s v="借呗"/>
    <x v="0"/>
    <x v="0"/>
    <x v="0"/>
    <s v="二组"/>
    <s v="杭州二组"/>
    <s v="普通员工"/>
    <n v="10000.4"/>
    <n v="2020"/>
    <x v="2"/>
  </r>
  <r>
    <x v="67"/>
    <n v="1000000039"/>
    <s v="借呗6期"/>
    <n v="1"/>
    <n v="17000.32"/>
    <s v="借呗"/>
    <x v="1"/>
    <x v="0"/>
    <x v="1"/>
    <s v="二组"/>
    <s v="苏州二组"/>
    <s v="管理人员"/>
    <n v="17000.32"/>
    <n v="2020"/>
    <x v="2"/>
  </r>
  <r>
    <x v="67"/>
    <n v="1000000040"/>
    <s v="借呗12期"/>
    <n v="1"/>
    <n v="15000.44"/>
    <s v="借呗"/>
    <x v="0"/>
    <x v="1"/>
    <x v="2"/>
    <s v="四组"/>
    <s v="北京四组"/>
    <s v="管理人员"/>
    <n v="15000.44"/>
    <n v="2020"/>
    <x v="2"/>
  </r>
  <r>
    <x v="67"/>
    <n v="1000000041"/>
    <s v="借呗6期"/>
    <n v="1"/>
    <n v="1387.09"/>
    <s v="借呗"/>
    <x v="1"/>
    <x v="1"/>
    <x v="2"/>
    <s v="四组"/>
    <s v="北京四组"/>
    <s v="普通员工"/>
    <n v="1387.09"/>
    <n v="2020"/>
    <x v="2"/>
  </r>
  <r>
    <x v="67"/>
    <n v="1000000041"/>
    <s v="借呗12期"/>
    <n v="1"/>
    <n v="20000.509999999998"/>
    <s v="借呗"/>
    <x v="0"/>
    <x v="1"/>
    <x v="2"/>
    <s v="四组"/>
    <s v="北京四组"/>
    <s v="普通员工"/>
    <n v="20000.509999999998"/>
    <n v="2020"/>
    <x v="2"/>
  </r>
  <r>
    <x v="67"/>
    <n v="1000000043"/>
    <s v="借呗12期"/>
    <n v="1"/>
    <n v="4000.26"/>
    <s v="借呗"/>
    <x v="0"/>
    <x v="1"/>
    <x v="4"/>
    <s v="一组"/>
    <s v="成都一组"/>
    <s v="普通员工"/>
    <n v="4000.26"/>
    <n v="2020"/>
    <x v="2"/>
  </r>
  <r>
    <x v="67"/>
    <n v="1000000044"/>
    <s v="借呗6期"/>
    <n v="2"/>
    <n v="24001.15"/>
    <s v="借呗"/>
    <x v="1"/>
    <x v="1"/>
    <x v="2"/>
    <s v="三组"/>
    <s v="北京三组"/>
    <s v="管理人员"/>
    <n v="12000.575000000001"/>
    <n v="2020"/>
    <x v="2"/>
  </r>
  <r>
    <x v="67"/>
    <n v="1000000046"/>
    <s v="借呗6期"/>
    <n v="1"/>
    <n v="7500.07"/>
    <s v="借呗"/>
    <x v="1"/>
    <x v="1"/>
    <x v="4"/>
    <s v="一组"/>
    <s v="成都一组"/>
    <s v="普通员工"/>
    <n v="7500.07"/>
    <n v="2020"/>
    <x v="2"/>
  </r>
  <r>
    <x v="67"/>
    <n v="1000000049"/>
    <s v="借呗12期"/>
    <n v="1"/>
    <n v="500.55"/>
    <s v="借呗"/>
    <x v="0"/>
    <x v="0"/>
    <x v="5"/>
    <s v="一组"/>
    <s v="合肥一组"/>
    <s v="普通员工"/>
    <n v="500.55"/>
    <n v="2020"/>
    <x v="2"/>
  </r>
  <r>
    <x v="67"/>
    <n v="1000000049"/>
    <s v="借呗18期"/>
    <n v="1"/>
    <n v="1020.36"/>
    <s v="借呗"/>
    <x v="2"/>
    <x v="0"/>
    <x v="5"/>
    <s v="一组"/>
    <s v="合肥一组"/>
    <s v="普通员工"/>
    <n v="1020.36"/>
    <n v="2020"/>
    <x v="2"/>
  </r>
  <r>
    <x v="67"/>
    <n v="1000000050"/>
    <s v="借呗6期"/>
    <n v="1"/>
    <n v="700.65"/>
    <s v="借呗"/>
    <x v="1"/>
    <x v="0"/>
    <x v="5"/>
    <s v="一组"/>
    <s v="合肥一组"/>
    <s v="普通员工"/>
    <n v="700.65"/>
    <n v="2020"/>
    <x v="2"/>
  </r>
  <r>
    <x v="67"/>
    <n v="1000000067"/>
    <s v="借呗18期"/>
    <n v="1"/>
    <n v="4999.9399999999996"/>
    <s v="借呗"/>
    <x v="2"/>
    <x v="0"/>
    <x v="1"/>
    <s v="二组"/>
    <s v="苏州二组"/>
    <s v="普通员工"/>
    <n v="4999.9399999999996"/>
    <n v="2020"/>
    <x v="2"/>
  </r>
  <r>
    <x v="67"/>
    <n v="1000000068"/>
    <s v="借呗6期"/>
    <n v="2"/>
    <n v="12501.470000000001"/>
    <s v="借呗"/>
    <x v="1"/>
    <x v="1"/>
    <x v="7"/>
    <s v="一组"/>
    <s v="重庆一组"/>
    <s v="管理人员"/>
    <n v="6250.7350000000006"/>
    <n v="2020"/>
    <x v="2"/>
  </r>
  <r>
    <x v="67"/>
    <n v="1000000104"/>
    <s v="借呗12期"/>
    <n v="1"/>
    <n v="10999.99"/>
    <s v="借呗"/>
    <x v="0"/>
    <x v="0"/>
    <x v="5"/>
    <s v="一组"/>
    <s v="合肥一组"/>
    <s v="普通员工"/>
    <n v="10999.99"/>
    <n v="2020"/>
    <x v="2"/>
  </r>
  <r>
    <x v="67"/>
    <n v="1000000104"/>
    <s v="借呗18期"/>
    <n v="1"/>
    <n v="25000.04"/>
    <s v="借呗"/>
    <x v="2"/>
    <x v="0"/>
    <x v="5"/>
    <s v="一组"/>
    <s v="合肥一组"/>
    <s v="普通员工"/>
    <n v="25000.04"/>
    <n v="2020"/>
    <x v="2"/>
  </r>
  <r>
    <x v="67"/>
    <n v="1000000566"/>
    <s v="借呗18期"/>
    <n v="2"/>
    <n v="39000.86"/>
    <s v="借呗"/>
    <x v="2"/>
    <x v="2"/>
    <x v="6"/>
    <s v="三组"/>
    <s v="广州三组"/>
    <s v="普通员工"/>
    <n v="19500.43"/>
    <n v="2020"/>
    <x v="2"/>
  </r>
  <r>
    <x v="67"/>
    <n v="1000000576"/>
    <s v="借呗18期"/>
    <n v="1"/>
    <n v="1100.19"/>
    <s v="借呗"/>
    <x v="2"/>
    <x v="0"/>
    <x v="1"/>
    <s v="三组"/>
    <s v="苏州三组"/>
    <s v="普通员工"/>
    <n v="1100.19"/>
    <n v="2020"/>
    <x v="2"/>
  </r>
  <r>
    <x v="67"/>
    <n v="1000000594"/>
    <s v="借呗12期"/>
    <n v="1"/>
    <n v="18000.75"/>
    <s v="借呗"/>
    <x v="0"/>
    <x v="0"/>
    <x v="1"/>
    <s v="二组"/>
    <s v="苏州二组"/>
    <s v="普通员工"/>
    <n v="18000.75"/>
    <n v="2020"/>
    <x v="2"/>
  </r>
  <r>
    <x v="67"/>
    <n v="1000000928"/>
    <s v="借呗12期"/>
    <n v="1"/>
    <n v="5500.6"/>
    <s v="借呗"/>
    <x v="0"/>
    <x v="1"/>
    <x v="8"/>
    <s v="一组"/>
    <s v="西安一组"/>
    <s v="普通员工"/>
    <n v="5500.6"/>
    <n v="2020"/>
    <x v="2"/>
  </r>
  <r>
    <x v="67"/>
    <n v="1000003803"/>
    <s v="借呗6期"/>
    <n v="1"/>
    <n v="8000.55"/>
    <s v="借呗"/>
    <x v="1"/>
    <x v="1"/>
    <x v="2"/>
    <s v="三组"/>
    <s v="北京三组"/>
    <s v="普通员工"/>
    <n v="8000.55"/>
    <n v="2020"/>
    <x v="2"/>
  </r>
  <r>
    <x v="67"/>
    <n v="1000003989"/>
    <s v="借呗12期"/>
    <n v="1"/>
    <n v="10000.280000000001"/>
    <s v="借呗"/>
    <x v="0"/>
    <x v="1"/>
    <x v="2"/>
    <s v="三组"/>
    <s v="北京三组"/>
    <s v="普通员工"/>
    <n v="10000.280000000001"/>
    <n v="2020"/>
    <x v="2"/>
  </r>
  <r>
    <x v="67"/>
    <n v="1000004170"/>
    <s v="借呗6期"/>
    <n v="4"/>
    <n v="36887.75"/>
    <s v="借呗"/>
    <x v="1"/>
    <x v="0"/>
    <x v="3"/>
    <s v="二组"/>
    <s v="上海二组"/>
    <s v="管理人员"/>
    <n v="9221.9375"/>
    <n v="2020"/>
    <x v="2"/>
  </r>
  <r>
    <x v="67"/>
    <n v="1000004170"/>
    <s v="借呗12期"/>
    <n v="1"/>
    <n v="1000.34"/>
    <s v="借呗"/>
    <x v="0"/>
    <x v="0"/>
    <x v="3"/>
    <s v="二组"/>
    <s v="上海二组"/>
    <s v="管理人员"/>
    <n v="1000.34"/>
    <n v="2020"/>
    <x v="2"/>
  </r>
  <r>
    <x v="67"/>
    <n v="1000004256"/>
    <s v="借呗18期"/>
    <n v="2"/>
    <n v="21000.080000000002"/>
    <s v="借呗"/>
    <x v="2"/>
    <x v="0"/>
    <x v="5"/>
    <s v="一组"/>
    <s v="合肥一组"/>
    <s v="普通员工"/>
    <n v="10500.04"/>
    <n v="2020"/>
    <x v="2"/>
  </r>
  <r>
    <x v="67"/>
    <n v="1000005873"/>
    <s v="借呗12期"/>
    <n v="1"/>
    <n v="13000.1"/>
    <s v="借呗"/>
    <x v="0"/>
    <x v="0"/>
    <x v="0"/>
    <s v="二组"/>
    <s v="杭州二组"/>
    <s v="管理人员"/>
    <n v="13000.1"/>
    <n v="2020"/>
    <x v="2"/>
  </r>
  <r>
    <x v="67"/>
    <n v="1000006698"/>
    <s v="借呗12期"/>
    <n v="1"/>
    <n v="11000.29"/>
    <s v="借呗"/>
    <x v="0"/>
    <x v="1"/>
    <x v="4"/>
    <s v="一组"/>
    <s v="成都一组"/>
    <s v="管理人员"/>
    <n v="11000.29"/>
    <n v="2020"/>
    <x v="2"/>
  </r>
  <r>
    <x v="67"/>
    <n v="1000006867"/>
    <s v="借呗6期"/>
    <n v="1"/>
    <n v="7500.67"/>
    <s v="借呗"/>
    <x v="1"/>
    <x v="0"/>
    <x v="10"/>
    <s v="一组"/>
    <s v="南京一组"/>
    <s v="普通员工"/>
    <n v="7500.67"/>
    <n v="2020"/>
    <x v="2"/>
  </r>
  <r>
    <x v="67"/>
    <n v="1000008228"/>
    <s v="借呗6期"/>
    <n v="1"/>
    <n v="10000.32"/>
    <s v="借呗"/>
    <x v="1"/>
    <x v="1"/>
    <x v="2"/>
    <s v="三组"/>
    <s v="北京三组"/>
    <s v="普通员工"/>
    <n v="10000.32"/>
    <n v="2020"/>
    <x v="2"/>
  </r>
  <r>
    <x v="67"/>
    <n v="1000008239"/>
    <s v="借呗12期"/>
    <n v="1"/>
    <n v="15000.72"/>
    <s v="借呗"/>
    <x v="0"/>
    <x v="0"/>
    <x v="10"/>
    <s v="一组"/>
    <s v="南京一组"/>
    <s v="管理人员"/>
    <n v="15000.72"/>
    <n v="2020"/>
    <x v="2"/>
  </r>
  <r>
    <x v="67"/>
    <n v="1000008957"/>
    <s v="借呗12期"/>
    <n v="1"/>
    <n v="10000.15"/>
    <s v="借呗"/>
    <x v="0"/>
    <x v="0"/>
    <x v="3"/>
    <s v="二组"/>
    <s v="上海二组"/>
    <s v="普通员工"/>
    <n v="10000.15"/>
    <n v="2020"/>
    <x v="2"/>
  </r>
  <r>
    <x v="67"/>
    <n v="1000010814"/>
    <s v="借呗12期"/>
    <n v="2"/>
    <n v="17000.39"/>
    <s v="借呗"/>
    <x v="0"/>
    <x v="0"/>
    <x v="10"/>
    <s v="四组"/>
    <s v="南京四组"/>
    <s v="普通员工"/>
    <n v="8500.1949999999997"/>
    <n v="2020"/>
    <x v="2"/>
  </r>
  <r>
    <x v="67"/>
    <n v="1000010814"/>
    <s v="借呗18期"/>
    <n v="1"/>
    <n v="11000.17"/>
    <s v="借呗"/>
    <x v="2"/>
    <x v="0"/>
    <x v="10"/>
    <s v="四组"/>
    <s v="南京四组"/>
    <s v="普通员工"/>
    <n v="11000.17"/>
    <n v="2020"/>
    <x v="2"/>
  </r>
  <r>
    <x v="67"/>
    <n v="1000010837"/>
    <s v="借呗12期"/>
    <n v="1"/>
    <n v="13999.93"/>
    <s v="借呗"/>
    <x v="0"/>
    <x v="0"/>
    <x v="10"/>
    <s v="一组"/>
    <s v="南京一组"/>
    <s v="普通员工"/>
    <n v="13999.93"/>
    <n v="2020"/>
    <x v="2"/>
  </r>
  <r>
    <x v="67"/>
    <n v="1000010837"/>
    <s v="借呗18期"/>
    <n v="1"/>
    <n v="14000.09"/>
    <s v="借呗"/>
    <x v="2"/>
    <x v="0"/>
    <x v="10"/>
    <s v="一组"/>
    <s v="南京一组"/>
    <s v="普通员工"/>
    <n v="14000.09"/>
    <n v="2020"/>
    <x v="2"/>
  </r>
  <r>
    <x v="67"/>
    <n v="1000012112"/>
    <s v="借呗6期"/>
    <n v="1"/>
    <n v="9000.6"/>
    <s v="借呗"/>
    <x v="1"/>
    <x v="0"/>
    <x v="0"/>
    <s v="三组"/>
    <s v="杭州三组"/>
    <s v="管理人员"/>
    <n v="9000.6"/>
    <n v="2020"/>
    <x v="2"/>
  </r>
  <r>
    <x v="67"/>
    <n v="1000012124"/>
    <s v="借呗12期"/>
    <n v="1"/>
    <n v="15000.05"/>
    <s v="借呗"/>
    <x v="0"/>
    <x v="0"/>
    <x v="0"/>
    <s v="一组"/>
    <s v="杭州一组"/>
    <s v="普通员工"/>
    <n v="15000.05"/>
    <n v="2020"/>
    <x v="2"/>
  </r>
  <r>
    <x v="67"/>
    <n v="1000012446"/>
    <s v="借呗6期"/>
    <n v="1"/>
    <n v="27000.48"/>
    <s v="借呗"/>
    <x v="1"/>
    <x v="1"/>
    <x v="2"/>
    <s v="三组"/>
    <s v="北京三组"/>
    <s v="普通员工"/>
    <n v="27000.48"/>
    <n v="2020"/>
    <x v="2"/>
  </r>
  <r>
    <x v="67"/>
    <n v="1000012446"/>
    <s v="借呗12期"/>
    <n v="1"/>
    <n v="13000.1"/>
    <s v="借呗"/>
    <x v="0"/>
    <x v="1"/>
    <x v="2"/>
    <s v="三组"/>
    <s v="北京三组"/>
    <s v="普通员工"/>
    <n v="13000.1"/>
    <n v="2020"/>
    <x v="2"/>
  </r>
  <r>
    <x v="68"/>
    <n v="1000000029"/>
    <s v="借呗6期"/>
    <n v="3"/>
    <n v="9931.14"/>
    <s v="借呗"/>
    <x v="1"/>
    <x v="0"/>
    <x v="0"/>
    <s v="二组"/>
    <s v="杭州二组"/>
    <s v="普通员工"/>
    <n v="3310.3799999999997"/>
    <n v="2020"/>
    <x v="2"/>
  </r>
  <r>
    <x v="68"/>
    <n v="1000000029"/>
    <s v="借呗12期"/>
    <n v="1"/>
    <n v="1546.74"/>
    <s v="借呗"/>
    <x v="0"/>
    <x v="0"/>
    <x v="0"/>
    <s v="二组"/>
    <s v="杭州二组"/>
    <s v="普通员工"/>
    <n v="1546.74"/>
    <n v="2020"/>
    <x v="2"/>
  </r>
  <r>
    <x v="68"/>
    <n v="1000000029"/>
    <s v="借呗18期"/>
    <n v="2"/>
    <n v="12501.2"/>
    <s v="借呗"/>
    <x v="2"/>
    <x v="0"/>
    <x v="0"/>
    <s v="二组"/>
    <s v="杭州二组"/>
    <s v="普通员工"/>
    <n v="6250.6"/>
    <n v="2020"/>
    <x v="2"/>
  </r>
  <r>
    <x v="68"/>
    <n v="1000000030"/>
    <s v="借呗6期"/>
    <n v="3"/>
    <n v="39001.18"/>
    <s v="借呗"/>
    <x v="1"/>
    <x v="2"/>
    <x v="6"/>
    <s v="三组"/>
    <s v="广州三组"/>
    <s v="普通员工"/>
    <n v="13000.393333333333"/>
    <n v="2020"/>
    <x v="2"/>
  </r>
  <r>
    <x v="68"/>
    <n v="1000000030"/>
    <s v="借呗18期"/>
    <n v="1"/>
    <n v="3700.67"/>
    <s v="借呗"/>
    <x v="2"/>
    <x v="2"/>
    <x v="6"/>
    <s v="三组"/>
    <s v="广州三组"/>
    <s v="普通员工"/>
    <n v="3700.67"/>
    <n v="2020"/>
    <x v="2"/>
  </r>
  <r>
    <x v="68"/>
    <n v="1000000031"/>
    <s v="借呗6期"/>
    <n v="2"/>
    <n v="22000.94"/>
    <s v="借呗"/>
    <x v="1"/>
    <x v="0"/>
    <x v="0"/>
    <s v="一组"/>
    <s v="杭州一组"/>
    <s v="管理人员"/>
    <n v="11000.47"/>
    <n v="2020"/>
    <x v="2"/>
  </r>
  <r>
    <x v="68"/>
    <n v="1000000032"/>
    <s v="借呗6期"/>
    <n v="1"/>
    <n v="1513.37"/>
    <s v="借呗"/>
    <x v="1"/>
    <x v="0"/>
    <x v="1"/>
    <s v="一组"/>
    <s v="苏州一组"/>
    <s v="管理人员"/>
    <n v="1513.37"/>
    <n v="2020"/>
    <x v="2"/>
  </r>
  <r>
    <x v="68"/>
    <n v="1000000036"/>
    <s v="借呗6期"/>
    <n v="2"/>
    <n v="9336.09"/>
    <s v="借呗"/>
    <x v="1"/>
    <x v="2"/>
    <x v="6"/>
    <s v="三组"/>
    <s v="广州三组"/>
    <s v="管理人员"/>
    <n v="4668.0450000000001"/>
    <n v="2020"/>
    <x v="2"/>
  </r>
  <r>
    <x v="68"/>
    <n v="1000000036"/>
    <s v="借呗18期"/>
    <n v="2"/>
    <n v="14500.73"/>
    <s v="借呗"/>
    <x v="2"/>
    <x v="2"/>
    <x v="6"/>
    <s v="三组"/>
    <s v="广州三组"/>
    <s v="管理人员"/>
    <n v="7250.3649999999998"/>
    <n v="2020"/>
    <x v="2"/>
  </r>
  <r>
    <x v="68"/>
    <n v="1000000037"/>
    <s v="借呗6期"/>
    <n v="1"/>
    <n v="5500.39"/>
    <s v="借呗"/>
    <x v="1"/>
    <x v="0"/>
    <x v="0"/>
    <s v="二组"/>
    <s v="杭州二组"/>
    <s v="普通员工"/>
    <n v="5500.39"/>
    <n v="2020"/>
    <x v="2"/>
  </r>
  <r>
    <x v="68"/>
    <n v="1000000043"/>
    <s v="借呗12期"/>
    <n v="1"/>
    <n v="5000.41"/>
    <s v="借呗"/>
    <x v="0"/>
    <x v="1"/>
    <x v="4"/>
    <s v="一组"/>
    <s v="成都一组"/>
    <s v="普通员工"/>
    <n v="5000.41"/>
    <n v="2020"/>
    <x v="2"/>
  </r>
  <r>
    <x v="68"/>
    <n v="1000000044"/>
    <s v="借呗6期"/>
    <n v="1"/>
    <n v="1578.72"/>
    <s v="借呗"/>
    <x v="1"/>
    <x v="1"/>
    <x v="2"/>
    <s v="三组"/>
    <s v="北京三组"/>
    <s v="管理人员"/>
    <n v="1578.72"/>
    <n v="2020"/>
    <x v="2"/>
  </r>
  <r>
    <x v="68"/>
    <n v="1000000044"/>
    <s v="借呗12期"/>
    <n v="1"/>
    <n v="10000.040000000001"/>
    <s v="借呗"/>
    <x v="0"/>
    <x v="1"/>
    <x v="2"/>
    <s v="三组"/>
    <s v="北京三组"/>
    <s v="管理人员"/>
    <n v="10000.040000000001"/>
    <n v="2020"/>
    <x v="2"/>
  </r>
  <r>
    <x v="68"/>
    <n v="1000000045"/>
    <s v="借呗6期"/>
    <n v="2"/>
    <n v="15000.6"/>
    <s v="借呗"/>
    <x v="1"/>
    <x v="2"/>
    <x v="9"/>
    <s v="一组"/>
    <s v="深圳一组"/>
    <s v="普通员工"/>
    <n v="7500.3"/>
    <n v="2020"/>
    <x v="2"/>
  </r>
  <r>
    <x v="68"/>
    <n v="1000000046"/>
    <s v="借呗6期"/>
    <n v="2"/>
    <n v="17501.21"/>
    <s v="借呗"/>
    <x v="1"/>
    <x v="1"/>
    <x v="4"/>
    <s v="一组"/>
    <s v="成都一组"/>
    <s v="普通员工"/>
    <n v="8750.6049999999996"/>
    <n v="2020"/>
    <x v="2"/>
  </r>
  <r>
    <x v="68"/>
    <n v="1000000054"/>
    <s v="借呗6期"/>
    <n v="1"/>
    <n v="1499.97"/>
    <s v="借呗"/>
    <x v="1"/>
    <x v="0"/>
    <x v="3"/>
    <s v="一组"/>
    <s v="上海一组"/>
    <s v="普通员工"/>
    <n v="1499.97"/>
    <n v="2020"/>
    <x v="2"/>
  </r>
  <r>
    <x v="68"/>
    <n v="1000000054"/>
    <s v="借呗12期"/>
    <n v="2"/>
    <n v="22000.93"/>
    <s v="借呗"/>
    <x v="0"/>
    <x v="0"/>
    <x v="3"/>
    <s v="一组"/>
    <s v="上海一组"/>
    <s v="普通员工"/>
    <n v="11000.465"/>
    <n v="2020"/>
    <x v="2"/>
  </r>
  <r>
    <x v="68"/>
    <n v="1000000056"/>
    <s v="借呗6期"/>
    <n v="1"/>
    <n v="1257.23"/>
    <s v="借呗"/>
    <x v="1"/>
    <x v="0"/>
    <x v="3"/>
    <s v="一组"/>
    <s v="上海一组"/>
    <s v="管理人员"/>
    <n v="1257.23"/>
    <n v="2020"/>
    <x v="2"/>
  </r>
  <r>
    <x v="68"/>
    <n v="1000000056"/>
    <s v="借呗18期"/>
    <n v="1"/>
    <n v="11000.47"/>
    <s v="借呗"/>
    <x v="2"/>
    <x v="0"/>
    <x v="3"/>
    <s v="一组"/>
    <s v="上海一组"/>
    <s v="管理人员"/>
    <n v="11000.47"/>
    <n v="2020"/>
    <x v="2"/>
  </r>
  <r>
    <x v="68"/>
    <n v="1000000067"/>
    <s v="借呗6期"/>
    <n v="1"/>
    <n v="4999.95"/>
    <s v="借呗"/>
    <x v="1"/>
    <x v="0"/>
    <x v="1"/>
    <s v="二组"/>
    <s v="苏州二组"/>
    <s v="普通员工"/>
    <n v="4999.95"/>
    <n v="2020"/>
    <x v="2"/>
  </r>
  <r>
    <x v="68"/>
    <n v="1000000067"/>
    <s v="借呗12期"/>
    <n v="1"/>
    <n v="18000.04"/>
    <s v="借呗"/>
    <x v="0"/>
    <x v="0"/>
    <x v="1"/>
    <s v="二组"/>
    <s v="苏州二组"/>
    <s v="普通员工"/>
    <n v="18000.04"/>
    <n v="2020"/>
    <x v="2"/>
  </r>
  <r>
    <x v="68"/>
    <n v="1000000068"/>
    <s v="借呗18期"/>
    <n v="1"/>
    <n v="4400.1899999999996"/>
    <s v="借呗"/>
    <x v="2"/>
    <x v="1"/>
    <x v="7"/>
    <s v="一组"/>
    <s v="重庆一组"/>
    <s v="管理人员"/>
    <n v="4400.1899999999996"/>
    <n v="2020"/>
    <x v="2"/>
  </r>
  <r>
    <x v="68"/>
    <n v="1000000104"/>
    <s v="借呗6期"/>
    <n v="1"/>
    <n v="4000.65"/>
    <s v="借呗"/>
    <x v="1"/>
    <x v="0"/>
    <x v="5"/>
    <s v="一组"/>
    <s v="合肥一组"/>
    <s v="普通员工"/>
    <n v="4000.65"/>
    <n v="2020"/>
    <x v="2"/>
  </r>
  <r>
    <x v="68"/>
    <n v="1000000237"/>
    <s v="借呗18期"/>
    <n v="4"/>
    <n v="60001.489999999991"/>
    <s v="借呗"/>
    <x v="2"/>
    <x v="0"/>
    <x v="5"/>
    <s v="一组"/>
    <s v="合肥一组"/>
    <s v="普通员工"/>
    <n v="15000.372499999998"/>
    <n v="2020"/>
    <x v="2"/>
  </r>
  <r>
    <x v="68"/>
    <n v="1000000566"/>
    <s v="借呗12期"/>
    <n v="1"/>
    <n v="1379.76"/>
    <s v="借呗"/>
    <x v="0"/>
    <x v="2"/>
    <x v="6"/>
    <s v="三组"/>
    <s v="广州三组"/>
    <s v="普通员工"/>
    <n v="1379.76"/>
    <n v="2020"/>
    <x v="2"/>
  </r>
  <r>
    <x v="68"/>
    <n v="1000000566"/>
    <s v="借呗18期"/>
    <n v="1"/>
    <n v="13000.55"/>
    <s v="借呗"/>
    <x v="2"/>
    <x v="2"/>
    <x v="6"/>
    <s v="三组"/>
    <s v="广州三组"/>
    <s v="普通员工"/>
    <n v="13000.55"/>
    <n v="2020"/>
    <x v="2"/>
  </r>
  <r>
    <x v="68"/>
    <n v="1000000576"/>
    <s v="借呗12期"/>
    <n v="1"/>
    <n v="13000.41"/>
    <s v="借呗"/>
    <x v="0"/>
    <x v="0"/>
    <x v="1"/>
    <s v="三组"/>
    <s v="苏州三组"/>
    <s v="普通员工"/>
    <n v="13000.41"/>
    <n v="2020"/>
    <x v="2"/>
  </r>
  <r>
    <x v="68"/>
    <n v="1000000594"/>
    <s v="借呗12期"/>
    <n v="2"/>
    <n v="32000.050000000003"/>
    <s v="借呗"/>
    <x v="0"/>
    <x v="0"/>
    <x v="1"/>
    <s v="二组"/>
    <s v="苏州二组"/>
    <s v="普通员工"/>
    <n v="16000.025000000001"/>
    <n v="2020"/>
    <x v="2"/>
  </r>
  <r>
    <x v="68"/>
    <n v="1000001513"/>
    <s v="借呗12期"/>
    <n v="1"/>
    <n v="500.24"/>
    <s v="借呗"/>
    <x v="0"/>
    <x v="0"/>
    <x v="3"/>
    <s v="二组"/>
    <s v="上海二组"/>
    <s v="普通员工"/>
    <n v="500.24"/>
    <n v="2020"/>
    <x v="2"/>
  </r>
  <r>
    <x v="68"/>
    <n v="1000001524"/>
    <s v="借呗18期"/>
    <n v="1"/>
    <n v="5000.28"/>
    <s v="借呗"/>
    <x v="2"/>
    <x v="0"/>
    <x v="1"/>
    <s v="二组"/>
    <s v="苏州二组"/>
    <s v="普通员工"/>
    <n v="5000.28"/>
    <n v="2020"/>
    <x v="2"/>
  </r>
  <r>
    <x v="68"/>
    <n v="1000003489"/>
    <s v="借呗12期"/>
    <n v="2"/>
    <n v="21300.87"/>
    <s v="借呗"/>
    <x v="0"/>
    <x v="2"/>
    <x v="6"/>
    <s v="一组"/>
    <s v="广州一组"/>
    <s v="普通员工"/>
    <n v="10650.434999999999"/>
    <n v="2020"/>
    <x v="2"/>
  </r>
  <r>
    <x v="68"/>
    <n v="1000003803"/>
    <s v="借呗6期"/>
    <n v="1"/>
    <n v="7000.52"/>
    <s v="借呗"/>
    <x v="1"/>
    <x v="1"/>
    <x v="2"/>
    <s v="三组"/>
    <s v="北京三组"/>
    <s v="普通员工"/>
    <n v="7000.52"/>
    <n v="2020"/>
    <x v="2"/>
  </r>
  <r>
    <x v="68"/>
    <n v="1000004170"/>
    <s v="借呗6期"/>
    <n v="1"/>
    <n v="6000.03"/>
    <s v="借呗"/>
    <x v="1"/>
    <x v="0"/>
    <x v="3"/>
    <s v="二组"/>
    <s v="上海二组"/>
    <s v="管理人员"/>
    <n v="6000.03"/>
    <n v="2020"/>
    <x v="2"/>
  </r>
  <r>
    <x v="68"/>
    <n v="1000004170"/>
    <s v="借呗12期"/>
    <n v="1"/>
    <n v="25000.75"/>
    <s v="借呗"/>
    <x v="0"/>
    <x v="0"/>
    <x v="3"/>
    <s v="二组"/>
    <s v="上海二组"/>
    <s v="管理人员"/>
    <n v="25000.75"/>
    <n v="2020"/>
    <x v="2"/>
  </r>
  <r>
    <x v="68"/>
    <n v="1000004256"/>
    <s v="借呗12期"/>
    <n v="1"/>
    <n v="5500.09"/>
    <s v="借呗"/>
    <x v="0"/>
    <x v="0"/>
    <x v="5"/>
    <s v="一组"/>
    <s v="合肥一组"/>
    <s v="普通员工"/>
    <n v="5500.09"/>
    <n v="2020"/>
    <x v="2"/>
  </r>
  <r>
    <x v="68"/>
    <n v="1000004256"/>
    <s v="借呗18期"/>
    <n v="1"/>
    <n v="7500.13"/>
    <s v="借呗"/>
    <x v="2"/>
    <x v="0"/>
    <x v="5"/>
    <s v="一组"/>
    <s v="合肥一组"/>
    <s v="普通员工"/>
    <n v="7500.13"/>
    <n v="2020"/>
    <x v="2"/>
  </r>
  <r>
    <x v="68"/>
    <n v="1000005873"/>
    <s v="借呗12期"/>
    <n v="2"/>
    <n v="20000.71"/>
    <s v="借呗"/>
    <x v="0"/>
    <x v="0"/>
    <x v="0"/>
    <s v="二组"/>
    <s v="杭州二组"/>
    <s v="管理人员"/>
    <n v="10000.355"/>
    <n v="2020"/>
    <x v="2"/>
  </r>
  <r>
    <x v="68"/>
    <n v="1000006698"/>
    <s v="借呗12期"/>
    <n v="1"/>
    <n v="17000.12"/>
    <s v="借呗"/>
    <x v="0"/>
    <x v="1"/>
    <x v="4"/>
    <s v="一组"/>
    <s v="成都一组"/>
    <s v="管理人员"/>
    <n v="17000.12"/>
    <n v="2020"/>
    <x v="2"/>
  </r>
  <r>
    <x v="68"/>
    <n v="1000006698"/>
    <s v="借呗18期"/>
    <n v="1"/>
    <n v="12000.01"/>
    <s v="借呗"/>
    <x v="2"/>
    <x v="1"/>
    <x v="4"/>
    <s v="一组"/>
    <s v="成都一组"/>
    <s v="管理人员"/>
    <n v="12000.01"/>
    <n v="2020"/>
    <x v="2"/>
  </r>
  <r>
    <x v="68"/>
    <n v="1000006859"/>
    <s v="借呗18期"/>
    <n v="1"/>
    <n v="9000.15"/>
    <s v="借呗"/>
    <x v="2"/>
    <x v="0"/>
    <x v="10"/>
    <s v="一组"/>
    <s v="南京一组"/>
    <s v="普通员工"/>
    <n v="9000.15"/>
    <n v="2020"/>
    <x v="2"/>
  </r>
  <r>
    <x v="68"/>
    <n v="1000006867"/>
    <s v="借呗18期"/>
    <n v="1"/>
    <n v="16000.7"/>
    <s v="借呗"/>
    <x v="2"/>
    <x v="0"/>
    <x v="10"/>
    <s v="一组"/>
    <s v="南京一组"/>
    <s v="普通员工"/>
    <n v="16000.7"/>
    <n v="2020"/>
    <x v="2"/>
  </r>
  <r>
    <x v="68"/>
    <n v="1000006869"/>
    <s v="借呗12期"/>
    <n v="2"/>
    <n v="11501.51"/>
    <s v="借呗"/>
    <x v="0"/>
    <x v="0"/>
    <x v="10"/>
    <s v="一组"/>
    <s v="南京一组"/>
    <s v="普通员工"/>
    <n v="5750.7550000000001"/>
    <n v="2020"/>
    <x v="2"/>
  </r>
  <r>
    <x v="68"/>
    <n v="1000006869"/>
    <s v="借呗18期"/>
    <n v="1"/>
    <n v="3000.1"/>
    <s v="借呗"/>
    <x v="2"/>
    <x v="0"/>
    <x v="10"/>
    <s v="一组"/>
    <s v="南京一组"/>
    <s v="普通员工"/>
    <n v="3000.1"/>
    <n v="2020"/>
    <x v="2"/>
  </r>
  <r>
    <x v="68"/>
    <n v="1000007320"/>
    <s v="借呗6期"/>
    <n v="3"/>
    <n v="45001.09"/>
    <s v="借呗"/>
    <x v="1"/>
    <x v="0"/>
    <x v="3"/>
    <s v="一组"/>
    <s v="上海一组"/>
    <s v="普通员工"/>
    <n v="15000.363333333333"/>
    <n v="2020"/>
    <x v="2"/>
  </r>
  <r>
    <x v="68"/>
    <n v="1000008228"/>
    <s v="借呗6期"/>
    <n v="1"/>
    <n v="15000.2"/>
    <s v="借呗"/>
    <x v="1"/>
    <x v="1"/>
    <x v="2"/>
    <s v="三组"/>
    <s v="北京三组"/>
    <s v="普通员工"/>
    <n v="15000.2"/>
    <n v="2020"/>
    <x v="2"/>
  </r>
  <r>
    <x v="68"/>
    <n v="1000008239"/>
    <s v="借呗12期"/>
    <n v="2"/>
    <n v="25000.59"/>
    <s v="借呗"/>
    <x v="0"/>
    <x v="0"/>
    <x v="10"/>
    <s v="一组"/>
    <s v="南京一组"/>
    <s v="管理人员"/>
    <n v="12500.295"/>
    <n v="2020"/>
    <x v="2"/>
  </r>
  <r>
    <x v="68"/>
    <n v="1000008542"/>
    <s v="借呗6期"/>
    <n v="1"/>
    <n v="999.51"/>
    <s v="借呗"/>
    <x v="1"/>
    <x v="0"/>
    <x v="5"/>
    <s v="一组"/>
    <s v="合肥一组"/>
    <s v="普通员工"/>
    <n v="999.51"/>
    <n v="2020"/>
    <x v="2"/>
  </r>
  <r>
    <x v="68"/>
    <n v="1000008542"/>
    <s v="借呗12期"/>
    <n v="3"/>
    <n v="42867.069999999992"/>
    <s v="借呗"/>
    <x v="0"/>
    <x v="0"/>
    <x v="5"/>
    <s v="一组"/>
    <s v="合肥一组"/>
    <s v="普通员工"/>
    <n v="14289.023333333331"/>
    <n v="2020"/>
    <x v="2"/>
  </r>
  <r>
    <x v="68"/>
    <n v="1000008704"/>
    <s v="借呗12期"/>
    <n v="1"/>
    <n v="6000.7"/>
    <s v="借呗"/>
    <x v="0"/>
    <x v="0"/>
    <x v="10"/>
    <s v="一组"/>
    <s v="南京一组"/>
    <s v="普通员工"/>
    <n v="6000.7"/>
    <n v="2020"/>
    <x v="2"/>
  </r>
  <r>
    <x v="68"/>
    <n v="1000009288"/>
    <s v="借呗6期"/>
    <n v="1"/>
    <n v="4000.12"/>
    <s v="借呗"/>
    <x v="1"/>
    <x v="0"/>
    <x v="1"/>
    <s v="二组"/>
    <s v="苏州二组"/>
    <s v="普通员工"/>
    <n v="4000.12"/>
    <n v="2020"/>
    <x v="2"/>
  </r>
  <r>
    <x v="68"/>
    <n v="1000010814"/>
    <s v="借呗12期"/>
    <n v="1"/>
    <n v="7000.09"/>
    <s v="借呗"/>
    <x v="0"/>
    <x v="0"/>
    <x v="10"/>
    <s v="四组"/>
    <s v="南京四组"/>
    <s v="普通员工"/>
    <n v="7000.09"/>
    <n v="2020"/>
    <x v="2"/>
  </r>
  <r>
    <x v="68"/>
    <n v="1000010814"/>
    <s v="借呗18期"/>
    <n v="1"/>
    <n v="13000.55"/>
    <s v="借呗"/>
    <x v="2"/>
    <x v="0"/>
    <x v="10"/>
    <s v="四组"/>
    <s v="南京四组"/>
    <s v="普通员工"/>
    <n v="13000.55"/>
    <n v="2020"/>
    <x v="2"/>
  </r>
  <r>
    <x v="68"/>
    <n v="1000010837"/>
    <s v="借呗12期"/>
    <n v="1"/>
    <n v="5000.43"/>
    <s v="借呗"/>
    <x v="0"/>
    <x v="0"/>
    <x v="10"/>
    <s v="一组"/>
    <s v="南京一组"/>
    <s v="普通员工"/>
    <n v="5000.43"/>
    <n v="2020"/>
    <x v="2"/>
  </r>
  <r>
    <x v="68"/>
    <n v="1000011698"/>
    <s v="借呗6期"/>
    <n v="1"/>
    <n v="7500.42"/>
    <s v="借呗"/>
    <x v="1"/>
    <x v="0"/>
    <x v="3"/>
    <s v="二组"/>
    <s v="上海二组"/>
    <s v="普通员工"/>
    <n v="7500.42"/>
    <n v="2020"/>
    <x v="2"/>
  </r>
  <r>
    <x v="68"/>
    <n v="1000012099"/>
    <s v="借呗12期"/>
    <n v="2"/>
    <n v="31000.840000000004"/>
    <s v="借呗"/>
    <x v="0"/>
    <x v="0"/>
    <x v="0"/>
    <s v="二组"/>
    <s v="杭州二组"/>
    <s v="普通员工"/>
    <n v="15500.420000000002"/>
    <n v="2020"/>
    <x v="2"/>
  </r>
  <r>
    <x v="68"/>
    <n v="1000012099"/>
    <s v="借呗18期"/>
    <n v="2"/>
    <n v="30000.400000000001"/>
    <s v="借呗"/>
    <x v="2"/>
    <x v="0"/>
    <x v="0"/>
    <s v="二组"/>
    <s v="杭州二组"/>
    <s v="普通员工"/>
    <n v="15000.2"/>
    <n v="2020"/>
    <x v="2"/>
  </r>
  <r>
    <x v="68"/>
    <n v="1000012112"/>
    <s v="借呗18期"/>
    <n v="1"/>
    <n v="9000.73"/>
    <s v="借呗"/>
    <x v="2"/>
    <x v="0"/>
    <x v="0"/>
    <s v="三组"/>
    <s v="杭州三组"/>
    <s v="管理人员"/>
    <n v="9000.73"/>
    <n v="2020"/>
    <x v="2"/>
  </r>
  <r>
    <x v="68"/>
    <n v="1000012234"/>
    <s v="借呗6期"/>
    <n v="1"/>
    <n v="6500.13"/>
    <s v="借呗"/>
    <x v="1"/>
    <x v="0"/>
    <x v="1"/>
    <s v="一组"/>
    <s v="苏州一组"/>
    <s v="普通员工"/>
    <n v="6500.13"/>
    <n v="2020"/>
    <x v="2"/>
  </r>
  <r>
    <x v="69"/>
    <n v="1000000028"/>
    <s v="借呗12期"/>
    <n v="1"/>
    <n v="20000.23"/>
    <s v="借呗"/>
    <x v="0"/>
    <x v="0"/>
    <x v="0"/>
    <s v="二组"/>
    <s v="杭州二组"/>
    <s v="普通员工"/>
    <n v="20000.23"/>
    <n v="2020"/>
    <x v="2"/>
  </r>
  <r>
    <x v="69"/>
    <n v="1000000029"/>
    <s v="借呗6期"/>
    <n v="1"/>
    <n v="10000.08"/>
    <s v="借呗"/>
    <x v="1"/>
    <x v="0"/>
    <x v="0"/>
    <s v="二组"/>
    <s v="杭州二组"/>
    <s v="普通员工"/>
    <n v="10000.08"/>
    <n v="2020"/>
    <x v="2"/>
  </r>
  <r>
    <x v="69"/>
    <n v="1000000029"/>
    <s v="借呗12期"/>
    <n v="1"/>
    <n v="2000.39"/>
    <s v="借呗"/>
    <x v="0"/>
    <x v="0"/>
    <x v="0"/>
    <s v="二组"/>
    <s v="杭州二组"/>
    <s v="普通员工"/>
    <n v="2000.39"/>
    <n v="2020"/>
    <x v="2"/>
  </r>
  <r>
    <x v="69"/>
    <n v="1000000029"/>
    <s v="借呗18期"/>
    <n v="1"/>
    <n v="1900.63"/>
    <s v="借呗"/>
    <x v="2"/>
    <x v="0"/>
    <x v="0"/>
    <s v="二组"/>
    <s v="杭州二组"/>
    <s v="普通员工"/>
    <n v="1900.63"/>
    <n v="2020"/>
    <x v="2"/>
  </r>
  <r>
    <x v="69"/>
    <n v="1000000030"/>
    <s v="借呗6期"/>
    <n v="1"/>
    <n v="7500.67"/>
    <s v="借呗"/>
    <x v="1"/>
    <x v="2"/>
    <x v="6"/>
    <s v="三组"/>
    <s v="广州三组"/>
    <s v="普通员工"/>
    <n v="7500.67"/>
    <n v="2020"/>
    <x v="2"/>
  </r>
  <r>
    <x v="69"/>
    <n v="1000000031"/>
    <s v="借呗12期"/>
    <n v="1"/>
    <n v="10000.69"/>
    <s v="借呗"/>
    <x v="0"/>
    <x v="0"/>
    <x v="0"/>
    <s v="一组"/>
    <s v="杭州一组"/>
    <s v="管理人员"/>
    <n v="10000.69"/>
    <n v="2020"/>
    <x v="2"/>
  </r>
  <r>
    <x v="69"/>
    <n v="1000000031"/>
    <s v="借呗18期"/>
    <n v="1"/>
    <n v="1500.35"/>
    <s v="借呗"/>
    <x v="2"/>
    <x v="0"/>
    <x v="0"/>
    <s v="一组"/>
    <s v="杭州一组"/>
    <s v="管理人员"/>
    <n v="1500.35"/>
    <n v="2020"/>
    <x v="2"/>
  </r>
  <r>
    <x v="69"/>
    <n v="1000000033"/>
    <s v="借呗6期"/>
    <n v="1"/>
    <n v="14000.04"/>
    <s v="借呗"/>
    <x v="1"/>
    <x v="0"/>
    <x v="1"/>
    <s v="一组"/>
    <s v="苏州一组"/>
    <s v="普通员工"/>
    <n v="14000.04"/>
    <n v="2020"/>
    <x v="2"/>
  </r>
  <r>
    <x v="69"/>
    <n v="1000000036"/>
    <s v="借呗6期"/>
    <n v="4"/>
    <n v="35636.61"/>
    <s v="借呗"/>
    <x v="1"/>
    <x v="2"/>
    <x v="6"/>
    <s v="三组"/>
    <s v="广州三组"/>
    <s v="管理人员"/>
    <n v="8909.1525000000001"/>
    <n v="2020"/>
    <x v="2"/>
  </r>
  <r>
    <x v="69"/>
    <n v="1000000036"/>
    <s v="借呗18期"/>
    <n v="1"/>
    <n v="8000.49"/>
    <s v="借呗"/>
    <x v="2"/>
    <x v="2"/>
    <x v="6"/>
    <s v="三组"/>
    <s v="广州三组"/>
    <s v="管理人员"/>
    <n v="8000.49"/>
    <n v="2020"/>
    <x v="2"/>
  </r>
  <r>
    <x v="69"/>
    <n v="1000000037"/>
    <s v="借呗18期"/>
    <n v="1"/>
    <n v="18000.16"/>
    <s v="借呗"/>
    <x v="2"/>
    <x v="0"/>
    <x v="0"/>
    <s v="二组"/>
    <s v="杭州二组"/>
    <s v="普通员工"/>
    <n v="18000.16"/>
    <n v="2020"/>
    <x v="2"/>
  </r>
  <r>
    <x v="69"/>
    <n v="1000000040"/>
    <s v="借呗12期"/>
    <n v="2"/>
    <n v="15440.91"/>
    <s v="借呗"/>
    <x v="0"/>
    <x v="1"/>
    <x v="2"/>
    <s v="四组"/>
    <s v="北京四组"/>
    <s v="管理人员"/>
    <n v="7720.4549999999999"/>
    <n v="2020"/>
    <x v="2"/>
  </r>
  <r>
    <x v="69"/>
    <n v="1000000040"/>
    <s v="借呗18期"/>
    <n v="1"/>
    <n v="7500.29"/>
    <s v="借呗"/>
    <x v="2"/>
    <x v="1"/>
    <x v="2"/>
    <s v="四组"/>
    <s v="北京四组"/>
    <s v="管理人员"/>
    <n v="7500.29"/>
    <n v="2020"/>
    <x v="2"/>
  </r>
  <r>
    <x v="69"/>
    <n v="1000000041"/>
    <s v="借呗6期"/>
    <n v="2"/>
    <n v="30001.16"/>
    <s v="借呗"/>
    <x v="1"/>
    <x v="1"/>
    <x v="2"/>
    <s v="四组"/>
    <s v="北京四组"/>
    <s v="普通员工"/>
    <n v="15000.58"/>
    <n v="2020"/>
    <x v="2"/>
  </r>
  <r>
    <x v="69"/>
    <n v="1000000041"/>
    <s v="借呗12期"/>
    <n v="1"/>
    <n v="13000.62"/>
    <s v="借呗"/>
    <x v="0"/>
    <x v="1"/>
    <x v="2"/>
    <s v="四组"/>
    <s v="北京四组"/>
    <s v="普通员工"/>
    <n v="13000.62"/>
    <n v="2020"/>
    <x v="2"/>
  </r>
  <r>
    <x v="69"/>
    <n v="1000000043"/>
    <s v="借呗6期"/>
    <n v="1"/>
    <n v="1600.6"/>
    <s v="借呗"/>
    <x v="1"/>
    <x v="1"/>
    <x v="4"/>
    <s v="一组"/>
    <s v="成都一组"/>
    <s v="普通员工"/>
    <n v="1600.6"/>
    <n v="2020"/>
    <x v="2"/>
  </r>
  <r>
    <x v="69"/>
    <n v="1000000044"/>
    <s v="借呗6期"/>
    <n v="3"/>
    <n v="51001.4"/>
    <s v="借呗"/>
    <x v="1"/>
    <x v="1"/>
    <x v="2"/>
    <s v="三组"/>
    <s v="北京三组"/>
    <s v="管理人员"/>
    <n v="17000.466666666667"/>
    <n v="2020"/>
    <x v="2"/>
  </r>
  <r>
    <x v="69"/>
    <n v="1000000045"/>
    <s v="借呗6期"/>
    <n v="4"/>
    <n v="28501.42"/>
    <s v="借呗"/>
    <x v="1"/>
    <x v="2"/>
    <x v="9"/>
    <s v="一组"/>
    <s v="深圳一组"/>
    <s v="普通员工"/>
    <n v="7125.3549999999996"/>
    <n v="2020"/>
    <x v="2"/>
  </r>
  <r>
    <x v="69"/>
    <n v="1000000046"/>
    <s v="借呗6期"/>
    <n v="1"/>
    <n v="13999.97"/>
    <s v="借呗"/>
    <x v="1"/>
    <x v="1"/>
    <x v="4"/>
    <s v="一组"/>
    <s v="成都一组"/>
    <s v="普通员工"/>
    <n v="13999.97"/>
    <n v="2020"/>
    <x v="2"/>
  </r>
  <r>
    <x v="69"/>
    <n v="1000000049"/>
    <s v="借呗6期"/>
    <n v="1"/>
    <n v="840.56"/>
    <s v="借呗"/>
    <x v="1"/>
    <x v="0"/>
    <x v="5"/>
    <s v="一组"/>
    <s v="合肥一组"/>
    <s v="普通员工"/>
    <n v="840.56"/>
    <n v="2020"/>
    <x v="2"/>
  </r>
  <r>
    <x v="69"/>
    <n v="1000000050"/>
    <s v="借呗6期"/>
    <n v="3"/>
    <n v="3943.84"/>
    <s v="借呗"/>
    <x v="1"/>
    <x v="0"/>
    <x v="5"/>
    <s v="一组"/>
    <s v="合肥一组"/>
    <s v="普通员工"/>
    <n v="1314.6133333333335"/>
    <n v="2020"/>
    <x v="2"/>
  </r>
  <r>
    <x v="69"/>
    <n v="1000000050"/>
    <s v="借呗18期"/>
    <n v="2"/>
    <n v="28000.92"/>
    <s v="借呗"/>
    <x v="2"/>
    <x v="0"/>
    <x v="5"/>
    <s v="一组"/>
    <s v="合肥一组"/>
    <s v="普通员工"/>
    <n v="14000.46"/>
    <n v="2020"/>
    <x v="2"/>
  </r>
  <r>
    <x v="69"/>
    <n v="1000000054"/>
    <s v="借呗6期"/>
    <n v="1"/>
    <n v="1999.98"/>
    <s v="借呗"/>
    <x v="1"/>
    <x v="0"/>
    <x v="3"/>
    <s v="一组"/>
    <s v="上海一组"/>
    <s v="普通员工"/>
    <n v="1999.98"/>
    <n v="2020"/>
    <x v="2"/>
  </r>
  <r>
    <x v="69"/>
    <n v="1000000054"/>
    <s v="借呗12期"/>
    <n v="1"/>
    <n v="12000.35"/>
    <s v="借呗"/>
    <x v="0"/>
    <x v="0"/>
    <x v="3"/>
    <s v="一组"/>
    <s v="上海一组"/>
    <s v="普通员工"/>
    <n v="12000.35"/>
    <n v="2020"/>
    <x v="2"/>
  </r>
  <r>
    <x v="69"/>
    <n v="1000000056"/>
    <s v="借呗6期"/>
    <n v="1"/>
    <n v="5000.55"/>
    <s v="借呗"/>
    <x v="1"/>
    <x v="0"/>
    <x v="3"/>
    <s v="一组"/>
    <s v="上海一组"/>
    <s v="管理人员"/>
    <n v="5000.55"/>
    <n v="2020"/>
    <x v="2"/>
  </r>
  <r>
    <x v="69"/>
    <n v="1000000056"/>
    <s v="借呗18期"/>
    <n v="1"/>
    <n v="11000.77"/>
    <s v="借呗"/>
    <x v="2"/>
    <x v="0"/>
    <x v="3"/>
    <s v="一组"/>
    <s v="上海一组"/>
    <s v="管理人员"/>
    <n v="11000.77"/>
    <n v="2020"/>
    <x v="2"/>
  </r>
  <r>
    <x v="69"/>
    <n v="1000000057"/>
    <s v="借呗6期"/>
    <n v="1"/>
    <n v="1564.99"/>
    <s v="借呗"/>
    <x v="1"/>
    <x v="0"/>
    <x v="3"/>
    <s v="二组"/>
    <s v="上海二组"/>
    <s v="普通员工"/>
    <n v="1564.99"/>
    <n v="2020"/>
    <x v="2"/>
  </r>
  <r>
    <x v="69"/>
    <n v="1000000067"/>
    <s v="借呗12期"/>
    <n v="2"/>
    <n v="35001.040000000001"/>
    <s v="借呗"/>
    <x v="0"/>
    <x v="0"/>
    <x v="1"/>
    <s v="二组"/>
    <s v="苏州二组"/>
    <s v="普通员工"/>
    <n v="17500.52"/>
    <n v="2020"/>
    <x v="2"/>
  </r>
  <r>
    <x v="69"/>
    <n v="1000000068"/>
    <s v="借呗18期"/>
    <n v="1"/>
    <n v="599.99"/>
    <s v="借呗"/>
    <x v="2"/>
    <x v="1"/>
    <x v="7"/>
    <s v="一组"/>
    <s v="重庆一组"/>
    <s v="管理人员"/>
    <n v="599.99"/>
    <n v="2020"/>
    <x v="2"/>
  </r>
  <r>
    <x v="69"/>
    <n v="1000000237"/>
    <s v="借呗18期"/>
    <n v="1"/>
    <n v="815.24"/>
    <s v="借呗"/>
    <x v="2"/>
    <x v="0"/>
    <x v="5"/>
    <s v="一组"/>
    <s v="合肥一组"/>
    <s v="普通员工"/>
    <n v="815.24"/>
    <n v="2020"/>
    <x v="2"/>
  </r>
  <r>
    <x v="69"/>
    <n v="1000000576"/>
    <s v="借呗6期"/>
    <n v="1"/>
    <n v="500.71"/>
    <s v="借呗"/>
    <x v="1"/>
    <x v="0"/>
    <x v="1"/>
    <s v="三组"/>
    <s v="苏州三组"/>
    <s v="普通员工"/>
    <n v="500.71"/>
    <n v="2020"/>
    <x v="2"/>
  </r>
  <r>
    <x v="69"/>
    <n v="1000000576"/>
    <s v="借呗12期"/>
    <n v="1"/>
    <n v="6000.05"/>
    <s v="借呗"/>
    <x v="0"/>
    <x v="0"/>
    <x v="1"/>
    <s v="三组"/>
    <s v="苏州三组"/>
    <s v="普通员工"/>
    <n v="6000.05"/>
    <n v="2020"/>
    <x v="2"/>
  </r>
  <r>
    <x v="69"/>
    <n v="1000000928"/>
    <s v="借呗6期"/>
    <n v="2"/>
    <n v="34000.86"/>
    <s v="借呗"/>
    <x v="1"/>
    <x v="1"/>
    <x v="8"/>
    <s v="一组"/>
    <s v="西安一组"/>
    <s v="普通员工"/>
    <n v="17000.43"/>
    <n v="2020"/>
    <x v="2"/>
  </r>
  <r>
    <x v="69"/>
    <n v="1000000928"/>
    <s v="借呗12期"/>
    <n v="2"/>
    <n v="45001.09"/>
    <s v="借呗"/>
    <x v="0"/>
    <x v="1"/>
    <x v="8"/>
    <s v="一组"/>
    <s v="西安一组"/>
    <s v="普通员工"/>
    <n v="22500.544999999998"/>
    <n v="2020"/>
    <x v="2"/>
  </r>
  <r>
    <x v="69"/>
    <n v="1000003489"/>
    <s v="借呗6期"/>
    <n v="1"/>
    <n v="5000.6499999999996"/>
    <s v="借呗"/>
    <x v="1"/>
    <x v="2"/>
    <x v="6"/>
    <s v="一组"/>
    <s v="广州一组"/>
    <s v="普通员工"/>
    <n v="5000.6499999999996"/>
    <n v="2020"/>
    <x v="2"/>
  </r>
  <r>
    <x v="69"/>
    <n v="1000003926"/>
    <s v="借呗6期"/>
    <n v="2"/>
    <n v="7485.23"/>
    <s v="借呗"/>
    <x v="1"/>
    <x v="2"/>
    <x v="6"/>
    <s v="一组"/>
    <s v="广州一组"/>
    <s v="管理人员"/>
    <n v="3742.6149999999998"/>
    <n v="2020"/>
    <x v="2"/>
  </r>
  <r>
    <x v="69"/>
    <n v="1000003926"/>
    <s v="借呗12期"/>
    <n v="1"/>
    <n v="10000.11"/>
    <s v="借呗"/>
    <x v="0"/>
    <x v="2"/>
    <x v="6"/>
    <s v="一组"/>
    <s v="广州一组"/>
    <s v="管理人员"/>
    <n v="10000.11"/>
    <n v="2020"/>
    <x v="2"/>
  </r>
  <r>
    <x v="69"/>
    <n v="1000003989"/>
    <s v="借呗12期"/>
    <n v="2"/>
    <n v="30500.71"/>
    <s v="借呗"/>
    <x v="0"/>
    <x v="1"/>
    <x v="2"/>
    <s v="三组"/>
    <s v="北京三组"/>
    <s v="普通员工"/>
    <n v="15250.355"/>
    <n v="2020"/>
    <x v="2"/>
  </r>
  <r>
    <x v="69"/>
    <n v="1000004170"/>
    <s v="借呗6期"/>
    <n v="3"/>
    <n v="38000.639999999999"/>
    <s v="借呗"/>
    <x v="1"/>
    <x v="0"/>
    <x v="3"/>
    <s v="二组"/>
    <s v="上海二组"/>
    <s v="管理人员"/>
    <n v="12666.88"/>
    <n v="2020"/>
    <x v="2"/>
  </r>
  <r>
    <x v="69"/>
    <n v="1000004170"/>
    <s v="借呗12期"/>
    <n v="1"/>
    <n v="2000.55"/>
    <s v="借呗"/>
    <x v="0"/>
    <x v="0"/>
    <x v="3"/>
    <s v="二组"/>
    <s v="上海二组"/>
    <s v="管理人员"/>
    <n v="2000.55"/>
    <n v="2020"/>
    <x v="2"/>
  </r>
  <r>
    <x v="69"/>
    <n v="1000004256"/>
    <s v="借呗18期"/>
    <n v="1"/>
    <n v="1182.45"/>
    <s v="借呗"/>
    <x v="2"/>
    <x v="0"/>
    <x v="5"/>
    <s v="一组"/>
    <s v="合肥一组"/>
    <s v="普通员工"/>
    <n v="1182.45"/>
    <n v="2020"/>
    <x v="2"/>
  </r>
  <r>
    <x v="69"/>
    <n v="1000005873"/>
    <s v="借呗6期"/>
    <n v="2"/>
    <n v="12000.69"/>
    <s v="借呗"/>
    <x v="1"/>
    <x v="0"/>
    <x v="0"/>
    <s v="二组"/>
    <s v="杭州二组"/>
    <s v="管理人员"/>
    <n v="6000.3450000000003"/>
    <n v="2020"/>
    <x v="2"/>
  </r>
  <r>
    <x v="69"/>
    <n v="1000005873"/>
    <s v="借呗12期"/>
    <n v="1"/>
    <n v="17000.46"/>
    <s v="借呗"/>
    <x v="0"/>
    <x v="0"/>
    <x v="0"/>
    <s v="二组"/>
    <s v="杭州二组"/>
    <s v="管理人员"/>
    <n v="17000.46"/>
    <n v="2020"/>
    <x v="2"/>
  </r>
  <r>
    <x v="69"/>
    <n v="1000006867"/>
    <s v="借呗12期"/>
    <n v="2"/>
    <n v="30000.23"/>
    <s v="借呗"/>
    <x v="0"/>
    <x v="0"/>
    <x v="10"/>
    <s v="一组"/>
    <s v="南京一组"/>
    <s v="普通员工"/>
    <n v="15000.115"/>
    <n v="2020"/>
    <x v="2"/>
  </r>
  <r>
    <x v="69"/>
    <n v="1000006869"/>
    <s v="借呗12期"/>
    <n v="1"/>
    <n v="10000.58"/>
    <s v="借呗"/>
    <x v="0"/>
    <x v="0"/>
    <x v="10"/>
    <s v="一组"/>
    <s v="南京一组"/>
    <s v="普通员工"/>
    <n v="10000.58"/>
    <n v="2020"/>
    <x v="2"/>
  </r>
  <r>
    <x v="69"/>
    <n v="1000007320"/>
    <s v="借呗6期"/>
    <n v="4"/>
    <n v="36501.32"/>
    <s v="借呗"/>
    <x v="1"/>
    <x v="0"/>
    <x v="3"/>
    <s v="一组"/>
    <s v="上海一组"/>
    <s v="普通员工"/>
    <n v="9125.33"/>
    <n v="2020"/>
    <x v="2"/>
  </r>
  <r>
    <x v="69"/>
    <n v="1000007320"/>
    <s v="借呗12期"/>
    <n v="1"/>
    <n v="20000.080000000002"/>
    <s v="借呗"/>
    <x v="0"/>
    <x v="0"/>
    <x v="3"/>
    <s v="一组"/>
    <s v="上海一组"/>
    <s v="普通员工"/>
    <n v="20000.080000000002"/>
    <n v="2020"/>
    <x v="2"/>
  </r>
  <r>
    <x v="69"/>
    <n v="1000008239"/>
    <s v="借呗6期"/>
    <n v="1"/>
    <n v="5000.7299999999996"/>
    <s v="借呗"/>
    <x v="1"/>
    <x v="0"/>
    <x v="10"/>
    <s v="一组"/>
    <s v="南京一组"/>
    <s v="管理人员"/>
    <n v="5000.7299999999996"/>
    <n v="2020"/>
    <x v="2"/>
  </r>
  <r>
    <x v="69"/>
    <n v="1000008239"/>
    <s v="借呗12期"/>
    <n v="1"/>
    <n v="15000.32"/>
    <s v="借呗"/>
    <x v="0"/>
    <x v="0"/>
    <x v="10"/>
    <s v="一组"/>
    <s v="南京一组"/>
    <s v="管理人员"/>
    <n v="15000.32"/>
    <n v="2020"/>
    <x v="2"/>
  </r>
  <r>
    <x v="69"/>
    <n v="1000010814"/>
    <s v="借呗12期"/>
    <n v="1"/>
    <n v="5000.2"/>
    <s v="借呗"/>
    <x v="0"/>
    <x v="0"/>
    <x v="10"/>
    <s v="四组"/>
    <s v="南京四组"/>
    <s v="普通员工"/>
    <n v="5000.2"/>
    <n v="2020"/>
    <x v="2"/>
  </r>
  <r>
    <x v="69"/>
    <n v="1000010814"/>
    <s v="借呗18期"/>
    <n v="2"/>
    <n v="18000.89"/>
    <s v="借呗"/>
    <x v="2"/>
    <x v="0"/>
    <x v="10"/>
    <s v="四组"/>
    <s v="南京四组"/>
    <s v="普通员工"/>
    <n v="9000.4449999999997"/>
    <n v="2020"/>
    <x v="2"/>
  </r>
  <r>
    <x v="69"/>
    <n v="1000010881"/>
    <s v="借呗18期"/>
    <n v="1"/>
    <n v="25000.59"/>
    <s v="借呗"/>
    <x v="2"/>
    <x v="2"/>
    <x v="6"/>
    <s v="一组"/>
    <s v="广州一组"/>
    <s v="普通员工"/>
    <n v="25000.59"/>
    <n v="2020"/>
    <x v="2"/>
  </r>
  <r>
    <x v="69"/>
    <n v="1000011697"/>
    <s v="借呗12期"/>
    <n v="1"/>
    <n v="8000.62"/>
    <s v="借呗"/>
    <x v="0"/>
    <x v="0"/>
    <x v="3"/>
    <s v="二组"/>
    <s v="上海二组"/>
    <s v="普通员工"/>
    <n v="8000.62"/>
    <n v="2020"/>
    <x v="2"/>
  </r>
  <r>
    <x v="69"/>
    <n v="1000012099"/>
    <s v="借呗6期"/>
    <n v="1"/>
    <n v="22000.06"/>
    <s v="借呗"/>
    <x v="1"/>
    <x v="0"/>
    <x v="0"/>
    <s v="二组"/>
    <s v="杭州二组"/>
    <s v="普通员工"/>
    <n v="22000.06"/>
    <n v="2020"/>
    <x v="2"/>
  </r>
  <r>
    <x v="69"/>
    <n v="1000012099"/>
    <s v="借呗12期"/>
    <n v="4"/>
    <n v="68001.740000000005"/>
    <s v="借呗"/>
    <x v="0"/>
    <x v="0"/>
    <x v="0"/>
    <s v="二组"/>
    <s v="杭州二组"/>
    <s v="普通员工"/>
    <n v="17000.435000000001"/>
    <n v="2020"/>
    <x v="2"/>
  </r>
  <r>
    <x v="69"/>
    <n v="1000012234"/>
    <s v="借呗6期"/>
    <n v="1"/>
    <n v="4500.59"/>
    <s v="借呗"/>
    <x v="1"/>
    <x v="0"/>
    <x v="1"/>
    <s v="一组"/>
    <s v="苏州一组"/>
    <s v="普通员工"/>
    <n v="4500.59"/>
    <n v="2020"/>
    <x v="2"/>
  </r>
  <r>
    <x v="69"/>
    <n v="1000012446"/>
    <s v="借呗12期"/>
    <n v="2"/>
    <n v="20999.95"/>
    <s v="借呗"/>
    <x v="0"/>
    <x v="1"/>
    <x v="2"/>
    <s v="三组"/>
    <s v="北京三组"/>
    <s v="普通员工"/>
    <n v="10499.975"/>
    <n v="2020"/>
    <x v="2"/>
  </r>
  <r>
    <x v="69"/>
    <n v="1000012675"/>
    <s v="借呗6期"/>
    <n v="1"/>
    <n v="15000.18"/>
    <s v="借呗"/>
    <x v="1"/>
    <x v="0"/>
    <x v="3"/>
    <s v="一组"/>
    <s v="上海一组"/>
    <s v="普通员工"/>
    <n v="15000.18"/>
    <n v="2020"/>
    <x v="2"/>
  </r>
  <r>
    <x v="70"/>
    <n v="1000000029"/>
    <s v="借呗6期"/>
    <n v="3"/>
    <n v="3070.04"/>
    <s v="借呗"/>
    <x v="1"/>
    <x v="0"/>
    <x v="0"/>
    <s v="二组"/>
    <s v="杭州二组"/>
    <s v="普通员工"/>
    <n v="1023.3466666666667"/>
    <n v="2020"/>
    <x v="2"/>
  </r>
  <r>
    <x v="70"/>
    <n v="1000000030"/>
    <s v="借呗12期"/>
    <n v="1"/>
    <n v="17000.14"/>
    <s v="借呗"/>
    <x v="0"/>
    <x v="2"/>
    <x v="6"/>
    <s v="三组"/>
    <s v="广州三组"/>
    <s v="普通员工"/>
    <n v="17000.14"/>
    <n v="2020"/>
    <x v="2"/>
  </r>
  <r>
    <x v="70"/>
    <n v="1000000031"/>
    <s v="借呗6期"/>
    <n v="2"/>
    <n v="10420.23"/>
    <s v="借呗"/>
    <x v="1"/>
    <x v="0"/>
    <x v="0"/>
    <s v="一组"/>
    <s v="杭州一组"/>
    <s v="管理人员"/>
    <n v="5210.1149999999998"/>
    <n v="2020"/>
    <x v="2"/>
  </r>
  <r>
    <x v="70"/>
    <n v="1000000031"/>
    <s v="借呗12期"/>
    <n v="2"/>
    <n v="5562.09"/>
    <s v="借呗"/>
    <x v="0"/>
    <x v="0"/>
    <x v="0"/>
    <s v="一组"/>
    <s v="杭州一组"/>
    <s v="管理人员"/>
    <n v="2781.0450000000001"/>
    <n v="2020"/>
    <x v="2"/>
  </r>
  <r>
    <x v="70"/>
    <n v="1000000032"/>
    <s v="借呗6期"/>
    <n v="1"/>
    <n v="22000.62"/>
    <s v="借呗"/>
    <x v="1"/>
    <x v="0"/>
    <x v="1"/>
    <s v="一组"/>
    <s v="苏州一组"/>
    <s v="管理人员"/>
    <n v="22000.62"/>
    <n v="2020"/>
    <x v="2"/>
  </r>
  <r>
    <x v="70"/>
    <n v="1000000032"/>
    <s v="借呗18期"/>
    <n v="1"/>
    <n v="17000.77"/>
    <s v="借呗"/>
    <x v="2"/>
    <x v="0"/>
    <x v="1"/>
    <s v="一组"/>
    <s v="苏州一组"/>
    <s v="管理人员"/>
    <n v="17000.77"/>
    <n v="2020"/>
    <x v="2"/>
  </r>
  <r>
    <x v="70"/>
    <n v="1000000033"/>
    <s v="借呗6期"/>
    <n v="1"/>
    <n v="699.98"/>
    <s v="借呗"/>
    <x v="1"/>
    <x v="0"/>
    <x v="1"/>
    <s v="一组"/>
    <s v="苏州一组"/>
    <s v="普通员工"/>
    <n v="699.98"/>
    <n v="2020"/>
    <x v="2"/>
  </r>
  <r>
    <x v="70"/>
    <n v="1000000034"/>
    <s v="借呗6期"/>
    <n v="1"/>
    <n v="2570.25"/>
    <s v="借呗"/>
    <x v="1"/>
    <x v="0"/>
    <x v="1"/>
    <s v="一组"/>
    <s v="苏州一组"/>
    <s v="普通员工"/>
    <n v="2570.25"/>
    <n v="2020"/>
    <x v="2"/>
  </r>
  <r>
    <x v="70"/>
    <n v="1000000034"/>
    <s v="借呗12期"/>
    <n v="1"/>
    <n v="15000.14"/>
    <s v="借呗"/>
    <x v="0"/>
    <x v="0"/>
    <x v="1"/>
    <s v="一组"/>
    <s v="苏州一组"/>
    <s v="普通员工"/>
    <n v="15000.14"/>
    <n v="2020"/>
    <x v="2"/>
  </r>
  <r>
    <x v="70"/>
    <n v="1000000036"/>
    <s v="借呗6期"/>
    <n v="1"/>
    <n v="4000.28"/>
    <s v="借呗"/>
    <x v="1"/>
    <x v="2"/>
    <x v="6"/>
    <s v="三组"/>
    <s v="广州三组"/>
    <s v="管理人员"/>
    <n v="4000.28"/>
    <n v="2020"/>
    <x v="2"/>
  </r>
  <r>
    <x v="70"/>
    <n v="1000000036"/>
    <s v="借呗12期"/>
    <n v="2"/>
    <n v="18000.98"/>
    <s v="借呗"/>
    <x v="0"/>
    <x v="2"/>
    <x v="6"/>
    <s v="三组"/>
    <s v="广州三组"/>
    <s v="管理人员"/>
    <n v="9000.49"/>
    <n v="2020"/>
    <x v="2"/>
  </r>
  <r>
    <x v="70"/>
    <n v="1000000037"/>
    <s v="借呗6期"/>
    <n v="1"/>
    <n v="3000.36"/>
    <s v="借呗"/>
    <x v="1"/>
    <x v="0"/>
    <x v="0"/>
    <s v="二组"/>
    <s v="杭州二组"/>
    <s v="普通员工"/>
    <n v="3000.36"/>
    <n v="2020"/>
    <x v="2"/>
  </r>
  <r>
    <x v="70"/>
    <n v="1000000040"/>
    <s v="借呗18期"/>
    <n v="1"/>
    <n v="17000.16"/>
    <s v="借呗"/>
    <x v="2"/>
    <x v="1"/>
    <x v="2"/>
    <s v="四组"/>
    <s v="北京四组"/>
    <s v="管理人员"/>
    <n v="17000.16"/>
    <n v="2020"/>
    <x v="2"/>
  </r>
  <r>
    <x v="70"/>
    <n v="1000000041"/>
    <s v="借呗6期"/>
    <n v="2"/>
    <n v="12500.369999999999"/>
    <s v="借呗"/>
    <x v="1"/>
    <x v="1"/>
    <x v="2"/>
    <s v="四组"/>
    <s v="北京四组"/>
    <s v="普通员工"/>
    <n v="6250.1849999999995"/>
    <n v="2020"/>
    <x v="2"/>
  </r>
  <r>
    <x v="70"/>
    <n v="1000000043"/>
    <s v="借呗6期"/>
    <n v="1"/>
    <n v="9000.74"/>
    <s v="借呗"/>
    <x v="1"/>
    <x v="1"/>
    <x v="4"/>
    <s v="一组"/>
    <s v="成都一组"/>
    <s v="普通员工"/>
    <n v="9000.74"/>
    <n v="2020"/>
    <x v="2"/>
  </r>
  <r>
    <x v="70"/>
    <n v="1000000044"/>
    <s v="借呗6期"/>
    <n v="2"/>
    <n v="11000.720000000001"/>
    <s v="借呗"/>
    <x v="1"/>
    <x v="1"/>
    <x v="2"/>
    <s v="三组"/>
    <s v="北京三组"/>
    <s v="管理人员"/>
    <n v="5500.3600000000006"/>
    <n v="2020"/>
    <x v="2"/>
  </r>
  <r>
    <x v="70"/>
    <n v="1000000045"/>
    <s v="借呗6期"/>
    <n v="1"/>
    <n v="13000.57"/>
    <s v="借呗"/>
    <x v="1"/>
    <x v="2"/>
    <x v="9"/>
    <s v="一组"/>
    <s v="深圳一组"/>
    <s v="普通员工"/>
    <n v="13000.57"/>
    <n v="2020"/>
    <x v="2"/>
  </r>
  <r>
    <x v="70"/>
    <n v="1000000045"/>
    <s v="借呗12期"/>
    <n v="2"/>
    <n v="1351.9"/>
    <s v="借呗"/>
    <x v="0"/>
    <x v="2"/>
    <x v="9"/>
    <s v="一组"/>
    <s v="深圳一组"/>
    <s v="普通员工"/>
    <n v="675.95"/>
    <n v="2020"/>
    <x v="2"/>
  </r>
  <r>
    <x v="70"/>
    <n v="1000000045"/>
    <s v="借呗18期"/>
    <n v="1"/>
    <n v="9000.7099999999991"/>
    <s v="借呗"/>
    <x v="2"/>
    <x v="2"/>
    <x v="9"/>
    <s v="一组"/>
    <s v="深圳一组"/>
    <s v="普通员工"/>
    <n v="9000.7099999999991"/>
    <n v="2020"/>
    <x v="2"/>
  </r>
  <r>
    <x v="70"/>
    <n v="1000000046"/>
    <s v="借呗6期"/>
    <n v="2"/>
    <n v="11182.560000000001"/>
    <s v="借呗"/>
    <x v="1"/>
    <x v="1"/>
    <x v="4"/>
    <s v="一组"/>
    <s v="成都一组"/>
    <s v="普通员工"/>
    <n v="5591.2800000000007"/>
    <n v="2020"/>
    <x v="2"/>
  </r>
  <r>
    <x v="70"/>
    <n v="1000000047"/>
    <s v="借呗18期"/>
    <n v="1"/>
    <n v="3899.66"/>
    <s v="借呗"/>
    <x v="2"/>
    <x v="2"/>
    <x v="6"/>
    <s v="一组"/>
    <s v="广州一组"/>
    <s v="普通员工"/>
    <n v="3899.66"/>
    <n v="2020"/>
    <x v="2"/>
  </r>
  <r>
    <x v="70"/>
    <n v="1000000050"/>
    <s v="借呗6期"/>
    <n v="1"/>
    <n v="21999.99"/>
    <s v="借呗"/>
    <x v="1"/>
    <x v="0"/>
    <x v="5"/>
    <s v="一组"/>
    <s v="合肥一组"/>
    <s v="普通员工"/>
    <n v="21999.99"/>
    <n v="2020"/>
    <x v="2"/>
  </r>
  <r>
    <x v="70"/>
    <n v="1000000050"/>
    <s v="借呗18期"/>
    <n v="1"/>
    <n v="12000.62"/>
    <s v="借呗"/>
    <x v="2"/>
    <x v="0"/>
    <x v="5"/>
    <s v="一组"/>
    <s v="合肥一组"/>
    <s v="普通员工"/>
    <n v="12000.62"/>
    <n v="2020"/>
    <x v="2"/>
  </r>
  <r>
    <x v="70"/>
    <n v="1000000056"/>
    <s v="花呗6期"/>
    <n v="1"/>
    <n v="1698.32"/>
    <s v="花呗"/>
    <x v="1"/>
    <x v="0"/>
    <x v="3"/>
    <s v="一组"/>
    <s v="上海一组"/>
    <s v="管理人员"/>
    <n v="1698.32"/>
    <n v="2020"/>
    <x v="2"/>
  </r>
  <r>
    <x v="70"/>
    <n v="1000000056"/>
    <s v="借呗6期"/>
    <n v="1"/>
    <n v="5000.47"/>
    <s v="借呗"/>
    <x v="1"/>
    <x v="0"/>
    <x v="3"/>
    <s v="一组"/>
    <s v="上海一组"/>
    <s v="管理人员"/>
    <n v="5000.47"/>
    <n v="2020"/>
    <x v="2"/>
  </r>
  <r>
    <x v="70"/>
    <n v="1000000056"/>
    <s v="借呗12期"/>
    <n v="2"/>
    <n v="13000.44"/>
    <s v="借呗"/>
    <x v="0"/>
    <x v="0"/>
    <x v="3"/>
    <s v="一组"/>
    <s v="上海一组"/>
    <s v="管理人员"/>
    <n v="6500.22"/>
    <n v="2020"/>
    <x v="2"/>
  </r>
  <r>
    <x v="70"/>
    <n v="1000000067"/>
    <s v="借呗6期"/>
    <n v="1"/>
    <n v="20000.7"/>
    <s v="借呗"/>
    <x v="1"/>
    <x v="0"/>
    <x v="1"/>
    <s v="二组"/>
    <s v="苏州二组"/>
    <s v="普通员工"/>
    <n v="20000.7"/>
    <n v="2020"/>
    <x v="2"/>
  </r>
  <r>
    <x v="70"/>
    <n v="1000000067"/>
    <s v="借呗12期"/>
    <n v="3"/>
    <n v="47001.25"/>
    <s v="借呗"/>
    <x v="0"/>
    <x v="0"/>
    <x v="1"/>
    <s v="二组"/>
    <s v="苏州二组"/>
    <s v="普通员工"/>
    <n v="15667.083333333334"/>
    <n v="2020"/>
    <x v="2"/>
  </r>
  <r>
    <x v="70"/>
    <n v="1000000068"/>
    <s v="借呗6期"/>
    <n v="1"/>
    <n v="1000.07"/>
    <s v="借呗"/>
    <x v="1"/>
    <x v="1"/>
    <x v="7"/>
    <s v="一组"/>
    <s v="重庆一组"/>
    <s v="管理人员"/>
    <n v="1000.07"/>
    <n v="2020"/>
    <x v="2"/>
  </r>
  <r>
    <x v="70"/>
    <n v="1000000068"/>
    <s v="借呗12期"/>
    <n v="1"/>
    <n v="12000.58"/>
    <s v="借呗"/>
    <x v="0"/>
    <x v="1"/>
    <x v="7"/>
    <s v="一组"/>
    <s v="重庆一组"/>
    <s v="管理人员"/>
    <n v="12000.58"/>
    <n v="2020"/>
    <x v="2"/>
  </r>
  <r>
    <x v="70"/>
    <n v="1000000104"/>
    <s v="借呗18期"/>
    <n v="1"/>
    <n v="13000.59"/>
    <s v="借呗"/>
    <x v="2"/>
    <x v="0"/>
    <x v="5"/>
    <s v="一组"/>
    <s v="合肥一组"/>
    <s v="普通员工"/>
    <n v="13000.59"/>
    <n v="2020"/>
    <x v="2"/>
  </r>
  <r>
    <x v="70"/>
    <n v="1000000237"/>
    <s v="借呗18期"/>
    <n v="1"/>
    <n v="17000.64"/>
    <s v="借呗"/>
    <x v="2"/>
    <x v="0"/>
    <x v="5"/>
    <s v="一组"/>
    <s v="合肥一组"/>
    <s v="普通员工"/>
    <n v="17000.64"/>
    <n v="2020"/>
    <x v="2"/>
  </r>
  <r>
    <x v="70"/>
    <n v="1000000566"/>
    <s v="借呗6期"/>
    <n v="1"/>
    <n v="19999.95"/>
    <s v="借呗"/>
    <x v="1"/>
    <x v="2"/>
    <x v="6"/>
    <s v="三组"/>
    <s v="广州三组"/>
    <s v="普通员工"/>
    <n v="19999.95"/>
    <n v="2020"/>
    <x v="2"/>
  </r>
  <r>
    <x v="70"/>
    <n v="1000000566"/>
    <s v="借呗12期"/>
    <n v="1"/>
    <n v="581.16999999999996"/>
    <s v="借呗"/>
    <x v="0"/>
    <x v="2"/>
    <x v="6"/>
    <s v="三组"/>
    <s v="广州三组"/>
    <s v="普通员工"/>
    <n v="581.16999999999996"/>
    <n v="2020"/>
    <x v="2"/>
  </r>
  <r>
    <x v="70"/>
    <n v="1000000576"/>
    <s v="借呗18期"/>
    <n v="1"/>
    <n v="16000.17"/>
    <s v="借呗"/>
    <x v="2"/>
    <x v="0"/>
    <x v="1"/>
    <s v="三组"/>
    <s v="苏州三组"/>
    <s v="普通员工"/>
    <n v="16000.17"/>
    <n v="2020"/>
    <x v="2"/>
  </r>
  <r>
    <x v="70"/>
    <n v="1000000928"/>
    <s v="借呗6期"/>
    <n v="2"/>
    <n v="21000.75"/>
    <s v="借呗"/>
    <x v="1"/>
    <x v="1"/>
    <x v="8"/>
    <s v="一组"/>
    <s v="西安一组"/>
    <s v="普通员工"/>
    <n v="10500.375"/>
    <n v="2020"/>
    <x v="2"/>
  </r>
  <r>
    <x v="70"/>
    <n v="1000001524"/>
    <s v="借呗12期"/>
    <n v="2"/>
    <n v="26000.17"/>
    <s v="借呗"/>
    <x v="0"/>
    <x v="0"/>
    <x v="1"/>
    <s v="二组"/>
    <s v="苏州二组"/>
    <s v="普通员工"/>
    <n v="13000.084999999999"/>
    <n v="2020"/>
    <x v="2"/>
  </r>
  <r>
    <x v="70"/>
    <n v="1000003489"/>
    <s v="借呗6期"/>
    <n v="1"/>
    <n v="15000.29"/>
    <s v="借呗"/>
    <x v="1"/>
    <x v="2"/>
    <x v="6"/>
    <s v="一组"/>
    <s v="广州一组"/>
    <s v="普通员工"/>
    <n v="15000.29"/>
    <n v="2020"/>
    <x v="2"/>
  </r>
  <r>
    <x v="70"/>
    <n v="1000003489"/>
    <s v="借呗18期"/>
    <n v="1"/>
    <n v="7500.35"/>
    <s v="借呗"/>
    <x v="2"/>
    <x v="2"/>
    <x v="6"/>
    <s v="一组"/>
    <s v="广州一组"/>
    <s v="普通员工"/>
    <n v="7500.35"/>
    <n v="2020"/>
    <x v="2"/>
  </r>
  <r>
    <x v="70"/>
    <n v="1000003926"/>
    <s v="借呗6期"/>
    <n v="3"/>
    <n v="23100.84"/>
    <s v="借呗"/>
    <x v="1"/>
    <x v="2"/>
    <x v="6"/>
    <s v="一组"/>
    <s v="广州一组"/>
    <s v="管理人员"/>
    <n v="7700.28"/>
    <n v="2020"/>
    <x v="2"/>
  </r>
  <r>
    <x v="70"/>
    <n v="1000003989"/>
    <s v="借呗12期"/>
    <n v="1"/>
    <n v="7500.38"/>
    <s v="借呗"/>
    <x v="0"/>
    <x v="1"/>
    <x v="2"/>
    <s v="三组"/>
    <s v="北京三组"/>
    <s v="普通员工"/>
    <n v="7500.38"/>
    <n v="2020"/>
    <x v="2"/>
  </r>
  <r>
    <x v="70"/>
    <n v="1000004170"/>
    <s v="借呗6期"/>
    <n v="2"/>
    <n v="45000.86"/>
    <s v="借呗"/>
    <x v="1"/>
    <x v="0"/>
    <x v="3"/>
    <s v="二组"/>
    <s v="上海二组"/>
    <s v="管理人员"/>
    <n v="22500.43"/>
    <n v="2020"/>
    <x v="2"/>
  </r>
  <r>
    <x v="70"/>
    <n v="1000004256"/>
    <s v="借呗12期"/>
    <n v="1"/>
    <n v="12999.93"/>
    <s v="借呗"/>
    <x v="0"/>
    <x v="0"/>
    <x v="5"/>
    <s v="一组"/>
    <s v="合肥一组"/>
    <s v="普通员工"/>
    <n v="12999.93"/>
    <n v="2020"/>
    <x v="2"/>
  </r>
  <r>
    <x v="70"/>
    <n v="1000004256"/>
    <s v="借呗18期"/>
    <n v="1"/>
    <n v="3000.23"/>
    <s v="借呗"/>
    <x v="2"/>
    <x v="0"/>
    <x v="5"/>
    <s v="一组"/>
    <s v="合肥一组"/>
    <s v="普通员工"/>
    <n v="3000.23"/>
    <n v="2020"/>
    <x v="2"/>
  </r>
  <r>
    <x v="70"/>
    <n v="1000005873"/>
    <s v="借呗12期"/>
    <n v="1"/>
    <n v="1980.68"/>
    <s v="借呗"/>
    <x v="0"/>
    <x v="0"/>
    <x v="0"/>
    <s v="二组"/>
    <s v="杭州二组"/>
    <s v="管理人员"/>
    <n v="1980.68"/>
    <n v="2020"/>
    <x v="2"/>
  </r>
  <r>
    <x v="70"/>
    <n v="1000006064"/>
    <s v="借呗12期"/>
    <n v="1"/>
    <n v="7000.17"/>
    <s v="借呗"/>
    <x v="0"/>
    <x v="0"/>
    <x v="5"/>
    <s v="一组"/>
    <s v="合肥一组"/>
    <s v="普通员工"/>
    <n v="7000.17"/>
    <n v="2020"/>
    <x v="2"/>
  </r>
  <r>
    <x v="70"/>
    <n v="1000006064"/>
    <s v="借呗18期"/>
    <n v="1"/>
    <n v="7000.07"/>
    <s v="借呗"/>
    <x v="2"/>
    <x v="0"/>
    <x v="5"/>
    <s v="一组"/>
    <s v="合肥一组"/>
    <s v="普通员工"/>
    <n v="7000.07"/>
    <n v="2020"/>
    <x v="2"/>
  </r>
  <r>
    <x v="70"/>
    <n v="1000006698"/>
    <s v="借呗6期"/>
    <n v="2"/>
    <n v="13000.01"/>
    <s v="借呗"/>
    <x v="1"/>
    <x v="1"/>
    <x v="4"/>
    <s v="一组"/>
    <s v="成都一组"/>
    <s v="管理人员"/>
    <n v="6500.0050000000001"/>
    <n v="2020"/>
    <x v="2"/>
  </r>
  <r>
    <x v="70"/>
    <n v="1000006867"/>
    <s v="借呗12期"/>
    <n v="2"/>
    <n v="38001.06"/>
    <s v="借呗"/>
    <x v="0"/>
    <x v="0"/>
    <x v="10"/>
    <s v="一组"/>
    <s v="南京一组"/>
    <s v="普通员工"/>
    <n v="19000.53"/>
    <n v="2020"/>
    <x v="2"/>
  </r>
  <r>
    <x v="70"/>
    <n v="1000006867"/>
    <s v="借呗18期"/>
    <n v="1"/>
    <n v="16000.06"/>
    <s v="借呗"/>
    <x v="2"/>
    <x v="0"/>
    <x v="10"/>
    <s v="一组"/>
    <s v="南京一组"/>
    <s v="普通员工"/>
    <n v="16000.06"/>
    <n v="2020"/>
    <x v="2"/>
  </r>
  <r>
    <x v="70"/>
    <n v="1000006869"/>
    <s v="借呗12期"/>
    <n v="1"/>
    <n v="15000.37"/>
    <s v="借呗"/>
    <x v="0"/>
    <x v="0"/>
    <x v="10"/>
    <s v="一组"/>
    <s v="南京一组"/>
    <s v="普通员工"/>
    <n v="15000.37"/>
    <n v="2020"/>
    <x v="2"/>
  </r>
  <r>
    <x v="70"/>
    <n v="1000006869"/>
    <s v="借呗18期"/>
    <n v="1"/>
    <n v="15000.06"/>
    <s v="借呗"/>
    <x v="2"/>
    <x v="0"/>
    <x v="10"/>
    <s v="一组"/>
    <s v="南京一组"/>
    <s v="普通员工"/>
    <n v="15000.06"/>
    <n v="2020"/>
    <x v="2"/>
  </r>
  <r>
    <x v="70"/>
    <n v="1000007320"/>
    <s v="借呗12期"/>
    <n v="1"/>
    <n v="16000.22"/>
    <s v="借呗"/>
    <x v="0"/>
    <x v="0"/>
    <x v="3"/>
    <s v="一组"/>
    <s v="上海一组"/>
    <s v="普通员工"/>
    <n v="16000.22"/>
    <n v="2020"/>
    <x v="2"/>
  </r>
  <r>
    <x v="70"/>
    <n v="1000008239"/>
    <s v="借呗6期"/>
    <n v="1"/>
    <n v="11000.26"/>
    <s v="借呗"/>
    <x v="1"/>
    <x v="0"/>
    <x v="10"/>
    <s v="一组"/>
    <s v="南京一组"/>
    <s v="管理人员"/>
    <n v="11000.26"/>
    <n v="2020"/>
    <x v="2"/>
  </r>
  <r>
    <x v="70"/>
    <n v="1000008239"/>
    <s v="借呗12期"/>
    <n v="2"/>
    <n v="32000.48"/>
    <s v="借呗"/>
    <x v="0"/>
    <x v="0"/>
    <x v="10"/>
    <s v="一组"/>
    <s v="南京一组"/>
    <s v="管理人员"/>
    <n v="16000.24"/>
    <n v="2020"/>
    <x v="2"/>
  </r>
  <r>
    <x v="70"/>
    <n v="1000008957"/>
    <s v="借呗6期"/>
    <n v="1"/>
    <n v="599.95000000000005"/>
    <s v="借呗"/>
    <x v="1"/>
    <x v="0"/>
    <x v="3"/>
    <s v="二组"/>
    <s v="上海二组"/>
    <s v="普通员工"/>
    <n v="599.95000000000005"/>
    <n v="2020"/>
    <x v="2"/>
  </r>
  <r>
    <x v="70"/>
    <n v="1000009288"/>
    <s v="借呗6期"/>
    <n v="1"/>
    <n v="12000.39"/>
    <s v="借呗"/>
    <x v="1"/>
    <x v="0"/>
    <x v="1"/>
    <s v="二组"/>
    <s v="苏州二组"/>
    <s v="普通员工"/>
    <n v="12000.39"/>
    <n v="2020"/>
    <x v="2"/>
  </r>
  <r>
    <x v="70"/>
    <n v="1000010814"/>
    <s v="借呗18期"/>
    <n v="1"/>
    <n v="5500.6"/>
    <s v="借呗"/>
    <x v="2"/>
    <x v="0"/>
    <x v="10"/>
    <s v="四组"/>
    <s v="南京四组"/>
    <s v="普通员工"/>
    <n v="5500.6"/>
    <n v="2020"/>
    <x v="2"/>
  </r>
  <r>
    <x v="70"/>
    <n v="1000010837"/>
    <s v="借呗12期"/>
    <n v="1"/>
    <n v="10000.200000000001"/>
    <s v="借呗"/>
    <x v="0"/>
    <x v="0"/>
    <x v="10"/>
    <s v="一组"/>
    <s v="南京一组"/>
    <s v="普通员工"/>
    <n v="10000.200000000001"/>
    <n v="2020"/>
    <x v="2"/>
  </r>
  <r>
    <x v="70"/>
    <n v="1000010881"/>
    <s v="借呗12期"/>
    <n v="1"/>
    <n v="17000.580000000002"/>
    <s v="借呗"/>
    <x v="0"/>
    <x v="2"/>
    <x v="6"/>
    <s v="一组"/>
    <s v="广州一组"/>
    <s v="普通员工"/>
    <n v="17000.580000000002"/>
    <n v="2020"/>
    <x v="2"/>
  </r>
  <r>
    <x v="70"/>
    <n v="1000011697"/>
    <s v="借呗6期"/>
    <n v="1"/>
    <n v="16000.54"/>
    <s v="借呗"/>
    <x v="1"/>
    <x v="0"/>
    <x v="3"/>
    <s v="二组"/>
    <s v="上海二组"/>
    <s v="普通员工"/>
    <n v="16000.54"/>
    <n v="2020"/>
    <x v="2"/>
  </r>
  <r>
    <x v="70"/>
    <n v="1000011698"/>
    <s v="借呗6期"/>
    <n v="2"/>
    <n v="24000.5"/>
    <s v="借呗"/>
    <x v="1"/>
    <x v="0"/>
    <x v="3"/>
    <s v="二组"/>
    <s v="上海二组"/>
    <s v="普通员工"/>
    <n v="12000.25"/>
    <n v="2020"/>
    <x v="2"/>
  </r>
  <r>
    <x v="70"/>
    <n v="1000011698"/>
    <s v="借呗12期"/>
    <n v="1"/>
    <n v="8000.51"/>
    <s v="借呗"/>
    <x v="0"/>
    <x v="0"/>
    <x v="3"/>
    <s v="二组"/>
    <s v="上海二组"/>
    <s v="普通员工"/>
    <n v="8000.51"/>
    <n v="2020"/>
    <x v="2"/>
  </r>
  <r>
    <x v="70"/>
    <n v="1000011698"/>
    <s v="借呗18期"/>
    <n v="1"/>
    <n v="7000.12"/>
    <s v="借呗"/>
    <x v="2"/>
    <x v="0"/>
    <x v="3"/>
    <s v="二组"/>
    <s v="上海二组"/>
    <s v="普通员工"/>
    <n v="7000.12"/>
    <n v="2020"/>
    <x v="2"/>
  </r>
  <r>
    <x v="70"/>
    <n v="1000012096"/>
    <s v="借呗6期"/>
    <n v="2"/>
    <n v="14000.51"/>
    <s v="借呗"/>
    <x v="1"/>
    <x v="0"/>
    <x v="0"/>
    <s v="一组"/>
    <s v="杭州一组"/>
    <s v="普通员工"/>
    <n v="7000.2550000000001"/>
    <n v="2020"/>
    <x v="2"/>
  </r>
  <r>
    <x v="70"/>
    <n v="1000012099"/>
    <s v="借呗12期"/>
    <n v="4"/>
    <n v="72001.540000000008"/>
    <s v="借呗"/>
    <x v="0"/>
    <x v="0"/>
    <x v="0"/>
    <s v="二组"/>
    <s v="杭州二组"/>
    <s v="普通员工"/>
    <n v="18000.385000000002"/>
    <n v="2020"/>
    <x v="2"/>
  </r>
  <r>
    <x v="70"/>
    <n v="1000012112"/>
    <s v="借呗6期"/>
    <n v="2"/>
    <n v="23000.799999999999"/>
    <s v="借呗"/>
    <x v="1"/>
    <x v="0"/>
    <x v="0"/>
    <s v="三组"/>
    <s v="杭州三组"/>
    <s v="管理人员"/>
    <n v="11500.4"/>
    <n v="2020"/>
    <x v="2"/>
  </r>
  <r>
    <x v="70"/>
    <n v="1000012112"/>
    <s v="借呗12期"/>
    <n v="1"/>
    <n v="9000.2999999999993"/>
    <s v="借呗"/>
    <x v="0"/>
    <x v="0"/>
    <x v="0"/>
    <s v="三组"/>
    <s v="杭州三组"/>
    <s v="管理人员"/>
    <n v="9000.2999999999993"/>
    <n v="2020"/>
    <x v="2"/>
  </r>
  <r>
    <x v="70"/>
    <n v="1000012112"/>
    <s v="借呗18期"/>
    <n v="1"/>
    <n v="15000.7"/>
    <s v="借呗"/>
    <x v="2"/>
    <x v="0"/>
    <x v="0"/>
    <s v="三组"/>
    <s v="杭州三组"/>
    <s v="管理人员"/>
    <n v="15000.7"/>
    <n v="2020"/>
    <x v="2"/>
  </r>
  <r>
    <x v="70"/>
    <n v="1000012234"/>
    <s v="借呗12期"/>
    <n v="2"/>
    <n v="21500.350000000002"/>
    <s v="借呗"/>
    <x v="0"/>
    <x v="0"/>
    <x v="1"/>
    <s v="一组"/>
    <s v="苏州一组"/>
    <s v="普通员工"/>
    <n v="10750.175000000001"/>
    <n v="2020"/>
    <x v="2"/>
  </r>
  <r>
    <x v="70"/>
    <n v="1000012394"/>
    <s v="借呗12期"/>
    <n v="1"/>
    <n v="11000.29"/>
    <s v="借呗"/>
    <x v="0"/>
    <x v="0"/>
    <x v="10"/>
    <s v="一组"/>
    <s v="南京一组"/>
    <s v="普通员工"/>
    <n v="11000.29"/>
    <n v="2020"/>
    <x v="2"/>
  </r>
  <r>
    <x v="70"/>
    <n v="1000012446"/>
    <s v="借呗12期"/>
    <n v="4"/>
    <n v="37501.050000000003"/>
    <s v="借呗"/>
    <x v="0"/>
    <x v="1"/>
    <x v="2"/>
    <s v="三组"/>
    <s v="北京三组"/>
    <s v="普通员工"/>
    <n v="9375.2625000000007"/>
    <n v="2020"/>
    <x v="2"/>
  </r>
  <r>
    <x v="70"/>
    <n v="1000012675"/>
    <s v="借呗6期"/>
    <n v="1"/>
    <n v="10000.31"/>
    <s v="借呗"/>
    <x v="1"/>
    <x v="0"/>
    <x v="3"/>
    <s v="一组"/>
    <s v="上海一组"/>
    <s v="普通员工"/>
    <n v="10000.31"/>
    <n v="2020"/>
    <x v="2"/>
  </r>
  <r>
    <x v="70"/>
    <n v="1000012675"/>
    <s v="借呗12期"/>
    <n v="1"/>
    <n v="14000.66"/>
    <s v="借呗"/>
    <x v="0"/>
    <x v="0"/>
    <x v="3"/>
    <s v="一组"/>
    <s v="上海一组"/>
    <s v="普通员工"/>
    <n v="14000.66"/>
    <n v="2020"/>
    <x v="2"/>
  </r>
  <r>
    <x v="71"/>
    <n v="1000000029"/>
    <s v="借呗6期"/>
    <n v="2"/>
    <n v="9501.1299999999992"/>
    <s v="借呗"/>
    <x v="1"/>
    <x v="0"/>
    <x v="0"/>
    <s v="二组"/>
    <s v="杭州二组"/>
    <s v="普通员工"/>
    <n v="4750.5649999999996"/>
    <n v="2020"/>
    <x v="2"/>
  </r>
  <r>
    <x v="71"/>
    <n v="1000000029"/>
    <s v="借呗12期"/>
    <n v="1"/>
    <n v="15000.12"/>
    <s v="借呗"/>
    <x v="0"/>
    <x v="0"/>
    <x v="0"/>
    <s v="二组"/>
    <s v="杭州二组"/>
    <s v="普通员工"/>
    <n v="15000.12"/>
    <n v="2020"/>
    <x v="2"/>
  </r>
  <r>
    <x v="71"/>
    <n v="1000000030"/>
    <s v="借呗6期"/>
    <n v="1"/>
    <n v="7000.25"/>
    <s v="借呗"/>
    <x v="1"/>
    <x v="2"/>
    <x v="6"/>
    <s v="三组"/>
    <s v="广州三组"/>
    <s v="普通员工"/>
    <n v="7000.25"/>
    <n v="2020"/>
    <x v="2"/>
  </r>
  <r>
    <x v="71"/>
    <n v="1000000031"/>
    <s v="借呗6期"/>
    <n v="1"/>
    <n v="8000.56"/>
    <s v="借呗"/>
    <x v="1"/>
    <x v="0"/>
    <x v="0"/>
    <s v="一组"/>
    <s v="杭州一组"/>
    <s v="管理人员"/>
    <n v="8000.56"/>
    <n v="2020"/>
    <x v="2"/>
  </r>
  <r>
    <x v="71"/>
    <n v="1000000031"/>
    <s v="借呗12期"/>
    <n v="3"/>
    <n v="9380.9599999999991"/>
    <s v="借呗"/>
    <x v="0"/>
    <x v="0"/>
    <x v="0"/>
    <s v="一组"/>
    <s v="杭州一组"/>
    <s v="管理人员"/>
    <n v="3126.9866666666662"/>
    <n v="2020"/>
    <x v="2"/>
  </r>
  <r>
    <x v="71"/>
    <n v="1000000032"/>
    <s v="借呗12期"/>
    <n v="2"/>
    <n v="32001.129999999997"/>
    <s v="借呗"/>
    <x v="0"/>
    <x v="0"/>
    <x v="1"/>
    <s v="一组"/>
    <s v="苏州一组"/>
    <s v="管理人员"/>
    <n v="16000.564999999999"/>
    <n v="2020"/>
    <x v="2"/>
  </r>
  <r>
    <x v="71"/>
    <n v="1000000033"/>
    <s v="借呗12期"/>
    <n v="1"/>
    <n v="20000.48"/>
    <s v="借呗"/>
    <x v="0"/>
    <x v="0"/>
    <x v="1"/>
    <s v="一组"/>
    <s v="苏州一组"/>
    <s v="普通员工"/>
    <n v="20000.48"/>
    <n v="2020"/>
    <x v="2"/>
  </r>
  <r>
    <x v="71"/>
    <n v="1000000036"/>
    <s v="借呗6期"/>
    <n v="1"/>
    <n v="13000.69"/>
    <s v="借呗"/>
    <x v="1"/>
    <x v="2"/>
    <x v="6"/>
    <s v="三组"/>
    <s v="广州三组"/>
    <s v="管理人员"/>
    <n v="13000.69"/>
    <n v="2020"/>
    <x v="2"/>
  </r>
  <r>
    <x v="71"/>
    <n v="1000000036"/>
    <s v="借呗12期"/>
    <n v="1"/>
    <n v="10999.98"/>
    <s v="借呗"/>
    <x v="0"/>
    <x v="2"/>
    <x v="6"/>
    <s v="三组"/>
    <s v="广州三组"/>
    <s v="管理人员"/>
    <n v="10999.98"/>
    <n v="2020"/>
    <x v="2"/>
  </r>
  <r>
    <x v="71"/>
    <n v="1000000039"/>
    <s v="借呗6期"/>
    <n v="1"/>
    <n v="25000.23"/>
    <s v="借呗"/>
    <x v="1"/>
    <x v="0"/>
    <x v="1"/>
    <s v="二组"/>
    <s v="苏州二组"/>
    <s v="管理人员"/>
    <n v="25000.23"/>
    <n v="2020"/>
    <x v="2"/>
  </r>
  <r>
    <x v="71"/>
    <n v="1000000039"/>
    <s v="借呗12期"/>
    <n v="2"/>
    <n v="28000.350000000002"/>
    <s v="借呗"/>
    <x v="0"/>
    <x v="0"/>
    <x v="1"/>
    <s v="二组"/>
    <s v="苏州二组"/>
    <s v="管理人员"/>
    <n v="14000.175000000001"/>
    <n v="2020"/>
    <x v="2"/>
  </r>
  <r>
    <x v="71"/>
    <n v="1000000039"/>
    <s v="借呗18期"/>
    <n v="1"/>
    <n v="700.39"/>
    <s v="借呗"/>
    <x v="2"/>
    <x v="0"/>
    <x v="1"/>
    <s v="二组"/>
    <s v="苏州二组"/>
    <s v="管理人员"/>
    <n v="700.39"/>
    <n v="2020"/>
    <x v="2"/>
  </r>
  <r>
    <x v="71"/>
    <n v="1000000040"/>
    <s v="借呗6期"/>
    <n v="4"/>
    <n v="31014.38"/>
    <s v="借呗"/>
    <x v="1"/>
    <x v="1"/>
    <x v="2"/>
    <s v="四组"/>
    <s v="北京四组"/>
    <s v="管理人员"/>
    <n v="7753.5950000000003"/>
    <n v="2020"/>
    <x v="2"/>
  </r>
  <r>
    <x v="71"/>
    <n v="1000000041"/>
    <s v="借呗12期"/>
    <n v="1"/>
    <n v="14000.05"/>
    <s v="借呗"/>
    <x v="0"/>
    <x v="1"/>
    <x v="2"/>
    <s v="四组"/>
    <s v="北京四组"/>
    <s v="普通员工"/>
    <n v="14000.05"/>
    <n v="2020"/>
    <x v="2"/>
  </r>
  <r>
    <x v="71"/>
    <n v="1000000041"/>
    <s v="借呗18期"/>
    <n v="1"/>
    <n v="1600.29"/>
    <s v="借呗"/>
    <x v="2"/>
    <x v="1"/>
    <x v="2"/>
    <s v="四组"/>
    <s v="北京四组"/>
    <s v="普通员工"/>
    <n v="1600.29"/>
    <n v="2020"/>
    <x v="2"/>
  </r>
  <r>
    <x v="71"/>
    <n v="1000000043"/>
    <s v="借呗12期"/>
    <n v="1"/>
    <n v="1255.32"/>
    <s v="借呗"/>
    <x v="0"/>
    <x v="1"/>
    <x v="4"/>
    <s v="一组"/>
    <s v="成都一组"/>
    <s v="普通员工"/>
    <n v="1255.32"/>
    <n v="2020"/>
    <x v="2"/>
  </r>
  <r>
    <x v="71"/>
    <n v="1000000045"/>
    <s v="借呗6期"/>
    <n v="2"/>
    <n v="8598.74"/>
    <s v="借呗"/>
    <x v="1"/>
    <x v="2"/>
    <x v="9"/>
    <s v="一组"/>
    <s v="深圳一组"/>
    <s v="普通员工"/>
    <n v="4299.37"/>
    <n v="2020"/>
    <x v="2"/>
  </r>
  <r>
    <x v="71"/>
    <n v="1000000046"/>
    <s v="借呗18期"/>
    <n v="1"/>
    <n v="12000.03"/>
    <s v="借呗"/>
    <x v="2"/>
    <x v="1"/>
    <x v="4"/>
    <s v="一组"/>
    <s v="成都一组"/>
    <s v="普通员工"/>
    <n v="12000.03"/>
    <n v="2020"/>
    <x v="2"/>
  </r>
  <r>
    <x v="71"/>
    <n v="1000000049"/>
    <s v="借呗6期"/>
    <n v="1"/>
    <n v="700.68"/>
    <s v="借呗"/>
    <x v="1"/>
    <x v="0"/>
    <x v="5"/>
    <s v="一组"/>
    <s v="合肥一组"/>
    <s v="普通员工"/>
    <n v="700.68"/>
    <n v="2020"/>
    <x v="2"/>
  </r>
  <r>
    <x v="71"/>
    <n v="1000000050"/>
    <s v="借呗18期"/>
    <n v="1"/>
    <n v="15000.24"/>
    <s v="借呗"/>
    <x v="2"/>
    <x v="0"/>
    <x v="5"/>
    <s v="一组"/>
    <s v="合肥一组"/>
    <s v="普通员工"/>
    <n v="15000.24"/>
    <n v="2020"/>
    <x v="2"/>
  </r>
  <r>
    <x v="71"/>
    <n v="1000000052"/>
    <s v="借呗6期"/>
    <n v="1"/>
    <n v="2000.74"/>
    <s v="借呗"/>
    <x v="1"/>
    <x v="0"/>
    <x v="3"/>
    <s v="二组"/>
    <s v="上海二组"/>
    <s v="普通员工"/>
    <n v="2000.74"/>
    <n v="2020"/>
    <x v="2"/>
  </r>
  <r>
    <x v="71"/>
    <n v="1000000056"/>
    <s v="借呗6期"/>
    <n v="2"/>
    <n v="24000.6"/>
    <s v="借呗"/>
    <x v="1"/>
    <x v="0"/>
    <x v="3"/>
    <s v="一组"/>
    <s v="上海一组"/>
    <s v="管理人员"/>
    <n v="12000.3"/>
    <n v="2020"/>
    <x v="2"/>
  </r>
  <r>
    <x v="71"/>
    <n v="1000000056"/>
    <s v="借呗18期"/>
    <n v="1"/>
    <n v="15000.55"/>
    <s v="借呗"/>
    <x v="2"/>
    <x v="0"/>
    <x v="3"/>
    <s v="一组"/>
    <s v="上海一组"/>
    <s v="管理人员"/>
    <n v="15000.55"/>
    <n v="2020"/>
    <x v="2"/>
  </r>
  <r>
    <x v="71"/>
    <n v="1000000067"/>
    <s v="借呗12期"/>
    <n v="2"/>
    <n v="27000.33"/>
    <s v="借呗"/>
    <x v="0"/>
    <x v="0"/>
    <x v="1"/>
    <s v="二组"/>
    <s v="苏州二组"/>
    <s v="普通员工"/>
    <n v="13500.165000000001"/>
    <n v="2020"/>
    <x v="2"/>
  </r>
  <r>
    <x v="71"/>
    <n v="1000000068"/>
    <s v="借呗12期"/>
    <n v="1"/>
    <n v="14000.32"/>
    <s v="借呗"/>
    <x v="0"/>
    <x v="1"/>
    <x v="7"/>
    <s v="一组"/>
    <s v="重庆一组"/>
    <s v="管理人员"/>
    <n v="14000.32"/>
    <n v="2020"/>
    <x v="2"/>
  </r>
  <r>
    <x v="71"/>
    <n v="1000000068"/>
    <s v="借呗18期"/>
    <n v="1"/>
    <n v="5000.13"/>
    <s v="借呗"/>
    <x v="2"/>
    <x v="1"/>
    <x v="7"/>
    <s v="一组"/>
    <s v="重庆一组"/>
    <s v="管理人员"/>
    <n v="5000.13"/>
    <n v="2020"/>
    <x v="2"/>
  </r>
  <r>
    <x v="71"/>
    <n v="1000000104"/>
    <s v="借呗12期"/>
    <n v="2"/>
    <n v="27500.68"/>
    <s v="借呗"/>
    <x v="0"/>
    <x v="0"/>
    <x v="5"/>
    <s v="一组"/>
    <s v="合肥一组"/>
    <s v="普通员工"/>
    <n v="13750.34"/>
    <n v="2020"/>
    <x v="2"/>
  </r>
  <r>
    <x v="71"/>
    <n v="1000000104"/>
    <s v="借呗18期"/>
    <n v="1"/>
    <n v="11000.38"/>
    <s v="借呗"/>
    <x v="2"/>
    <x v="0"/>
    <x v="5"/>
    <s v="一组"/>
    <s v="合肥一组"/>
    <s v="普通员工"/>
    <n v="11000.38"/>
    <n v="2020"/>
    <x v="2"/>
  </r>
  <r>
    <x v="71"/>
    <n v="1000000237"/>
    <s v="借呗12期"/>
    <n v="1"/>
    <n v="15000.17"/>
    <s v="借呗"/>
    <x v="0"/>
    <x v="0"/>
    <x v="5"/>
    <s v="一组"/>
    <s v="合肥一组"/>
    <s v="普通员工"/>
    <n v="15000.17"/>
    <n v="2020"/>
    <x v="2"/>
  </r>
  <r>
    <x v="71"/>
    <n v="1000000566"/>
    <s v="借呗6期"/>
    <n v="1"/>
    <n v="7000.59"/>
    <s v="借呗"/>
    <x v="1"/>
    <x v="2"/>
    <x v="6"/>
    <s v="三组"/>
    <s v="广州三组"/>
    <s v="普通员工"/>
    <n v="7000.59"/>
    <n v="2020"/>
    <x v="2"/>
  </r>
  <r>
    <x v="71"/>
    <n v="1000000576"/>
    <s v="借呗18期"/>
    <n v="1"/>
    <n v="1745.14"/>
    <s v="借呗"/>
    <x v="2"/>
    <x v="0"/>
    <x v="1"/>
    <s v="三组"/>
    <s v="苏州三组"/>
    <s v="普通员工"/>
    <n v="1745.14"/>
    <n v="2020"/>
    <x v="2"/>
  </r>
  <r>
    <x v="71"/>
    <n v="1000000581"/>
    <s v="借呗18期"/>
    <n v="1"/>
    <n v="840.68"/>
    <s v="借呗"/>
    <x v="2"/>
    <x v="2"/>
    <x v="6"/>
    <s v="三组"/>
    <s v="广州三组"/>
    <s v="普通员工"/>
    <n v="840.68"/>
    <n v="2020"/>
    <x v="2"/>
  </r>
  <r>
    <x v="71"/>
    <n v="1000000594"/>
    <s v="借呗6期"/>
    <n v="1"/>
    <n v="20000.7"/>
    <s v="借呗"/>
    <x v="1"/>
    <x v="0"/>
    <x v="1"/>
    <s v="二组"/>
    <s v="苏州二组"/>
    <s v="普通员工"/>
    <n v="20000.7"/>
    <n v="2020"/>
    <x v="2"/>
  </r>
  <r>
    <x v="71"/>
    <n v="1000000594"/>
    <s v="借呗12期"/>
    <n v="1"/>
    <n v="9000.5300000000007"/>
    <s v="借呗"/>
    <x v="0"/>
    <x v="0"/>
    <x v="1"/>
    <s v="二组"/>
    <s v="苏州二组"/>
    <s v="普通员工"/>
    <n v="9000.5300000000007"/>
    <n v="2020"/>
    <x v="2"/>
  </r>
  <r>
    <x v="71"/>
    <n v="1000000928"/>
    <s v="借呗12期"/>
    <n v="1"/>
    <n v="22000.62"/>
    <s v="借呗"/>
    <x v="0"/>
    <x v="1"/>
    <x v="8"/>
    <s v="一组"/>
    <s v="西安一组"/>
    <s v="普通员工"/>
    <n v="22000.62"/>
    <n v="2020"/>
    <x v="2"/>
  </r>
  <r>
    <x v="71"/>
    <n v="1000002861"/>
    <s v="借呗12期"/>
    <n v="1"/>
    <n v="25000.560000000001"/>
    <s v="借呗"/>
    <x v="0"/>
    <x v="2"/>
    <x v="6"/>
    <s v="三组"/>
    <s v="广州三组"/>
    <s v="普通员工"/>
    <n v="25000.560000000001"/>
    <n v="2020"/>
    <x v="2"/>
  </r>
  <r>
    <x v="71"/>
    <n v="1000003803"/>
    <s v="借呗6期"/>
    <n v="1"/>
    <n v="2000.29"/>
    <s v="借呗"/>
    <x v="1"/>
    <x v="1"/>
    <x v="2"/>
    <s v="三组"/>
    <s v="北京三组"/>
    <s v="普通员工"/>
    <n v="2000.29"/>
    <n v="2020"/>
    <x v="2"/>
  </r>
  <r>
    <x v="71"/>
    <n v="1000003803"/>
    <s v="借呗12期"/>
    <n v="1"/>
    <n v="8000.55"/>
    <s v="借呗"/>
    <x v="0"/>
    <x v="1"/>
    <x v="2"/>
    <s v="三组"/>
    <s v="北京三组"/>
    <s v="普通员工"/>
    <n v="8000.55"/>
    <n v="2020"/>
    <x v="2"/>
  </r>
  <r>
    <x v="71"/>
    <n v="1000003926"/>
    <s v="借呗6期"/>
    <n v="1"/>
    <n v="500.48"/>
    <s v="借呗"/>
    <x v="1"/>
    <x v="2"/>
    <x v="6"/>
    <s v="一组"/>
    <s v="广州一组"/>
    <s v="管理人员"/>
    <n v="500.48"/>
    <n v="2020"/>
    <x v="2"/>
  </r>
  <r>
    <x v="71"/>
    <n v="1000003989"/>
    <s v="借呗18期"/>
    <n v="1"/>
    <n v="12000.53"/>
    <s v="借呗"/>
    <x v="2"/>
    <x v="1"/>
    <x v="2"/>
    <s v="三组"/>
    <s v="北京三组"/>
    <s v="普通员工"/>
    <n v="12000.53"/>
    <n v="2020"/>
    <x v="2"/>
  </r>
  <r>
    <x v="71"/>
    <n v="1000004170"/>
    <s v="借呗6期"/>
    <n v="4"/>
    <n v="33632.06"/>
    <s v="借呗"/>
    <x v="1"/>
    <x v="0"/>
    <x v="3"/>
    <s v="二组"/>
    <s v="上海二组"/>
    <s v="管理人员"/>
    <n v="8408.0149999999994"/>
    <n v="2020"/>
    <x v="2"/>
  </r>
  <r>
    <x v="71"/>
    <n v="1000004170"/>
    <s v="借呗12期"/>
    <n v="1"/>
    <n v="13000.12"/>
    <s v="借呗"/>
    <x v="0"/>
    <x v="0"/>
    <x v="3"/>
    <s v="二组"/>
    <s v="上海二组"/>
    <s v="管理人员"/>
    <n v="13000.12"/>
    <n v="2020"/>
    <x v="2"/>
  </r>
  <r>
    <x v="71"/>
    <n v="1000004256"/>
    <s v="借呗12期"/>
    <n v="1"/>
    <n v="1064"/>
    <s v="借呗"/>
    <x v="0"/>
    <x v="0"/>
    <x v="5"/>
    <s v="一组"/>
    <s v="合肥一组"/>
    <s v="普通员工"/>
    <n v="1064"/>
    <n v="2020"/>
    <x v="2"/>
  </r>
  <r>
    <x v="71"/>
    <n v="1000004256"/>
    <s v="借呗18期"/>
    <n v="1"/>
    <n v="12000.4"/>
    <s v="借呗"/>
    <x v="2"/>
    <x v="0"/>
    <x v="5"/>
    <s v="一组"/>
    <s v="合肥一组"/>
    <s v="普通员工"/>
    <n v="12000.4"/>
    <n v="2020"/>
    <x v="2"/>
  </r>
  <r>
    <x v="71"/>
    <n v="1000005873"/>
    <s v="借呗12期"/>
    <n v="1"/>
    <n v="16000.25"/>
    <s v="借呗"/>
    <x v="0"/>
    <x v="0"/>
    <x v="0"/>
    <s v="二组"/>
    <s v="杭州二组"/>
    <s v="管理人员"/>
    <n v="16000.25"/>
    <n v="2020"/>
    <x v="2"/>
  </r>
  <r>
    <x v="71"/>
    <n v="1000005873"/>
    <s v="借呗18期"/>
    <n v="1"/>
    <n v="25000.52"/>
    <s v="借呗"/>
    <x v="2"/>
    <x v="0"/>
    <x v="0"/>
    <s v="二组"/>
    <s v="杭州二组"/>
    <s v="管理人员"/>
    <n v="25000.52"/>
    <n v="2020"/>
    <x v="2"/>
  </r>
  <r>
    <x v="71"/>
    <n v="1000006064"/>
    <s v="借呗6期"/>
    <n v="1"/>
    <n v="5000.37"/>
    <s v="借呗"/>
    <x v="1"/>
    <x v="0"/>
    <x v="5"/>
    <s v="一组"/>
    <s v="合肥一组"/>
    <s v="普通员工"/>
    <n v="5000.37"/>
    <n v="2020"/>
    <x v="2"/>
  </r>
  <r>
    <x v="71"/>
    <n v="1000006064"/>
    <s v="借呗12期"/>
    <n v="1"/>
    <n v="6000.11"/>
    <s v="借呗"/>
    <x v="0"/>
    <x v="0"/>
    <x v="5"/>
    <s v="一组"/>
    <s v="合肥一组"/>
    <s v="普通员工"/>
    <n v="6000.11"/>
    <n v="2020"/>
    <x v="2"/>
  </r>
  <r>
    <x v="71"/>
    <n v="1000006064"/>
    <s v="借呗18期"/>
    <n v="1"/>
    <n v="8000.56"/>
    <s v="借呗"/>
    <x v="2"/>
    <x v="0"/>
    <x v="5"/>
    <s v="一组"/>
    <s v="合肥一组"/>
    <s v="普通员工"/>
    <n v="8000.56"/>
    <n v="2020"/>
    <x v="2"/>
  </r>
  <r>
    <x v="71"/>
    <n v="1000006698"/>
    <s v="借呗6期"/>
    <n v="2"/>
    <n v="16000.35"/>
    <s v="借呗"/>
    <x v="1"/>
    <x v="1"/>
    <x v="4"/>
    <s v="一组"/>
    <s v="成都一组"/>
    <s v="管理人员"/>
    <n v="8000.1750000000002"/>
    <n v="2020"/>
    <x v="2"/>
  </r>
  <r>
    <x v="71"/>
    <n v="1000006859"/>
    <s v="借呗12期"/>
    <n v="1"/>
    <n v="9000.68"/>
    <s v="借呗"/>
    <x v="0"/>
    <x v="0"/>
    <x v="10"/>
    <s v="一组"/>
    <s v="南京一组"/>
    <s v="普通员工"/>
    <n v="9000.68"/>
    <n v="2020"/>
    <x v="2"/>
  </r>
  <r>
    <x v="71"/>
    <n v="1000006867"/>
    <s v="借呗12期"/>
    <n v="2"/>
    <n v="18000.38"/>
    <s v="借呗"/>
    <x v="0"/>
    <x v="0"/>
    <x v="10"/>
    <s v="一组"/>
    <s v="南京一组"/>
    <s v="普通员工"/>
    <n v="9000.19"/>
    <n v="2020"/>
    <x v="2"/>
  </r>
  <r>
    <x v="71"/>
    <n v="1000006869"/>
    <s v="借呗6期"/>
    <n v="1"/>
    <n v="10000.540000000001"/>
    <s v="借呗"/>
    <x v="1"/>
    <x v="0"/>
    <x v="10"/>
    <s v="一组"/>
    <s v="南京一组"/>
    <s v="普通员工"/>
    <n v="10000.540000000001"/>
    <n v="2020"/>
    <x v="2"/>
  </r>
  <r>
    <x v="71"/>
    <n v="1000006869"/>
    <s v="借呗12期"/>
    <n v="2"/>
    <n v="50000.22"/>
    <s v="借呗"/>
    <x v="0"/>
    <x v="0"/>
    <x v="10"/>
    <s v="一组"/>
    <s v="南京一组"/>
    <s v="普通员工"/>
    <n v="25000.11"/>
    <n v="2020"/>
    <x v="2"/>
  </r>
  <r>
    <x v="71"/>
    <n v="1000007320"/>
    <s v="借呗6期"/>
    <n v="1"/>
    <n v="24999.99"/>
    <s v="借呗"/>
    <x v="1"/>
    <x v="0"/>
    <x v="3"/>
    <s v="一组"/>
    <s v="上海一组"/>
    <s v="普通员工"/>
    <n v="24999.99"/>
    <n v="2020"/>
    <x v="2"/>
  </r>
  <r>
    <x v="71"/>
    <n v="1000008239"/>
    <s v="借呗12期"/>
    <n v="1"/>
    <n v="7500.02"/>
    <s v="借呗"/>
    <x v="0"/>
    <x v="0"/>
    <x v="10"/>
    <s v="一组"/>
    <s v="南京一组"/>
    <s v="管理人员"/>
    <n v="7500.02"/>
    <n v="2020"/>
    <x v="2"/>
  </r>
  <r>
    <x v="71"/>
    <n v="1000008957"/>
    <s v="借呗6期"/>
    <n v="1"/>
    <n v="7500.67"/>
    <s v="借呗"/>
    <x v="1"/>
    <x v="0"/>
    <x v="3"/>
    <s v="二组"/>
    <s v="上海二组"/>
    <s v="普通员工"/>
    <n v="7500.67"/>
    <n v="2020"/>
    <x v="2"/>
  </r>
  <r>
    <x v="71"/>
    <n v="1000008957"/>
    <s v="借呗18期"/>
    <n v="1"/>
    <n v="5000.38"/>
    <s v="借呗"/>
    <x v="2"/>
    <x v="0"/>
    <x v="3"/>
    <s v="二组"/>
    <s v="上海二组"/>
    <s v="普通员工"/>
    <n v="5000.38"/>
    <n v="2020"/>
    <x v="2"/>
  </r>
  <r>
    <x v="71"/>
    <n v="1000010814"/>
    <s v="借呗12期"/>
    <n v="2"/>
    <n v="17000.45"/>
    <s v="借呗"/>
    <x v="0"/>
    <x v="0"/>
    <x v="10"/>
    <s v="四组"/>
    <s v="南京四组"/>
    <s v="普通员工"/>
    <n v="8500.2250000000004"/>
    <n v="2020"/>
    <x v="2"/>
  </r>
  <r>
    <x v="71"/>
    <n v="1000010837"/>
    <s v="借呗12期"/>
    <n v="2"/>
    <n v="24000.75"/>
    <s v="借呗"/>
    <x v="0"/>
    <x v="0"/>
    <x v="10"/>
    <s v="一组"/>
    <s v="南京一组"/>
    <s v="普通员工"/>
    <n v="12000.375"/>
    <n v="2020"/>
    <x v="2"/>
  </r>
  <r>
    <x v="71"/>
    <n v="1000010881"/>
    <s v="借呗6期"/>
    <n v="1"/>
    <n v="7000.27"/>
    <s v="借呗"/>
    <x v="1"/>
    <x v="2"/>
    <x v="6"/>
    <s v="一组"/>
    <s v="广州一组"/>
    <s v="普通员工"/>
    <n v="7000.27"/>
    <n v="2020"/>
    <x v="2"/>
  </r>
  <r>
    <x v="71"/>
    <n v="1000011698"/>
    <s v="借呗12期"/>
    <n v="1"/>
    <n v="8999.98"/>
    <s v="借呗"/>
    <x v="0"/>
    <x v="0"/>
    <x v="3"/>
    <s v="二组"/>
    <s v="上海二组"/>
    <s v="普通员工"/>
    <n v="8999.98"/>
    <n v="2020"/>
    <x v="2"/>
  </r>
  <r>
    <x v="71"/>
    <n v="1000012099"/>
    <s v="借呗6期"/>
    <n v="1"/>
    <n v="15000.26"/>
    <s v="借呗"/>
    <x v="1"/>
    <x v="0"/>
    <x v="0"/>
    <s v="二组"/>
    <s v="杭州二组"/>
    <s v="普通员工"/>
    <n v="15000.26"/>
    <n v="2020"/>
    <x v="2"/>
  </r>
  <r>
    <x v="71"/>
    <n v="1000012099"/>
    <s v="借呗12期"/>
    <n v="6"/>
    <n v="103002.31"/>
    <s v="借呗"/>
    <x v="0"/>
    <x v="0"/>
    <x v="0"/>
    <s v="二组"/>
    <s v="杭州二组"/>
    <s v="普通员工"/>
    <n v="17167.051666666666"/>
    <n v="2020"/>
    <x v="2"/>
  </r>
  <r>
    <x v="71"/>
    <n v="1000012112"/>
    <s v="借呗12期"/>
    <n v="2"/>
    <n v="24999.9"/>
    <s v="借呗"/>
    <x v="0"/>
    <x v="0"/>
    <x v="0"/>
    <s v="三组"/>
    <s v="杭州三组"/>
    <s v="管理人员"/>
    <n v="12499.95"/>
    <n v="2020"/>
    <x v="2"/>
  </r>
  <r>
    <x v="71"/>
    <n v="1000012112"/>
    <s v="借呗18期"/>
    <n v="1"/>
    <n v="4999.9799999999996"/>
    <s v="借呗"/>
    <x v="2"/>
    <x v="0"/>
    <x v="0"/>
    <s v="三组"/>
    <s v="杭州三组"/>
    <s v="管理人员"/>
    <n v="4999.9799999999996"/>
    <n v="2020"/>
    <x v="2"/>
  </r>
  <r>
    <x v="71"/>
    <n v="1000012234"/>
    <s v="借呗6期"/>
    <n v="1"/>
    <n v="4999.9399999999996"/>
    <s v="借呗"/>
    <x v="1"/>
    <x v="0"/>
    <x v="1"/>
    <s v="一组"/>
    <s v="苏州一组"/>
    <s v="普通员工"/>
    <n v="4999.9399999999996"/>
    <n v="2020"/>
    <x v="2"/>
  </r>
  <r>
    <x v="71"/>
    <n v="1000012234"/>
    <s v="借呗12期"/>
    <n v="1"/>
    <n v="7000.09"/>
    <s v="借呗"/>
    <x v="0"/>
    <x v="0"/>
    <x v="1"/>
    <s v="一组"/>
    <s v="苏州一组"/>
    <s v="普通员工"/>
    <n v="7000.09"/>
    <n v="2020"/>
    <x v="2"/>
  </r>
  <r>
    <x v="71"/>
    <n v="1000012313"/>
    <s v="借呗6期"/>
    <n v="1"/>
    <n v="24999.96"/>
    <s v="借呗"/>
    <x v="1"/>
    <x v="2"/>
    <x v="11"/>
    <s v="一组"/>
    <s v="南宁一组"/>
    <s v="普通员工"/>
    <n v="24999.96"/>
    <n v="2020"/>
    <x v="2"/>
  </r>
  <r>
    <x v="71"/>
    <n v="1000012313"/>
    <s v="借呗12期"/>
    <n v="2"/>
    <n v="21000.920000000002"/>
    <s v="借呗"/>
    <x v="0"/>
    <x v="2"/>
    <x v="11"/>
    <s v="一组"/>
    <s v="南宁一组"/>
    <s v="普通员工"/>
    <n v="10500.460000000001"/>
    <n v="2020"/>
    <x v="2"/>
  </r>
  <r>
    <x v="71"/>
    <n v="1000012675"/>
    <s v="借呗6期"/>
    <n v="1"/>
    <n v="20000.54"/>
    <s v="借呗"/>
    <x v="1"/>
    <x v="0"/>
    <x v="3"/>
    <s v="一组"/>
    <s v="上海一组"/>
    <s v="普通员工"/>
    <n v="20000.54"/>
    <n v="2020"/>
    <x v="2"/>
  </r>
  <r>
    <x v="71"/>
    <n v="1000012675"/>
    <s v="借呗12期"/>
    <n v="3"/>
    <n v="43001.23"/>
    <s v="借呗"/>
    <x v="0"/>
    <x v="0"/>
    <x v="3"/>
    <s v="一组"/>
    <s v="上海一组"/>
    <s v="普通员工"/>
    <n v="14333.743333333334"/>
    <n v="2020"/>
    <x v="2"/>
  </r>
  <r>
    <x v="71"/>
    <n v="1000013526"/>
    <s v="借呗6期"/>
    <n v="1"/>
    <n v="9000.4599999999991"/>
    <s v="借呗"/>
    <x v="1"/>
    <x v="2"/>
    <x v="11"/>
    <s v="一组"/>
    <s v="南宁一组"/>
    <s v="普通员工"/>
    <n v="9000.4599999999991"/>
    <n v="2020"/>
    <x v="2"/>
  </r>
  <r>
    <x v="72"/>
    <n v="1000000029"/>
    <s v="借呗6期"/>
    <n v="1"/>
    <n v="1808.28"/>
    <s v="借呗"/>
    <x v="1"/>
    <x v="0"/>
    <x v="0"/>
    <s v="二组"/>
    <s v="杭州二组"/>
    <s v="普通员工"/>
    <n v="1808.28"/>
    <n v="2020"/>
    <x v="2"/>
  </r>
  <r>
    <x v="72"/>
    <n v="1000000029"/>
    <s v="借呗12期"/>
    <n v="2"/>
    <n v="20500.469999999998"/>
    <s v="借呗"/>
    <x v="0"/>
    <x v="0"/>
    <x v="0"/>
    <s v="二组"/>
    <s v="杭州二组"/>
    <s v="普通员工"/>
    <n v="10250.234999999999"/>
    <n v="2020"/>
    <x v="2"/>
  </r>
  <r>
    <x v="72"/>
    <n v="1000000030"/>
    <s v="借呗12期"/>
    <n v="1"/>
    <n v="3999.98"/>
    <s v="借呗"/>
    <x v="0"/>
    <x v="2"/>
    <x v="6"/>
    <s v="三组"/>
    <s v="广州三组"/>
    <s v="普通员工"/>
    <n v="3999.98"/>
    <n v="2020"/>
    <x v="2"/>
  </r>
  <r>
    <x v="72"/>
    <n v="1000000031"/>
    <s v="借呗6期"/>
    <n v="2"/>
    <n v="2000.58"/>
    <s v="借呗"/>
    <x v="1"/>
    <x v="0"/>
    <x v="0"/>
    <s v="一组"/>
    <s v="杭州一组"/>
    <s v="管理人员"/>
    <n v="1000.29"/>
    <n v="2020"/>
    <x v="2"/>
  </r>
  <r>
    <x v="72"/>
    <n v="1000000031"/>
    <s v="借呗12期"/>
    <n v="1"/>
    <n v="17000.669999999998"/>
    <s v="借呗"/>
    <x v="0"/>
    <x v="0"/>
    <x v="0"/>
    <s v="一组"/>
    <s v="杭州一组"/>
    <s v="管理人员"/>
    <n v="17000.669999999998"/>
    <n v="2020"/>
    <x v="2"/>
  </r>
  <r>
    <x v="72"/>
    <n v="1000000032"/>
    <s v="借呗12期"/>
    <n v="1"/>
    <n v="10000.36"/>
    <s v="借呗"/>
    <x v="0"/>
    <x v="0"/>
    <x v="1"/>
    <s v="一组"/>
    <s v="苏州一组"/>
    <s v="管理人员"/>
    <n v="10000.36"/>
    <n v="2020"/>
    <x v="2"/>
  </r>
  <r>
    <x v="72"/>
    <n v="1000000033"/>
    <s v="借呗6期"/>
    <n v="1"/>
    <n v="1000.49"/>
    <s v="借呗"/>
    <x v="1"/>
    <x v="0"/>
    <x v="1"/>
    <s v="一组"/>
    <s v="苏州一组"/>
    <s v="普通员工"/>
    <n v="1000.49"/>
    <n v="2020"/>
    <x v="2"/>
  </r>
  <r>
    <x v="72"/>
    <n v="1000000036"/>
    <s v="借呗6期"/>
    <n v="2"/>
    <n v="16001.15"/>
    <s v="借呗"/>
    <x v="1"/>
    <x v="2"/>
    <x v="6"/>
    <s v="三组"/>
    <s v="广州三组"/>
    <s v="管理人员"/>
    <n v="8000.5749999999998"/>
    <n v="2020"/>
    <x v="2"/>
  </r>
  <r>
    <x v="72"/>
    <n v="1000000037"/>
    <s v="借呗6期"/>
    <n v="1"/>
    <n v="2000.44"/>
    <s v="借呗"/>
    <x v="1"/>
    <x v="0"/>
    <x v="0"/>
    <s v="二组"/>
    <s v="杭州二组"/>
    <s v="普通员工"/>
    <n v="2000.44"/>
    <n v="2020"/>
    <x v="2"/>
  </r>
  <r>
    <x v="72"/>
    <n v="1000000039"/>
    <s v="借呗6期"/>
    <n v="1"/>
    <n v="6000.15"/>
    <s v="借呗"/>
    <x v="1"/>
    <x v="0"/>
    <x v="1"/>
    <s v="二组"/>
    <s v="苏州二组"/>
    <s v="管理人员"/>
    <n v="6000.15"/>
    <n v="2020"/>
    <x v="2"/>
  </r>
  <r>
    <x v="72"/>
    <n v="1000000040"/>
    <s v="借呗6期"/>
    <n v="1"/>
    <n v="15000.7"/>
    <s v="借呗"/>
    <x v="1"/>
    <x v="1"/>
    <x v="2"/>
    <s v="四组"/>
    <s v="北京四组"/>
    <s v="管理人员"/>
    <n v="15000.7"/>
    <n v="2020"/>
    <x v="2"/>
  </r>
  <r>
    <x v="72"/>
    <n v="1000000040"/>
    <s v="借呗12期"/>
    <n v="1"/>
    <n v="15000.05"/>
    <s v="借呗"/>
    <x v="0"/>
    <x v="1"/>
    <x v="2"/>
    <s v="四组"/>
    <s v="北京四组"/>
    <s v="管理人员"/>
    <n v="15000.05"/>
    <n v="2020"/>
    <x v="2"/>
  </r>
  <r>
    <x v="72"/>
    <n v="1000000041"/>
    <s v="借呗6期"/>
    <n v="2"/>
    <n v="20625.13"/>
    <s v="借呗"/>
    <x v="1"/>
    <x v="1"/>
    <x v="2"/>
    <s v="四组"/>
    <s v="北京四组"/>
    <s v="普通员工"/>
    <n v="10312.565000000001"/>
    <n v="2020"/>
    <x v="2"/>
  </r>
  <r>
    <x v="72"/>
    <n v="1000000041"/>
    <s v="借呗12期"/>
    <n v="1"/>
    <n v="10000.469999999999"/>
    <s v="借呗"/>
    <x v="0"/>
    <x v="1"/>
    <x v="2"/>
    <s v="四组"/>
    <s v="北京四组"/>
    <s v="普通员工"/>
    <n v="10000.469999999999"/>
    <n v="2020"/>
    <x v="2"/>
  </r>
  <r>
    <x v="72"/>
    <n v="1000000043"/>
    <s v="借呗12期"/>
    <n v="2"/>
    <n v="5538.3499999999995"/>
    <s v="借呗"/>
    <x v="0"/>
    <x v="1"/>
    <x v="4"/>
    <s v="一组"/>
    <s v="成都一组"/>
    <s v="普通员工"/>
    <n v="2769.1749999999997"/>
    <n v="2020"/>
    <x v="2"/>
  </r>
  <r>
    <x v="72"/>
    <n v="1000000044"/>
    <s v="借呗6期"/>
    <n v="2"/>
    <n v="18500.61"/>
    <s v="借呗"/>
    <x v="1"/>
    <x v="1"/>
    <x v="2"/>
    <s v="三组"/>
    <s v="北京三组"/>
    <s v="管理人员"/>
    <n v="9250.3050000000003"/>
    <n v="2020"/>
    <x v="2"/>
  </r>
  <r>
    <x v="72"/>
    <n v="1000000044"/>
    <s v="借呗12期"/>
    <n v="1"/>
    <n v="6000.77"/>
    <s v="借呗"/>
    <x v="0"/>
    <x v="1"/>
    <x v="2"/>
    <s v="三组"/>
    <s v="北京三组"/>
    <s v="管理人员"/>
    <n v="6000.77"/>
    <n v="2020"/>
    <x v="2"/>
  </r>
  <r>
    <x v="72"/>
    <n v="1000000044"/>
    <s v="借呗18期"/>
    <n v="1"/>
    <n v="9999.94"/>
    <s v="借呗"/>
    <x v="2"/>
    <x v="1"/>
    <x v="2"/>
    <s v="三组"/>
    <s v="北京三组"/>
    <s v="管理人员"/>
    <n v="9999.94"/>
    <n v="2020"/>
    <x v="2"/>
  </r>
  <r>
    <x v="72"/>
    <n v="1000000045"/>
    <s v="借呗6期"/>
    <n v="1"/>
    <n v="12000.13"/>
    <s v="借呗"/>
    <x v="1"/>
    <x v="2"/>
    <x v="9"/>
    <s v="一组"/>
    <s v="深圳一组"/>
    <s v="普通员工"/>
    <n v="12000.13"/>
    <n v="2020"/>
    <x v="2"/>
  </r>
  <r>
    <x v="72"/>
    <n v="1000000050"/>
    <s v="借呗12期"/>
    <n v="1"/>
    <n v="5500.32"/>
    <s v="借呗"/>
    <x v="0"/>
    <x v="0"/>
    <x v="5"/>
    <s v="一组"/>
    <s v="合肥一组"/>
    <s v="普通员工"/>
    <n v="5500.32"/>
    <n v="2020"/>
    <x v="2"/>
  </r>
  <r>
    <x v="72"/>
    <n v="1000000050"/>
    <s v="借呗18期"/>
    <n v="2"/>
    <n v="25001.29"/>
    <s v="借呗"/>
    <x v="2"/>
    <x v="0"/>
    <x v="5"/>
    <s v="一组"/>
    <s v="合肥一组"/>
    <s v="普通员工"/>
    <n v="12500.645"/>
    <n v="2020"/>
    <x v="2"/>
  </r>
  <r>
    <x v="72"/>
    <n v="1000000054"/>
    <s v="借呗12期"/>
    <n v="2"/>
    <n v="29000.97"/>
    <s v="借呗"/>
    <x v="0"/>
    <x v="0"/>
    <x v="3"/>
    <s v="一组"/>
    <s v="上海一组"/>
    <s v="普通员工"/>
    <n v="14500.485000000001"/>
    <n v="2020"/>
    <x v="2"/>
  </r>
  <r>
    <x v="72"/>
    <n v="1000000056"/>
    <s v="借呗12期"/>
    <n v="2"/>
    <n v="19001.09"/>
    <s v="借呗"/>
    <x v="0"/>
    <x v="0"/>
    <x v="3"/>
    <s v="一组"/>
    <s v="上海一组"/>
    <s v="管理人员"/>
    <n v="9500.5450000000001"/>
    <n v="2020"/>
    <x v="2"/>
  </r>
  <r>
    <x v="72"/>
    <n v="1000000057"/>
    <s v="借呗12期"/>
    <n v="1"/>
    <n v="2400.36"/>
    <s v="借呗"/>
    <x v="0"/>
    <x v="0"/>
    <x v="3"/>
    <s v="二组"/>
    <s v="上海二组"/>
    <s v="普通员工"/>
    <n v="2400.36"/>
    <n v="2020"/>
    <x v="2"/>
  </r>
  <r>
    <x v="72"/>
    <n v="1000000068"/>
    <s v="借呗6期"/>
    <n v="2"/>
    <n v="13601.07"/>
    <s v="借呗"/>
    <x v="1"/>
    <x v="1"/>
    <x v="7"/>
    <s v="一组"/>
    <s v="重庆一组"/>
    <s v="管理人员"/>
    <n v="6800.5349999999999"/>
    <n v="2020"/>
    <x v="2"/>
  </r>
  <r>
    <x v="72"/>
    <n v="1000000068"/>
    <s v="借呗12期"/>
    <n v="3"/>
    <n v="34000.44"/>
    <s v="借呗"/>
    <x v="0"/>
    <x v="1"/>
    <x v="7"/>
    <s v="一组"/>
    <s v="重庆一组"/>
    <s v="管理人员"/>
    <n v="11333.480000000001"/>
    <n v="2020"/>
    <x v="2"/>
  </r>
  <r>
    <x v="72"/>
    <n v="1000000104"/>
    <s v="借呗18期"/>
    <n v="1"/>
    <n v="8000.71"/>
    <s v="借呗"/>
    <x v="2"/>
    <x v="0"/>
    <x v="5"/>
    <s v="一组"/>
    <s v="合肥一组"/>
    <s v="普通员工"/>
    <n v="8000.71"/>
    <n v="2020"/>
    <x v="2"/>
  </r>
  <r>
    <x v="72"/>
    <n v="1000000237"/>
    <s v="借呗12期"/>
    <n v="1"/>
    <n v="788.46"/>
    <s v="借呗"/>
    <x v="0"/>
    <x v="0"/>
    <x v="5"/>
    <s v="一组"/>
    <s v="合肥一组"/>
    <s v="普通员工"/>
    <n v="788.46"/>
    <n v="2020"/>
    <x v="2"/>
  </r>
  <r>
    <x v="72"/>
    <n v="1000000237"/>
    <s v="借呗18期"/>
    <n v="3"/>
    <n v="33800.65"/>
    <s v="借呗"/>
    <x v="2"/>
    <x v="0"/>
    <x v="5"/>
    <s v="一组"/>
    <s v="合肥一组"/>
    <s v="普通员工"/>
    <n v="11266.883333333333"/>
    <n v="2020"/>
    <x v="2"/>
  </r>
  <r>
    <x v="72"/>
    <n v="1000000566"/>
    <s v="借呗18期"/>
    <n v="1"/>
    <n v="20000.189999999999"/>
    <s v="借呗"/>
    <x v="2"/>
    <x v="2"/>
    <x v="6"/>
    <s v="三组"/>
    <s v="广州三组"/>
    <s v="普通员工"/>
    <n v="20000.189999999999"/>
    <n v="2020"/>
    <x v="2"/>
  </r>
  <r>
    <x v="72"/>
    <n v="1000000576"/>
    <s v="借呗12期"/>
    <n v="3"/>
    <n v="36001.67"/>
    <s v="借呗"/>
    <x v="0"/>
    <x v="0"/>
    <x v="1"/>
    <s v="三组"/>
    <s v="苏州三组"/>
    <s v="普通员工"/>
    <n v="12000.556666666665"/>
    <n v="2020"/>
    <x v="2"/>
  </r>
  <r>
    <x v="72"/>
    <n v="1000000594"/>
    <s v="借呗12期"/>
    <n v="2"/>
    <n v="17501.189999999999"/>
    <s v="借呗"/>
    <x v="0"/>
    <x v="0"/>
    <x v="1"/>
    <s v="二组"/>
    <s v="苏州二组"/>
    <s v="普通员工"/>
    <n v="8750.5949999999993"/>
    <n v="2020"/>
    <x v="2"/>
  </r>
  <r>
    <x v="72"/>
    <n v="1000000928"/>
    <s v="借呗12期"/>
    <n v="1"/>
    <n v="24000.16"/>
    <s v="借呗"/>
    <x v="0"/>
    <x v="1"/>
    <x v="8"/>
    <s v="一组"/>
    <s v="西安一组"/>
    <s v="普通员工"/>
    <n v="24000.16"/>
    <n v="2020"/>
    <x v="2"/>
  </r>
  <r>
    <x v="72"/>
    <n v="1000001524"/>
    <s v="借呗6期"/>
    <n v="1"/>
    <n v="10000.200000000001"/>
    <s v="借呗"/>
    <x v="1"/>
    <x v="0"/>
    <x v="1"/>
    <s v="二组"/>
    <s v="苏州二组"/>
    <s v="普通员工"/>
    <n v="10000.200000000001"/>
    <n v="2020"/>
    <x v="2"/>
  </r>
  <r>
    <x v="72"/>
    <n v="1000003489"/>
    <s v="借呗18期"/>
    <n v="1"/>
    <n v="6499.98"/>
    <s v="借呗"/>
    <x v="2"/>
    <x v="2"/>
    <x v="6"/>
    <s v="一组"/>
    <s v="广州一组"/>
    <s v="普通员工"/>
    <n v="6499.98"/>
    <n v="2020"/>
    <x v="2"/>
  </r>
  <r>
    <x v="72"/>
    <n v="1000003803"/>
    <s v="借呗18期"/>
    <n v="1"/>
    <n v="15000.71"/>
    <s v="借呗"/>
    <x v="2"/>
    <x v="1"/>
    <x v="2"/>
    <s v="三组"/>
    <s v="北京三组"/>
    <s v="普通员工"/>
    <n v="15000.71"/>
    <n v="2020"/>
    <x v="2"/>
  </r>
  <r>
    <x v="72"/>
    <n v="1000003926"/>
    <s v="借呗6期"/>
    <n v="1"/>
    <n v="13000.28"/>
    <s v="借呗"/>
    <x v="1"/>
    <x v="2"/>
    <x v="6"/>
    <s v="一组"/>
    <s v="广州一组"/>
    <s v="管理人员"/>
    <n v="13000.28"/>
    <n v="2020"/>
    <x v="2"/>
  </r>
  <r>
    <x v="72"/>
    <n v="1000003926"/>
    <s v="借呗12期"/>
    <n v="4"/>
    <n v="63001.48"/>
    <s v="借呗"/>
    <x v="0"/>
    <x v="2"/>
    <x v="6"/>
    <s v="一组"/>
    <s v="广州一组"/>
    <s v="管理人员"/>
    <n v="15750.37"/>
    <n v="2020"/>
    <x v="2"/>
  </r>
  <r>
    <x v="72"/>
    <n v="1000003926"/>
    <s v="借呗18期"/>
    <n v="1"/>
    <n v="25000.44"/>
    <s v="借呗"/>
    <x v="2"/>
    <x v="2"/>
    <x v="6"/>
    <s v="一组"/>
    <s v="广州一组"/>
    <s v="管理人员"/>
    <n v="25000.44"/>
    <n v="2020"/>
    <x v="2"/>
  </r>
  <r>
    <x v="72"/>
    <n v="1000004170"/>
    <s v="借呗6期"/>
    <n v="2"/>
    <n v="22000.63"/>
    <s v="借呗"/>
    <x v="1"/>
    <x v="0"/>
    <x v="3"/>
    <s v="二组"/>
    <s v="上海二组"/>
    <s v="管理人员"/>
    <n v="11000.315000000001"/>
    <n v="2020"/>
    <x v="2"/>
  </r>
  <r>
    <x v="72"/>
    <n v="1000004170"/>
    <s v="借呗12期"/>
    <n v="1"/>
    <n v="13000.65"/>
    <s v="借呗"/>
    <x v="0"/>
    <x v="0"/>
    <x v="3"/>
    <s v="二组"/>
    <s v="上海二组"/>
    <s v="管理人员"/>
    <n v="13000.65"/>
    <n v="2020"/>
    <x v="2"/>
  </r>
  <r>
    <x v="72"/>
    <n v="1000004170"/>
    <s v="借呗18期"/>
    <n v="2"/>
    <n v="22800.76"/>
    <s v="借呗"/>
    <x v="2"/>
    <x v="0"/>
    <x v="3"/>
    <s v="二组"/>
    <s v="上海二组"/>
    <s v="管理人员"/>
    <n v="11400.38"/>
    <n v="2020"/>
    <x v="2"/>
  </r>
  <r>
    <x v="72"/>
    <n v="1000004256"/>
    <s v="借呗6期"/>
    <n v="1"/>
    <n v="941.57"/>
    <s v="借呗"/>
    <x v="1"/>
    <x v="0"/>
    <x v="5"/>
    <s v="一组"/>
    <s v="合肥一组"/>
    <s v="普通员工"/>
    <n v="941.57"/>
    <n v="2020"/>
    <x v="2"/>
  </r>
  <r>
    <x v="72"/>
    <n v="1000004256"/>
    <s v="借呗18期"/>
    <n v="3"/>
    <n v="14000.98"/>
    <s v="借呗"/>
    <x v="2"/>
    <x v="0"/>
    <x v="5"/>
    <s v="一组"/>
    <s v="合肥一组"/>
    <s v="普通员工"/>
    <n v="4666.9933333333329"/>
    <n v="2020"/>
    <x v="2"/>
  </r>
  <r>
    <x v="72"/>
    <n v="1000006698"/>
    <s v="借呗12期"/>
    <n v="1"/>
    <n v="17000.45"/>
    <s v="借呗"/>
    <x v="0"/>
    <x v="1"/>
    <x v="4"/>
    <s v="一组"/>
    <s v="成都一组"/>
    <s v="管理人员"/>
    <n v="17000.45"/>
    <n v="2020"/>
    <x v="2"/>
  </r>
  <r>
    <x v="72"/>
    <n v="1000006698"/>
    <s v="借呗18期"/>
    <n v="1"/>
    <n v="14000.05"/>
    <s v="借呗"/>
    <x v="2"/>
    <x v="1"/>
    <x v="4"/>
    <s v="一组"/>
    <s v="成都一组"/>
    <s v="管理人员"/>
    <n v="14000.05"/>
    <n v="2020"/>
    <x v="2"/>
  </r>
  <r>
    <x v="72"/>
    <n v="1000006867"/>
    <s v="借呗18期"/>
    <n v="2"/>
    <n v="14500.720000000001"/>
    <s v="借呗"/>
    <x v="2"/>
    <x v="0"/>
    <x v="10"/>
    <s v="一组"/>
    <s v="南京一组"/>
    <s v="普通员工"/>
    <n v="7250.3600000000006"/>
    <n v="2020"/>
    <x v="2"/>
  </r>
  <r>
    <x v="72"/>
    <n v="1000006869"/>
    <s v="借呗12期"/>
    <n v="1"/>
    <n v="16000.57"/>
    <s v="借呗"/>
    <x v="0"/>
    <x v="0"/>
    <x v="10"/>
    <s v="一组"/>
    <s v="南京一组"/>
    <s v="普通员工"/>
    <n v="16000.57"/>
    <n v="2020"/>
    <x v="2"/>
  </r>
  <r>
    <x v="72"/>
    <n v="1000007320"/>
    <s v="借呗6期"/>
    <n v="1"/>
    <n v="9000.23"/>
    <s v="借呗"/>
    <x v="1"/>
    <x v="0"/>
    <x v="3"/>
    <s v="一组"/>
    <s v="上海一组"/>
    <s v="普通员工"/>
    <n v="9000.23"/>
    <n v="2020"/>
    <x v="2"/>
  </r>
  <r>
    <x v="72"/>
    <n v="1000007320"/>
    <s v="借呗12期"/>
    <n v="1"/>
    <n v="18000.41"/>
    <s v="借呗"/>
    <x v="0"/>
    <x v="0"/>
    <x v="3"/>
    <s v="一组"/>
    <s v="上海一组"/>
    <s v="普通员工"/>
    <n v="18000.41"/>
    <n v="2020"/>
    <x v="2"/>
  </r>
  <r>
    <x v="72"/>
    <n v="1000008239"/>
    <s v="借呗6期"/>
    <n v="1"/>
    <n v="1999.98"/>
    <s v="借呗"/>
    <x v="1"/>
    <x v="0"/>
    <x v="10"/>
    <s v="一组"/>
    <s v="南京一组"/>
    <s v="管理人员"/>
    <n v="1999.98"/>
    <n v="2020"/>
    <x v="2"/>
  </r>
  <r>
    <x v="72"/>
    <n v="1000008239"/>
    <s v="借呗12期"/>
    <n v="1"/>
    <n v="8999.98"/>
    <s v="借呗"/>
    <x v="0"/>
    <x v="0"/>
    <x v="10"/>
    <s v="一组"/>
    <s v="南京一组"/>
    <s v="管理人员"/>
    <n v="8999.98"/>
    <n v="2020"/>
    <x v="2"/>
  </r>
  <r>
    <x v="72"/>
    <n v="1000008704"/>
    <s v="借呗12期"/>
    <n v="1"/>
    <n v="10000.27"/>
    <s v="借呗"/>
    <x v="0"/>
    <x v="0"/>
    <x v="10"/>
    <s v="一组"/>
    <s v="南京一组"/>
    <s v="普通员工"/>
    <n v="10000.27"/>
    <n v="2020"/>
    <x v="2"/>
  </r>
  <r>
    <x v="72"/>
    <n v="1000008957"/>
    <s v="借呗6期"/>
    <n v="1"/>
    <n v="16999.939999999999"/>
    <s v="借呗"/>
    <x v="1"/>
    <x v="0"/>
    <x v="3"/>
    <s v="二组"/>
    <s v="上海二组"/>
    <s v="普通员工"/>
    <n v="16999.939999999999"/>
    <n v="2020"/>
    <x v="2"/>
  </r>
  <r>
    <x v="72"/>
    <n v="1000010814"/>
    <s v="借呗12期"/>
    <n v="1"/>
    <n v="10000.26"/>
    <s v="借呗"/>
    <x v="0"/>
    <x v="0"/>
    <x v="10"/>
    <s v="四组"/>
    <s v="南京四组"/>
    <s v="普通员工"/>
    <n v="10000.26"/>
    <n v="2020"/>
    <x v="2"/>
  </r>
  <r>
    <x v="72"/>
    <n v="1000010881"/>
    <s v="借呗12期"/>
    <n v="2"/>
    <n v="31000.22"/>
    <s v="借呗"/>
    <x v="0"/>
    <x v="2"/>
    <x v="6"/>
    <s v="一组"/>
    <s v="广州一组"/>
    <s v="普通员工"/>
    <n v="15500.11"/>
    <n v="2020"/>
    <x v="2"/>
  </r>
  <r>
    <x v="72"/>
    <n v="1000011697"/>
    <s v="借呗6期"/>
    <n v="2"/>
    <n v="30000.26"/>
    <s v="借呗"/>
    <x v="1"/>
    <x v="0"/>
    <x v="3"/>
    <s v="二组"/>
    <s v="上海二组"/>
    <s v="普通员工"/>
    <n v="15000.13"/>
    <n v="2020"/>
    <x v="2"/>
  </r>
  <r>
    <x v="72"/>
    <n v="1000011698"/>
    <s v="借呗12期"/>
    <n v="2"/>
    <n v="25000.62"/>
    <s v="借呗"/>
    <x v="0"/>
    <x v="0"/>
    <x v="3"/>
    <s v="二组"/>
    <s v="上海二组"/>
    <s v="普通员工"/>
    <n v="12500.31"/>
    <n v="2020"/>
    <x v="2"/>
  </r>
  <r>
    <x v="72"/>
    <n v="1000011698"/>
    <s v="借呗18期"/>
    <n v="1"/>
    <n v="20000.39"/>
    <s v="借呗"/>
    <x v="2"/>
    <x v="0"/>
    <x v="3"/>
    <s v="二组"/>
    <s v="上海二组"/>
    <s v="普通员工"/>
    <n v="20000.39"/>
    <n v="2020"/>
    <x v="2"/>
  </r>
  <r>
    <x v="72"/>
    <n v="1000012096"/>
    <s v="借呗18期"/>
    <n v="1"/>
    <n v="10000.11"/>
    <s v="借呗"/>
    <x v="2"/>
    <x v="0"/>
    <x v="0"/>
    <s v="一组"/>
    <s v="杭州一组"/>
    <s v="普通员工"/>
    <n v="10000.11"/>
    <n v="2020"/>
    <x v="2"/>
  </r>
  <r>
    <x v="72"/>
    <n v="1000012099"/>
    <s v="借呗6期"/>
    <n v="2"/>
    <n v="40000.32"/>
    <s v="借呗"/>
    <x v="1"/>
    <x v="0"/>
    <x v="0"/>
    <s v="二组"/>
    <s v="杭州二组"/>
    <s v="普通员工"/>
    <n v="20000.16"/>
    <n v="2020"/>
    <x v="2"/>
  </r>
  <r>
    <x v="72"/>
    <n v="1000012099"/>
    <s v="借呗12期"/>
    <n v="1"/>
    <n v="25000.71"/>
    <s v="借呗"/>
    <x v="0"/>
    <x v="0"/>
    <x v="0"/>
    <s v="二组"/>
    <s v="杭州二组"/>
    <s v="普通员工"/>
    <n v="25000.71"/>
    <n v="2020"/>
    <x v="2"/>
  </r>
  <r>
    <x v="72"/>
    <n v="1000012112"/>
    <s v="借呗6期"/>
    <n v="1"/>
    <n v="13000"/>
    <s v="借呗"/>
    <x v="1"/>
    <x v="0"/>
    <x v="0"/>
    <s v="三组"/>
    <s v="杭州三组"/>
    <s v="管理人员"/>
    <n v="13000"/>
    <n v="2020"/>
    <x v="2"/>
  </r>
  <r>
    <x v="72"/>
    <n v="1000012124"/>
    <s v="借呗18期"/>
    <n v="1"/>
    <n v="17000.03"/>
    <s v="借呗"/>
    <x v="2"/>
    <x v="0"/>
    <x v="0"/>
    <s v="一组"/>
    <s v="杭州一组"/>
    <s v="普通员工"/>
    <n v="17000.03"/>
    <n v="2020"/>
    <x v="2"/>
  </r>
  <r>
    <x v="72"/>
    <n v="1000012234"/>
    <s v="借呗18期"/>
    <n v="1"/>
    <n v="17000.48"/>
    <s v="借呗"/>
    <x v="2"/>
    <x v="0"/>
    <x v="1"/>
    <s v="一组"/>
    <s v="苏州一组"/>
    <s v="普通员工"/>
    <n v="17000.48"/>
    <n v="2020"/>
    <x v="2"/>
  </r>
  <r>
    <x v="72"/>
    <n v="1000012313"/>
    <s v="借呗6期"/>
    <n v="1"/>
    <n v="2000.32"/>
    <s v="借呗"/>
    <x v="1"/>
    <x v="2"/>
    <x v="11"/>
    <s v="一组"/>
    <s v="南宁一组"/>
    <s v="普通员工"/>
    <n v="2000.32"/>
    <n v="2020"/>
    <x v="2"/>
  </r>
  <r>
    <x v="72"/>
    <n v="1000012446"/>
    <s v="借呗12期"/>
    <n v="2"/>
    <n v="19000.3"/>
    <s v="借呗"/>
    <x v="0"/>
    <x v="1"/>
    <x v="2"/>
    <s v="三组"/>
    <s v="北京三组"/>
    <s v="普通员工"/>
    <n v="9500.15"/>
    <n v="2020"/>
    <x v="2"/>
  </r>
  <r>
    <x v="72"/>
    <n v="1000012675"/>
    <s v="借呗12期"/>
    <n v="2"/>
    <n v="22000.52"/>
    <s v="借呗"/>
    <x v="0"/>
    <x v="0"/>
    <x v="3"/>
    <s v="一组"/>
    <s v="上海一组"/>
    <s v="普通员工"/>
    <n v="11000.26"/>
    <n v="2020"/>
    <x v="2"/>
  </r>
  <r>
    <x v="72"/>
    <n v="1000013526"/>
    <s v="借呗12期"/>
    <n v="1"/>
    <n v="13000.36"/>
    <s v="借呗"/>
    <x v="0"/>
    <x v="2"/>
    <x v="11"/>
    <s v="一组"/>
    <s v="南宁一组"/>
    <s v="普通员工"/>
    <n v="13000.36"/>
    <n v="2020"/>
    <x v="2"/>
  </r>
  <r>
    <x v="72"/>
    <n v="1000014037"/>
    <s v="借呗6期"/>
    <n v="1"/>
    <n v="500.52"/>
    <s v="借呗"/>
    <x v="1"/>
    <x v="0"/>
    <x v="1"/>
    <s v="三组"/>
    <s v="苏州三组"/>
    <s v="普通员工"/>
    <n v="500.52"/>
    <n v="2020"/>
    <x v="2"/>
  </r>
  <r>
    <x v="72"/>
    <n v="1000014037"/>
    <s v="借呗12期"/>
    <n v="1"/>
    <n v="8000.69"/>
    <s v="借呗"/>
    <x v="0"/>
    <x v="0"/>
    <x v="1"/>
    <s v="三组"/>
    <s v="苏州三组"/>
    <s v="普通员工"/>
    <n v="8000.69"/>
    <n v="2020"/>
    <x v="2"/>
  </r>
  <r>
    <x v="72"/>
    <n v="1000014273"/>
    <s v="借呗6期"/>
    <n v="2"/>
    <n v="21000.260000000002"/>
    <s v="借呗"/>
    <x v="1"/>
    <x v="0"/>
    <x v="0"/>
    <s v="二组"/>
    <s v="杭州二组"/>
    <s v="普通员工"/>
    <n v="10500.130000000001"/>
    <n v="2020"/>
    <x v="2"/>
  </r>
  <r>
    <x v="72"/>
    <n v="1000014273"/>
    <s v="借呗12期"/>
    <n v="2"/>
    <n v="20999.980000000003"/>
    <s v="借呗"/>
    <x v="0"/>
    <x v="0"/>
    <x v="0"/>
    <s v="二组"/>
    <s v="杭州二组"/>
    <s v="普通员工"/>
    <n v="10499.990000000002"/>
    <n v="2020"/>
    <x v="2"/>
  </r>
  <r>
    <x v="72"/>
    <n v="1000014291"/>
    <s v="借呗12期"/>
    <n v="4"/>
    <n v="54001.88"/>
    <s v="借呗"/>
    <x v="0"/>
    <x v="2"/>
    <x v="6"/>
    <s v="二组"/>
    <s v="广州二组"/>
    <s v="管理人员"/>
    <n v="13500.47"/>
    <n v="2020"/>
    <x v="2"/>
  </r>
  <r>
    <x v="72"/>
    <n v="1000014530"/>
    <s v="借呗12期"/>
    <n v="1"/>
    <n v="11000.71"/>
    <s v="借呗"/>
    <x v="0"/>
    <x v="2"/>
    <x v="11"/>
    <s v="一组"/>
    <s v="南宁一组"/>
    <s v="普通员工"/>
    <n v="11000.71"/>
    <n v="2020"/>
    <x v="2"/>
  </r>
  <r>
    <x v="73"/>
    <n v="1000000028"/>
    <s v="借呗12期"/>
    <n v="1"/>
    <n v="8000.71"/>
    <s v="借呗"/>
    <x v="0"/>
    <x v="0"/>
    <x v="0"/>
    <s v="二组"/>
    <s v="杭州二组"/>
    <s v="普通员工"/>
    <n v="8000.71"/>
    <n v="2020"/>
    <x v="2"/>
  </r>
  <r>
    <x v="73"/>
    <n v="1000000029"/>
    <s v="借呗6期"/>
    <n v="1"/>
    <n v="1613.05"/>
    <s v="借呗"/>
    <x v="1"/>
    <x v="0"/>
    <x v="0"/>
    <s v="二组"/>
    <s v="杭州二组"/>
    <s v="普通员工"/>
    <n v="1613.05"/>
    <n v="2020"/>
    <x v="2"/>
  </r>
  <r>
    <x v="73"/>
    <n v="1000000029"/>
    <s v="借呗12期"/>
    <n v="2"/>
    <n v="14500.8"/>
    <s v="借呗"/>
    <x v="0"/>
    <x v="0"/>
    <x v="0"/>
    <s v="二组"/>
    <s v="杭州二组"/>
    <s v="普通员工"/>
    <n v="7250.4"/>
    <n v="2020"/>
    <x v="2"/>
  </r>
  <r>
    <x v="73"/>
    <n v="1000000030"/>
    <s v="借呗6期"/>
    <n v="2"/>
    <n v="30000.550000000003"/>
    <s v="借呗"/>
    <x v="1"/>
    <x v="2"/>
    <x v="6"/>
    <s v="三组"/>
    <s v="广州三组"/>
    <s v="普通员工"/>
    <n v="15000.275000000001"/>
    <n v="2020"/>
    <x v="2"/>
  </r>
  <r>
    <x v="73"/>
    <n v="1000000030"/>
    <s v="借呗18期"/>
    <n v="1"/>
    <n v="12000.49"/>
    <s v="借呗"/>
    <x v="2"/>
    <x v="2"/>
    <x v="6"/>
    <s v="三组"/>
    <s v="广州三组"/>
    <s v="普通员工"/>
    <n v="12000.49"/>
    <n v="2020"/>
    <x v="2"/>
  </r>
  <r>
    <x v="73"/>
    <n v="1000000031"/>
    <s v="借呗6期"/>
    <n v="2"/>
    <n v="29999.95"/>
    <s v="借呗"/>
    <x v="1"/>
    <x v="0"/>
    <x v="0"/>
    <s v="一组"/>
    <s v="杭州一组"/>
    <s v="管理人员"/>
    <n v="14999.975"/>
    <n v="2020"/>
    <x v="2"/>
  </r>
  <r>
    <x v="73"/>
    <n v="1000000031"/>
    <s v="借呗12期"/>
    <n v="1"/>
    <n v="900.24"/>
    <s v="借呗"/>
    <x v="0"/>
    <x v="0"/>
    <x v="0"/>
    <s v="一组"/>
    <s v="杭州一组"/>
    <s v="管理人员"/>
    <n v="900.24"/>
    <n v="2020"/>
    <x v="2"/>
  </r>
  <r>
    <x v="73"/>
    <n v="1000000032"/>
    <s v="借呗12期"/>
    <n v="1"/>
    <n v="25000.36"/>
    <s v="借呗"/>
    <x v="0"/>
    <x v="0"/>
    <x v="1"/>
    <s v="一组"/>
    <s v="苏州一组"/>
    <s v="管理人员"/>
    <n v="25000.36"/>
    <n v="2020"/>
    <x v="2"/>
  </r>
  <r>
    <x v="73"/>
    <n v="1000000033"/>
    <s v="借呗12期"/>
    <n v="1"/>
    <n v="18000.45"/>
    <s v="借呗"/>
    <x v="0"/>
    <x v="0"/>
    <x v="1"/>
    <s v="一组"/>
    <s v="苏州一组"/>
    <s v="普通员工"/>
    <n v="18000.45"/>
    <n v="2020"/>
    <x v="2"/>
  </r>
  <r>
    <x v="73"/>
    <n v="1000000033"/>
    <s v="借呗18期"/>
    <n v="2"/>
    <n v="3021.23"/>
    <s v="借呗"/>
    <x v="2"/>
    <x v="0"/>
    <x v="1"/>
    <s v="一组"/>
    <s v="苏州一组"/>
    <s v="普通员工"/>
    <n v="1510.615"/>
    <n v="2020"/>
    <x v="2"/>
  </r>
  <r>
    <x v="73"/>
    <n v="1000000034"/>
    <s v="借呗6期"/>
    <n v="2"/>
    <n v="4500.7700000000004"/>
    <s v="借呗"/>
    <x v="1"/>
    <x v="0"/>
    <x v="1"/>
    <s v="一组"/>
    <s v="苏州一组"/>
    <s v="普通员工"/>
    <n v="2250.3850000000002"/>
    <n v="2020"/>
    <x v="2"/>
  </r>
  <r>
    <x v="73"/>
    <n v="1000000036"/>
    <s v="借呗18期"/>
    <n v="1"/>
    <n v="11000.53"/>
    <s v="借呗"/>
    <x v="2"/>
    <x v="2"/>
    <x v="6"/>
    <s v="三组"/>
    <s v="广州三组"/>
    <s v="管理人员"/>
    <n v="11000.53"/>
    <n v="2020"/>
    <x v="2"/>
  </r>
  <r>
    <x v="73"/>
    <n v="1000000037"/>
    <s v="借呗6期"/>
    <n v="1"/>
    <n v="2000.47"/>
    <s v="借呗"/>
    <x v="1"/>
    <x v="0"/>
    <x v="0"/>
    <s v="二组"/>
    <s v="杭州二组"/>
    <s v="普通员工"/>
    <n v="2000.47"/>
    <n v="2020"/>
    <x v="2"/>
  </r>
  <r>
    <x v="73"/>
    <n v="1000000039"/>
    <s v="借呗6期"/>
    <n v="1"/>
    <n v="7000.27"/>
    <s v="借呗"/>
    <x v="1"/>
    <x v="0"/>
    <x v="1"/>
    <s v="二组"/>
    <s v="苏州二组"/>
    <s v="管理人员"/>
    <n v="7000.27"/>
    <n v="2020"/>
    <x v="2"/>
  </r>
  <r>
    <x v="73"/>
    <n v="1000000039"/>
    <s v="借呗18期"/>
    <n v="1"/>
    <n v="7000.48"/>
    <s v="借呗"/>
    <x v="2"/>
    <x v="0"/>
    <x v="1"/>
    <s v="二组"/>
    <s v="苏州二组"/>
    <s v="管理人员"/>
    <n v="7000.48"/>
    <n v="2020"/>
    <x v="2"/>
  </r>
  <r>
    <x v="73"/>
    <n v="1000000040"/>
    <s v="借呗6期"/>
    <n v="1"/>
    <n v="15000.29"/>
    <s v="借呗"/>
    <x v="1"/>
    <x v="1"/>
    <x v="2"/>
    <s v="四组"/>
    <s v="北京四组"/>
    <s v="管理人员"/>
    <n v="15000.29"/>
    <n v="2020"/>
    <x v="2"/>
  </r>
  <r>
    <x v="73"/>
    <n v="1000000041"/>
    <s v="借呗6期"/>
    <n v="2"/>
    <n v="42000.66"/>
    <s v="借呗"/>
    <x v="1"/>
    <x v="1"/>
    <x v="2"/>
    <s v="四组"/>
    <s v="北京四组"/>
    <s v="普通员工"/>
    <n v="21000.33"/>
    <n v="2020"/>
    <x v="2"/>
  </r>
  <r>
    <x v="73"/>
    <n v="1000000044"/>
    <s v="借呗6期"/>
    <n v="1"/>
    <n v="5000.4399999999996"/>
    <s v="借呗"/>
    <x v="1"/>
    <x v="1"/>
    <x v="2"/>
    <s v="三组"/>
    <s v="北京三组"/>
    <s v="管理人员"/>
    <n v="5000.4399999999996"/>
    <n v="2020"/>
    <x v="2"/>
  </r>
  <r>
    <x v="73"/>
    <n v="1000000044"/>
    <s v="借呗12期"/>
    <n v="2"/>
    <n v="19000.54"/>
    <s v="借呗"/>
    <x v="0"/>
    <x v="1"/>
    <x v="2"/>
    <s v="三组"/>
    <s v="北京三组"/>
    <s v="管理人员"/>
    <n v="9500.27"/>
    <n v="2020"/>
    <x v="2"/>
  </r>
  <r>
    <x v="73"/>
    <n v="1000000045"/>
    <s v="借呗6期"/>
    <n v="3"/>
    <n v="39001.370000000003"/>
    <s v="借呗"/>
    <x v="1"/>
    <x v="2"/>
    <x v="9"/>
    <s v="一组"/>
    <s v="深圳一组"/>
    <s v="普通员工"/>
    <n v="13000.456666666667"/>
    <n v="2020"/>
    <x v="2"/>
  </r>
  <r>
    <x v="73"/>
    <n v="1000000046"/>
    <s v="借呗6期"/>
    <n v="1"/>
    <n v="13000.49"/>
    <s v="借呗"/>
    <x v="1"/>
    <x v="1"/>
    <x v="4"/>
    <s v="一组"/>
    <s v="成都一组"/>
    <s v="普通员工"/>
    <n v="13000.49"/>
    <n v="2020"/>
    <x v="2"/>
  </r>
  <r>
    <x v="73"/>
    <n v="1000000046"/>
    <s v="借呗12期"/>
    <n v="1"/>
    <n v="3000"/>
    <s v="借呗"/>
    <x v="0"/>
    <x v="1"/>
    <x v="4"/>
    <s v="一组"/>
    <s v="成都一组"/>
    <s v="普通员工"/>
    <n v="3000"/>
    <n v="2020"/>
    <x v="2"/>
  </r>
  <r>
    <x v="73"/>
    <n v="1000000049"/>
    <s v="借呗6期"/>
    <n v="1"/>
    <n v="1950.04"/>
    <s v="借呗"/>
    <x v="1"/>
    <x v="0"/>
    <x v="5"/>
    <s v="一组"/>
    <s v="合肥一组"/>
    <s v="普通员工"/>
    <n v="1950.04"/>
    <n v="2020"/>
    <x v="2"/>
  </r>
  <r>
    <x v="73"/>
    <n v="1000000050"/>
    <s v="借呗12期"/>
    <n v="3"/>
    <n v="49000.09"/>
    <s v="借呗"/>
    <x v="0"/>
    <x v="0"/>
    <x v="5"/>
    <s v="一组"/>
    <s v="合肥一组"/>
    <s v="普通员工"/>
    <n v="16333.363333333333"/>
    <n v="2020"/>
    <x v="2"/>
  </r>
  <r>
    <x v="73"/>
    <n v="1000000052"/>
    <s v="借呗18期"/>
    <n v="1"/>
    <n v="1700.05"/>
    <s v="借呗"/>
    <x v="2"/>
    <x v="0"/>
    <x v="3"/>
    <s v="二组"/>
    <s v="上海二组"/>
    <s v="普通员工"/>
    <n v="1700.05"/>
    <n v="2020"/>
    <x v="2"/>
  </r>
  <r>
    <x v="73"/>
    <n v="1000000054"/>
    <s v="借呗6期"/>
    <n v="1"/>
    <n v="14000.2"/>
    <s v="借呗"/>
    <x v="1"/>
    <x v="0"/>
    <x v="3"/>
    <s v="一组"/>
    <s v="上海一组"/>
    <s v="普通员工"/>
    <n v="14000.2"/>
    <n v="2020"/>
    <x v="2"/>
  </r>
  <r>
    <x v="73"/>
    <n v="1000000054"/>
    <s v="借呗18期"/>
    <n v="1"/>
    <n v="15199.94"/>
    <s v="借呗"/>
    <x v="2"/>
    <x v="0"/>
    <x v="3"/>
    <s v="一组"/>
    <s v="上海一组"/>
    <s v="普通员工"/>
    <n v="15199.94"/>
    <n v="2020"/>
    <x v="2"/>
  </r>
  <r>
    <x v="73"/>
    <n v="1000000056"/>
    <s v="借呗6期"/>
    <n v="2"/>
    <n v="22000.82"/>
    <s v="借呗"/>
    <x v="1"/>
    <x v="0"/>
    <x v="3"/>
    <s v="一组"/>
    <s v="上海一组"/>
    <s v="管理人员"/>
    <n v="11000.41"/>
    <n v="2020"/>
    <x v="2"/>
  </r>
  <r>
    <x v="73"/>
    <n v="1000000067"/>
    <s v="借呗18期"/>
    <n v="2"/>
    <n v="10660.85"/>
    <s v="借呗"/>
    <x v="2"/>
    <x v="0"/>
    <x v="1"/>
    <s v="二组"/>
    <s v="苏州二组"/>
    <s v="普通员工"/>
    <n v="5330.4250000000002"/>
    <n v="2020"/>
    <x v="2"/>
  </r>
  <r>
    <x v="73"/>
    <n v="1000000104"/>
    <s v="借呗12期"/>
    <n v="1"/>
    <n v="17000.61"/>
    <s v="借呗"/>
    <x v="0"/>
    <x v="0"/>
    <x v="5"/>
    <s v="一组"/>
    <s v="合肥一组"/>
    <s v="普通员工"/>
    <n v="17000.61"/>
    <n v="2020"/>
    <x v="2"/>
  </r>
  <r>
    <x v="73"/>
    <n v="1000000566"/>
    <s v="借呗6期"/>
    <n v="1"/>
    <n v="5500.76"/>
    <s v="借呗"/>
    <x v="1"/>
    <x v="2"/>
    <x v="6"/>
    <s v="三组"/>
    <s v="广州三组"/>
    <s v="普通员工"/>
    <n v="5500.76"/>
    <n v="2020"/>
    <x v="2"/>
  </r>
  <r>
    <x v="73"/>
    <n v="1000000566"/>
    <s v="借呗12期"/>
    <n v="1"/>
    <n v="16000.24"/>
    <s v="借呗"/>
    <x v="0"/>
    <x v="2"/>
    <x v="6"/>
    <s v="三组"/>
    <s v="广州三组"/>
    <s v="普通员工"/>
    <n v="16000.24"/>
    <n v="2020"/>
    <x v="2"/>
  </r>
  <r>
    <x v="73"/>
    <n v="1000000566"/>
    <s v="借呗18期"/>
    <n v="1"/>
    <n v="9000.5400000000009"/>
    <s v="借呗"/>
    <x v="2"/>
    <x v="2"/>
    <x v="6"/>
    <s v="三组"/>
    <s v="广州三组"/>
    <s v="普通员工"/>
    <n v="9000.5400000000009"/>
    <n v="2020"/>
    <x v="2"/>
  </r>
  <r>
    <x v="73"/>
    <n v="1000000576"/>
    <s v="借呗6期"/>
    <n v="1"/>
    <n v="6000.28"/>
    <s v="借呗"/>
    <x v="1"/>
    <x v="0"/>
    <x v="1"/>
    <s v="三组"/>
    <s v="苏州三组"/>
    <s v="普通员工"/>
    <n v="6000.28"/>
    <n v="2020"/>
    <x v="2"/>
  </r>
  <r>
    <x v="73"/>
    <n v="1000000576"/>
    <s v="借呗12期"/>
    <n v="3"/>
    <n v="33501.21"/>
    <s v="借呗"/>
    <x v="0"/>
    <x v="0"/>
    <x v="1"/>
    <s v="三组"/>
    <s v="苏州三组"/>
    <s v="普通员工"/>
    <n v="11167.07"/>
    <n v="2020"/>
    <x v="2"/>
  </r>
  <r>
    <x v="73"/>
    <n v="1000000581"/>
    <s v="借呗18期"/>
    <n v="1"/>
    <n v="1054.1500000000001"/>
    <s v="借呗"/>
    <x v="2"/>
    <x v="2"/>
    <x v="6"/>
    <s v="三组"/>
    <s v="广州三组"/>
    <s v="普通员工"/>
    <n v="1054.1500000000001"/>
    <n v="2020"/>
    <x v="2"/>
  </r>
  <r>
    <x v="73"/>
    <n v="1000000594"/>
    <s v="借呗12期"/>
    <n v="1"/>
    <n v="25000.58"/>
    <s v="借呗"/>
    <x v="0"/>
    <x v="0"/>
    <x v="1"/>
    <s v="二组"/>
    <s v="苏州二组"/>
    <s v="普通员工"/>
    <n v="25000.58"/>
    <n v="2020"/>
    <x v="2"/>
  </r>
  <r>
    <x v="73"/>
    <n v="1000000928"/>
    <s v="借呗6期"/>
    <n v="2"/>
    <n v="17500.5"/>
    <s v="借呗"/>
    <x v="1"/>
    <x v="1"/>
    <x v="8"/>
    <s v="一组"/>
    <s v="西安一组"/>
    <s v="普通员工"/>
    <n v="8750.25"/>
    <n v="2020"/>
    <x v="2"/>
  </r>
  <r>
    <x v="73"/>
    <n v="1000001524"/>
    <s v="借呗12期"/>
    <n v="1"/>
    <n v="7500.73"/>
    <s v="借呗"/>
    <x v="0"/>
    <x v="0"/>
    <x v="1"/>
    <s v="二组"/>
    <s v="苏州二组"/>
    <s v="普通员工"/>
    <n v="7500.73"/>
    <n v="2020"/>
    <x v="2"/>
  </r>
  <r>
    <x v="73"/>
    <n v="1000002861"/>
    <s v="借呗6期"/>
    <n v="3"/>
    <n v="33501.020000000004"/>
    <s v="借呗"/>
    <x v="1"/>
    <x v="2"/>
    <x v="6"/>
    <s v="三组"/>
    <s v="广州三组"/>
    <s v="普通员工"/>
    <n v="11167.006666666668"/>
    <n v="2020"/>
    <x v="2"/>
  </r>
  <r>
    <x v="73"/>
    <n v="1000003489"/>
    <s v="借呗6期"/>
    <n v="1"/>
    <n v="5000.76"/>
    <s v="借呗"/>
    <x v="1"/>
    <x v="2"/>
    <x v="6"/>
    <s v="一组"/>
    <s v="广州一组"/>
    <s v="普通员工"/>
    <n v="5000.76"/>
    <n v="2020"/>
    <x v="2"/>
  </r>
  <r>
    <x v="73"/>
    <n v="1000003803"/>
    <s v="借呗12期"/>
    <n v="1"/>
    <n v="6499.98"/>
    <s v="借呗"/>
    <x v="0"/>
    <x v="1"/>
    <x v="2"/>
    <s v="三组"/>
    <s v="北京三组"/>
    <s v="普通员工"/>
    <n v="6499.98"/>
    <n v="2020"/>
    <x v="2"/>
  </r>
  <r>
    <x v="73"/>
    <n v="1000003926"/>
    <s v="借呗6期"/>
    <n v="8"/>
    <n v="76217.490000000005"/>
    <s v="借呗"/>
    <x v="1"/>
    <x v="2"/>
    <x v="6"/>
    <s v="一组"/>
    <s v="广州一组"/>
    <s v="管理人员"/>
    <n v="9527.1862500000007"/>
    <n v="2020"/>
    <x v="2"/>
  </r>
  <r>
    <x v="73"/>
    <n v="1000004170"/>
    <s v="借呗6期"/>
    <n v="3"/>
    <n v="38000.729999999996"/>
    <s v="借呗"/>
    <x v="1"/>
    <x v="0"/>
    <x v="3"/>
    <s v="二组"/>
    <s v="上海二组"/>
    <s v="管理人员"/>
    <n v="12666.909999999998"/>
    <n v="2020"/>
    <x v="2"/>
  </r>
  <r>
    <x v="73"/>
    <n v="1000004170"/>
    <s v="借呗18期"/>
    <n v="1"/>
    <n v="895.62"/>
    <s v="借呗"/>
    <x v="2"/>
    <x v="0"/>
    <x v="3"/>
    <s v="二组"/>
    <s v="上海二组"/>
    <s v="管理人员"/>
    <n v="895.62"/>
    <n v="2020"/>
    <x v="2"/>
  </r>
  <r>
    <x v="73"/>
    <n v="1000004256"/>
    <s v="借呗12期"/>
    <n v="1"/>
    <n v="8000.15"/>
    <s v="借呗"/>
    <x v="0"/>
    <x v="0"/>
    <x v="5"/>
    <s v="一组"/>
    <s v="合肥一组"/>
    <s v="普通员工"/>
    <n v="8000.15"/>
    <n v="2020"/>
    <x v="2"/>
  </r>
  <r>
    <x v="73"/>
    <n v="1000004256"/>
    <s v="借呗18期"/>
    <n v="2"/>
    <n v="7000.88"/>
    <s v="借呗"/>
    <x v="2"/>
    <x v="0"/>
    <x v="5"/>
    <s v="一组"/>
    <s v="合肥一组"/>
    <s v="普通员工"/>
    <n v="3500.44"/>
    <n v="2020"/>
    <x v="2"/>
  </r>
  <r>
    <x v="73"/>
    <n v="1000005873"/>
    <s v="借呗6期"/>
    <n v="1"/>
    <n v="8000.12"/>
    <s v="借呗"/>
    <x v="1"/>
    <x v="0"/>
    <x v="0"/>
    <s v="二组"/>
    <s v="杭州二组"/>
    <s v="管理人员"/>
    <n v="8000.12"/>
    <n v="2020"/>
    <x v="2"/>
  </r>
  <r>
    <x v="73"/>
    <n v="1000005873"/>
    <s v="借呗12期"/>
    <n v="1"/>
    <n v="13000.43"/>
    <s v="借呗"/>
    <x v="0"/>
    <x v="0"/>
    <x v="0"/>
    <s v="二组"/>
    <s v="杭州二组"/>
    <s v="管理人员"/>
    <n v="13000.43"/>
    <n v="2020"/>
    <x v="2"/>
  </r>
  <r>
    <x v="73"/>
    <n v="1000006859"/>
    <s v="借呗12期"/>
    <n v="1"/>
    <n v="10000.69"/>
    <s v="借呗"/>
    <x v="0"/>
    <x v="0"/>
    <x v="10"/>
    <s v="一组"/>
    <s v="南京一组"/>
    <s v="普通员工"/>
    <n v="10000.69"/>
    <n v="2020"/>
    <x v="2"/>
  </r>
  <r>
    <x v="73"/>
    <n v="1000006867"/>
    <s v="借呗12期"/>
    <n v="1"/>
    <n v="10000.56"/>
    <s v="借呗"/>
    <x v="0"/>
    <x v="0"/>
    <x v="10"/>
    <s v="一组"/>
    <s v="南京一组"/>
    <s v="普通员工"/>
    <n v="10000.56"/>
    <n v="2020"/>
    <x v="2"/>
  </r>
  <r>
    <x v="73"/>
    <n v="1000006869"/>
    <s v="借呗12期"/>
    <n v="1"/>
    <n v="18000.330000000002"/>
    <s v="借呗"/>
    <x v="0"/>
    <x v="0"/>
    <x v="10"/>
    <s v="一组"/>
    <s v="南京一组"/>
    <s v="普通员工"/>
    <n v="18000.330000000002"/>
    <n v="2020"/>
    <x v="2"/>
  </r>
  <r>
    <x v="73"/>
    <n v="1000007320"/>
    <s v="借呗6期"/>
    <n v="1"/>
    <n v="18000.349999999999"/>
    <s v="借呗"/>
    <x v="1"/>
    <x v="0"/>
    <x v="3"/>
    <s v="一组"/>
    <s v="上海一组"/>
    <s v="普通员工"/>
    <n v="18000.349999999999"/>
    <n v="2020"/>
    <x v="2"/>
  </r>
  <r>
    <x v="73"/>
    <n v="1000008228"/>
    <s v="借呗12期"/>
    <n v="1"/>
    <n v="5000.7299999999996"/>
    <s v="借呗"/>
    <x v="0"/>
    <x v="1"/>
    <x v="2"/>
    <s v="三组"/>
    <s v="北京三组"/>
    <s v="普通员工"/>
    <n v="5000.7299999999996"/>
    <n v="2020"/>
    <x v="2"/>
  </r>
  <r>
    <x v="73"/>
    <n v="1000008228"/>
    <s v="借呗18期"/>
    <n v="1"/>
    <n v="9000.43"/>
    <s v="借呗"/>
    <x v="2"/>
    <x v="1"/>
    <x v="2"/>
    <s v="三组"/>
    <s v="北京三组"/>
    <s v="普通员工"/>
    <n v="9000.43"/>
    <n v="2020"/>
    <x v="2"/>
  </r>
  <r>
    <x v="73"/>
    <n v="1000008239"/>
    <s v="借呗6期"/>
    <n v="2"/>
    <n v="28001.17"/>
    <s v="借呗"/>
    <x v="1"/>
    <x v="0"/>
    <x v="10"/>
    <s v="一组"/>
    <s v="南京一组"/>
    <s v="管理人员"/>
    <n v="14000.584999999999"/>
    <n v="2020"/>
    <x v="2"/>
  </r>
  <r>
    <x v="73"/>
    <n v="1000008239"/>
    <s v="借呗12期"/>
    <n v="1"/>
    <n v="5000.3900000000003"/>
    <s v="借呗"/>
    <x v="0"/>
    <x v="0"/>
    <x v="10"/>
    <s v="一组"/>
    <s v="南京一组"/>
    <s v="管理人员"/>
    <n v="5000.3900000000003"/>
    <n v="2020"/>
    <x v="2"/>
  </r>
  <r>
    <x v="73"/>
    <n v="1000008957"/>
    <s v="借呗6期"/>
    <n v="1"/>
    <n v="500.2"/>
    <s v="借呗"/>
    <x v="1"/>
    <x v="0"/>
    <x v="3"/>
    <s v="二组"/>
    <s v="上海二组"/>
    <s v="普通员工"/>
    <n v="500.2"/>
    <n v="2020"/>
    <x v="2"/>
  </r>
  <r>
    <x v="73"/>
    <n v="1000009288"/>
    <s v="借呗12期"/>
    <n v="1"/>
    <n v="15000.26"/>
    <s v="借呗"/>
    <x v="0"/>
    <x v="0"/>
    <x v="1"/>
    <s v="二组"/>
    <s v="苏州二组"/>
    <s v="普通员工"/>
    <n v="15000.26"/>
    <n v="2020"/>
    <x v="2"/>
  </r>
  <r>
    <x v="73"/>
    <n v="1000010255"/>
    <s v="借呗12期"/>
    <n v="1"/>
    <n v="3000.03"/>
    <s v="借呗"/>
    <x v="0"/>
    <x v="2"/>
    <x v="6"/>
    <s v="三组"/>
    <s v="广州三组"/>
    <s v="普通员工"/>
    <n v="3000.03"/>
    <n v="2020"/>
    <x v="2"/>
  </r>
  <r>
    <x v="73"/>
    <n v="1000010814"/>
    <s v="借呗12期"/>
    <n v="1"/>
    <n v="10000.700000000001"/>
    <s v="借呗"/>
    <x v="0"/>
    <x v="0"/>
    <x v="10"/>
    <s v="四组"/>
    <s v="南京四组"/>
    <s v="普通员工"/>
    <n v="10000.700000000001"/>
    <n v="2020"/>
    <x v="2"/>
  </r>
  <r>
    <x v="73"/>
    <n v="1000010815"/>
    <s v="借呗12期"/>
    <n v="1"/>
    <n v="10000.290000000001"/>
    <s v="借呗"/>
    <x v="0"/>
    <x v="0"/>
    <x v="10"/>
    <s v="一组"/>
    <s v="南京一组"/>
    <s v="普通员工"/>
    <n v="10000.290000000001"/>
    <n v="2020"/>
    <x v="2"/>
  </r>
  <r>
    <x v="73"/>
    <n v="1000010837"/>
    <s v="借呗12期"/>
    <n v="1"/>
    <n v="20000.36"/>
    <s v="借呗"/>
    <x v="0"/>
    <x v="0"/>
    <x v="10"/>
    <s v="一组"/>
    <s v="南京一组"/>
    <s v="普通员工"/>
    <n v="20000.36"/>
    <n v="2020"/>
    <x v="2"/>
  </r>
  <r>
    <x v="73"/>
    <n v="1000010881"/>
    <s v="借呗6期"/>
    <n v="1"/>
    <n v="13000.16"/>
    <s v="借呗"/>
    <x v="1"/>
    <x v="2"/>
    <x v="6"/>
    <s v="一组"/>
    <s v="广州一组"/>
    <s v="普通员工"/>
    <n v="13000.16"/>
    <n v="2020"/>
    <x v="2"/>
  </r>
  <r>
    <x v="73"/>
    <n v="1000010881"/>
    <s v="借呗12期"/>
    <n v="1"/>
    <n v="20000.55"/>
    <s v="借呗"/>
    <x v="0"/>
    <x v="2"/>
    <x v="6"/>
    <s v="一组"/>
    <s v="广州一组"/>
    <s v="普通员工"/>
    <n v="20000.55"/>
    <n v="2020"/>
    <x v="2"/>
  </r>
  <r>
    <x v="73"/>
    <n v="1000011697"/>
    <s v="借呗6期"/>
    <n v="2"/>
    <n v="22500.489999999998"/>
    <s v="借呗"/>
    <x v="1"/>
    <x v="0"/>
    <x v="3"/>
    <s v="二组"/>
    <s v="上海二组"/>
    <s v="普通员工"/>
    <n v="11250.244999999999"/>
    <n v="2020"/>
    <x v="2"/>
  </r>
  <r>
    <x v="73"/>
    <n v="1000011697"/>
    <s v="借呗18期"/>
    <n v="1"/>
    <n v="9000.61"/>
    <s v="借呗"/>
    <x v="2"/>
    <x v="0"/>
    <x v="3"/>
    <s v="二组"/>
    <s v="上海二组"/>
    <s v="普通员工"/>
    <n v="9000.61"/>
    <n v="2020"/>
    <x v="2"/>
  </r>
  <r>
    <x v="73"/>
    <n v="1000011698"/>
    <s v="借呗18期"/>
    <n v="1"/>
    <n v="13000.06"/>
    <s v="借呗"/>
    <x v="2"/>
    <x v="0"/>
    <x v="3"/>
    <s v="二组"/>
    <s v="上海二组"/>
    <s v="普通员工"/>
    <n v="13000.06"/>
    <n v="2020"/>
    <x v="2"/>
  </r>
  <r>
    <x v="73"/>
    <n v="1000012099"/>
    <s v="借呗6期"/>
    <n v="2"/>
    <n v="21000.52"/>
    <s v="借呗"/>
    <x v="1"/>
    <x v="0"/>
    <x v="0"/>
    <s v="二组"/>
    <s v="杭州二组"/>
    <s v="普通员工"/>
    <n v="10500.26"/>
    <n v="2020"/>
    <x v="2"/>
  </r>
  <r>
    <x v="73"/>
    <n v="1000012099"/>
    <s v="借呗12期"/>
    <n v="3"/>
    <n v="51001.11"/>
    <s v="借呗"/>
    <x v="0"/>
    <x v="0"/>
    <x v="0"/>
    <s v="二组"/>
    <s v="杭州二组"/>
    <s v="普通员工"/>
    <n v="17000.37"/>
    <n v="2020"/>
    <x v="2"/>
  </r>
  <r>
    <x v="73"/>
    <n v="1000012112"/>
    <s v="借呗12期"/>
    <n v="1"/>
    <n v="12000.56"/>
    <s v="借呗"/>
    <x v="0"/>
    <x v="0"/>
    <x v="0"/>
    <s v="三组"/>
    <s v="杭州三组"/>
    <s v="管理人员"/>
    <n v="12000.56"/>
    <n v="2020"/>
    <x v="2"/>
  </r>
  <r>
    <x v="73"/>
    <n v="1000012126"/>
    <s v="借呗12期"/>
    <n v="1"/>
    <n v="20000.29"/>
    <s v="借呗"/>
    <x v="0"/>
    <x v="0"/>
    <x v="0"/>
    <s v="一组"/>
    <s v="杭州一组"/>
    <s v="普通员工"/>
    <n v="20000.29"/>
    <n v="2020"/>
    <x v="2"/>
  </r>
  <r>
    <x v="73"/>
    <n v="1000012234"/>
    <s v="借呗6期"/>
    <n v="1"/>
    <n v="2099.9899999999998"/>
    <s v="借呗"/>
    <x v="1"/>
    <x v="0"/>
    <x v="1"/>
    <s v="一组"/>
    <s v="苏州一组"/>
    <s v="普通员工"/>
    <n v="2099.9899999999998"/>
    <n v="2020"/>
    <x v="2"/>
  </r>
  <r>
    <x v="73"/>
    <n v="1000012234"/>
    <s v="借呗12期"/>
    <n v="1"/>
    <n v="17000.11"/>
    <s v="借呗"/>
    <x v="0"/>
    <x v="0"/>
    <x v="1"/>
    <s v="一组"/>
    <s v="苏州一组"/>
    <s v="普通员工"/>
    <n v="17000.11"/>
    <n v="2020"/>
    <x v="2"/>
  </r>
  <r>
    <x v="73"/>
    <n v="1000012446"/>
    <s v="借呗12期"/>
    <n v="1"/>
    <n v="6500.2"/>
    <s v="借呗"/>
    <x v="0"/>
    <x v="1"/>
    <x v="2"/>
    <s v="三组"/>
    <s v="北京三组"/>
    <s v="普通员工"/>
    <n v="6500.2"/>
    <n v="2020"/>
    <x v="2"/>
  </r>
  <r>
    <x v="73"/>
    <n v="1000012675"/>
    <s v="借呗12期"/>
    <n v="2"/>
    <n v="25000.39"/>
    <s v="借呗"/>
    <x v="0"/>
    <x v="0"/>
    <x v="3"/>
    <s v="一组"/>
    <s v="上海一组"/>
    <s v="普通员工"/>
    <n v="12500.195"/>
    <n v="2020"/>
    <x v="2"/>
  </r>
  <r>
    <x v="73"/>
    <n v="1000013535"/>
    <s v="借呗6期"/>
    <n v="1"/>
    <n v="8000.6"/>
    <s v="借呗"/>
    <x v="1"/>
    <x v="2"/>
    <x v="6"/>
    <s v="三组"/>
    <s v="广州三组"/>
    <s v="普通员工"/>
    <n v="8000.6"/>
    <n v="2020"/>
    <x v="2"/>
  </r>
  <r>
    <x v="73"/>
    <n v="1000014037"/>
    <s v="借呗6期"/>
    <n v="1"/>
    <n v="10000.709999999999"/>
    <s v="借呗"/>
    <x v="1"/>
    <x v="0"/>
    <x v="1"/>
    <s v="三组"/>
    <s v="苏州三组"/>
    <s v="普通员工"/>
    <n v="10000.709999999999"/>
    <n v="2020"/>
    <x v="2"/>
  </r>
  <r>
    <x v="73"/>
    <n v="1000014291"/>
    <s v="借呗18期"/>
    <n v="3"/>
    <n v="46000.53"/>
    <s v="借呗"/>
    <x v="2"/>
    <x v="2"/>
    <x v="6"/>
    <s v="二组"/>
    <s v="广州二组"/>
    <s v="管理人员"/>
    <n v="15333.51"/>
    <n v="2020"/>
    <x v="2"/>
  </r>
  <r>
    <x v="73"/>
    <n v="1000014530"/>
    <s v="借呗12期"/>
    <n v="1"/>
    <n v="17000.71"/>
    <s v="借呗"/>
    <x v="0"/>
    <x v="2"/>
    <x v="11"/>
    <s v="一组"/>
    <s v="南宁一组"/>
    <s v="普通员工"/>
    <n v="17000.71"/>
    <n v="2020"/>
    <x v="2"/>
  </r>
  <r>
    <x v="73"/>
    <n v="1000014572"/>
    <s v="借呗6期"/>
    <n v="1"/>
    <n v="6000.23"/>
    <s v="借呗"/>
    <x v="1"/>
    <x v="0"/>
    <x v="3"/>
    <s v="一组"/>
    <s v="上海一组"/>
    <s v="普通员工"/>
    <n v="6000.23"/>
    <n v="2020"/>
    <x v="2"/>
  </r>
  <r>
    <x v="73"/>
    <n v="1000014572"/>
    <s v="借呗12期"/>
    <n v="2"/>
    <n v="36001.14"/>
    <s v="借呗"/>
    <x v="0"/>
    <x v="0"/>
    <x v="3"/>
    <s v="一组"/>
    <s v="上海一组"/>
    <s v="普通员工"/>
    <n v="18000.57"/>
    <n v="2020"/>
    <x v="2"/>
  </r>
  <r>
    <x v="73"/>
    <n v="1000014996"/>
    <s v="借呗12期"/>
    <n v="1"/>
    <n v="5000.2700000000004"/>
    <s v="借呗"/>
    <x v="0"/>
    <x v="1"/>
    <x v="8"/>
    <s v="一组"/>
    <s v="西安一组"/>
    <s v="普通员工"/>
    <n v="5000.2700000000004"/>
    <n v="2020"/>
    <x v="2"/>
  </r>
  <r>
    <x v="73"/>
    <n v="1000015013"/>
    <s v="借呗6期"/>
    <n v="1"/>
    <n v="10000.43"/>
    <s v="借呗"/>
    <x v="1"/>
    <x v="0"/>
    <x v="0"/>
    <s v="一组"/>
    <s v="杭州一组"/>
    <s v="普通员工"/>
    <n v="10000.43"/>
    <n v="2020"/>
    <x v="2"/>
  </r>
  <r>
    <x v="74"/>
    <n v="1000000028"/>
    <s v="借呗18期"/>
    <n v="1"/>
    <n v="1100.33"/>
    <s v="借呗"/>
    <x v="2"/>
    <x v="0"/>
    <x v="0"/>
    <s v="二组"/>
    <s v="杭州二组"/>
    <s v="普通员工"/>
    <n v="1100.33"/>
    <n v="2020"/>
    <x v="2"/>
  </r>
  <r>
    <x v="74"/>
    <n v="1000000029"/>
    <s v="借呗12期"/>
    <n v="2"/>
    <n v="9504.6299999999992"/>
    <s v="借呗"/>
    <x v="0"/>
    <x v="0"/>
    <x v="0"/>
    <s v="二组"/>
    <s v="杭州二组"/>
    <s v="普通员工"/>
    <n v="4752.3149999999996"/>
    <n v="2020"/>
    <x v="2"/>
  </r>
  <r>
    <x v="74"/>
    <n v="1000000030"/>
    <s v="借呗6期"/>
    <n v="2"/>
    <n v="18001.18"/>
    <s v="借呗"/>
    <x v="1"/>
    <x v="2"/>
    <x v="6"/>
    <s v="三组"/>
    <s v="广州三组"/>
    <s v="普通员工"/>
    <n v="9000.59"/>
    <n v="2020"/>
    <x v="2"/>
  </r>
  <r>
    <x v="74"/>
    <n v="1000000030"/>
    <s v="借呗18期"/>
    <n v="1"/>
    <n v="6000.44"/>
    <s v="借呗"/>
    <x v="2"/>
    <x v="2"/>
    <x v="6"/>
    <s v="三组"/>
    <s v="广州三组"/>
    <s v="普通员工"/>
    <n v="6000.44"/>
    <n v="2020"/>
    <x v="2"/>
  </r>
  <r>
    <x v="74"/>
    <n v="1000000031"/>
    <s v="借呗6期"/>
    <n v="1"/>
    <n v="12000.13"/>
    <s v="借呗"/>
    <x v="1"/>
    <x v="0"/>
    <x v="0"/>
    <s v="一组"/>
    <s v="杭州一组"/>
    <s v="管理人员"/>
    <n v="12000.13"/>
    <n v="2020"/>
    <x v="2"/>
  </r>
  <r>
    <x v="74"/>
    <n v="1000000031"/>
    <s v="借呗12期"/>
    <n v="1"/>
    <n v="22000.42"/>
    <s v="借呗"/>
    <x v="0"/>
    <x v="0"/>
    <x v="0"/>
    <s v="一组"/>
    <s v="杭州一组"/>
    <s v="管理人员"/>
    <n v="22000.42"/>
    <n v="2020"/>
    <x v="2"/>
  </r>
  <r>
    <x v="74"/>
    <n v="1000000032"/>
    <s v="借呗6期"/>
    <n v="2"/>
    <n v="26000.82"/>
    <s v="借呗"/>
    <x v="1"/>
    <x v="0"/>
    <x v="1"/>
    <s v="一组"/>
    <s v="苏州一组"/>
    <s v="管理人员"/>
    <n v="13000.41"/>
    <n v="2020"/>
    <x v="2"/>
  </r>
  <r>
    <x v="74"/>
    <n v="1000000033"/>
    <s v="借呗12期"/>
    <n v="1"/>
    <n v="15000.22"/>
    <s v="借呗"/>
    <x v="0"/>
    <x v="0"/>
    <x v="1"/>
    <s v="一组"/>
    <s v="苏州一组"/>
    <s v="普通员工"/>
    <n v="15000.22"/>
    <n v="2020"/>
    <x v="2"/>
  </r>
  <r>
    <x v="74"/>
    <n v="1000000033"/>
    <s v="借呗18期"/>
    <n v="1"/>
    <n v="500.35"/>
    <s v="借呗"/>
    <x v="2"/>
    <x v="0"/>
    <x v="1"/>
    <s v="一组"/>
    <s v="苏州一组"/>
    <s v="普通员工"/>
    <n v="500.35"/>
    <n v="2020"/>
    <x v="2"/>
  </r>
  <r>
    <x v="74"/>
    <n v="1000000034"/>
    <s v="借呗12期"/>
    <n v="2"/>
    <n v="17000.579999999998"/>
    <s v="借呗"/>
    <x v="0"/>
    <x v="0"/>
    <x v="1"/>
    <s v="一组"/>
    <s v="苏州一组"/>
    <s v="普通员工"/>
    <n v="8500.2899999999991"/>
    <n v="2020"/>
    <x v="2"/>
  </r>
  <r>
    <x v="74"/>
    <n v="1000000035"/>
    <s v="借呗12期"/>
    <n v="1"/>
    <n v="3000.51"/>
    <s v="借呗"/>
    <x v="0"/>
    <x v="0"/>
    <x v="1"/>
    <s v="三组"/>
    <s v="苏州三组"/>
    <s v="普通员工"/>
    <n v="3000.51"/>
    <n v="2020"/>
    <x v="2"/>
  </r>
  <r>
    <x v="74"/>
    <n v="1000000036"/>
    <s v="借呗6期"/>
    <n v="1"/>
    <n v="12000.36"/>
    <s v="借呗"/>
    <x v="1"/>
    <x v="2"/>
    <x v="6"/>
    <s v="三组"/>
    <s v="广州三组"/>
    <s v="管理人员"/>
    <n v="12000.36"/>
    <n v="2020"/>
    <x v="2"/>
  </r>
  <r>
    <x v="74"/>
    <n v="1000000037"/>
    <s v="借呗6期"/>
    <n v="1"/>
    <n v="989.16"/>
    <s v="借呗"/>
    <x v="1"/>
    <x v="0"/>
    <x v="0"/>
    <s v="二组"/>
    <s v="杭州二组"/>
    <s v="普通员工"/>
    <n v="989.16"/>
    <n v="2020"/>
    <x v="2"/>
  </r>
  <r>
    <x v="74"/>
    <n v="1000000037"/>
    <s v="借呗12期"/>
    <n v="1"/>
    <n v="11000.07"/>
    <s v="借呗"/>
    <x v="0"/>
    <x v="0"/>
    <x v="0"/>
    <s v="二组"/>
    <s v="杭州二组"/>
    <s v="普通员工"/>
    <n v="11000.07"/>
    <n v="2020"/>
    <x v="2"/>
  </r>
  <r>
    <x v="74"/>
    <n v="1000000039"/>
    <s v="借呗6期"/>
    <n v="1"/>
    <n v="1500.67"/>
    <s v="借呗"/>
    <x v="1"/>
    <x v="0"/>
    <x v="1"/>
    <s v="二组"/>
    <s v="苏州二组"/>
    <s v="管理人员"/>
    <n v="1500.67"/>
    <n v="2020"/>
    <x v="2"/>
  </r>
  <r>
    <x v="74"/>
    <n v="1000000040"/>
    <s v="借呗6期"/>
    <n v="1"/>
    <n v="14000.75"/>
    <s v="借呗"/>
    <x v="1"/>
    <x v="1"/>
    <x v="2"/>
    <s v="四组"/>
    <s v="北京四组"/>
    <s v="管理人员"/>
    <n v="14000.75"/>
    <n v="2020"/>
    <x v="2"/>
  </r>
  <r>
    <x v="74"/>
    <n v="1000000041"/>
    <s v="借呗6期"/>
    <n v="1"/>
    <n v="20000.36"/>
    <s v="借呗"/>
    <x v="1"/>
    <x v="1"/>
    <x v="2"/>
    <s v="四组"/>
    <s v="北京四组"/>
    <s v="普通员工"/>
    <n v="20000.36"/>
    <n v="2020"/>
    <x v="2"/>
  </r>
  <r>
    <x v="74"/>
    <n v="1000000043"/>
    <s v="借呗12期"/>
    <n v="1"/>
    <n v="10000.57"/>
    <s v="借呗"/>
    <x v="0"/>
    <x v="1"/>
    <x v="4"/>
    <s v="一组"/>
    <s v="成都一组"/>
    <s v="普通员工"/>
    <n v="10000.57"/>
    <n v="2020"/>
    <x v="2"/>
  </r>
  <r>
    <x v="74"/>
    <n v="1000000045"/>
    <s v="借呗6期"/>
    <n v="3"/>
    <n v="50000.3"/>
    <s v="借呗"/>
    <x v="1"/>
    <x v="2"/>
    <x v="9"/>
    <s v="一组"/>
    <s v="深圳一组"/>
    <s v="普通员工"/>
    <n v="16666.766666666666"/>
    <n v="2020"/>
    <x v="2"/>
  </r>
  <r>
    <x v="74"/>
    <n v="1000000046"/>
    <s v="借呗6期"/>
    <n v="1"/>
    <n v="25000.66"/>
    <s v="借呗"/>
    <x v="1"/>
    <x v="1"/>
    <x v="4"/>
    <s v="一组"/>
    <s v="成都一组"/>
    <s v="普通员工"/>
    <n v="25000.66"/>
    <n v="2020"/>
    <x v="2"/>
  </r>
  <r>
    <x v="74"/>
    <n v="1000000046"/>
    <s v="借呗18期"/>
    <n v="1"/>
    <n v="2000.22"/>
    <s v="借呗"/>
    <x v="2"/>
    <x v="1"/>
    <x v="4"/>
    <s v="一组"/>
    <s v="成都一组"/>
    <s v="普通员工"/>
    <n v="2000.22"/>
    <n v="2020"/>
    <x v="2"/>
  </r>
  <r>
    <x v="74"/>
    <n v="1000000054"/>
    <s v="借呗6期"/>
    <n v="1"/>
    <n v="999.99"/>
    <s v="借呗"/>
    <x v="1"/>
    <x v="0"/>
    <x v="3"/>
    <s v="一组"/>
    <s v="上海一组"/>
    <s v="普通员工"/>
    <n v="999.99"/>
    <n v="2020"/>
    <x v="2"/>
  </r>
  <r>
    <x v="74"/>
    <n v="1000000054"/>
    <s v="借呗12期"/>
    <n v="2"/>
    <n v="26000.760000000002"/>
    <s v="借呗"/>
    <x v="0"/>
    <x v="0"/>
    <x v="3"/>
    <s v="一组"/>
    <s v="上海一组"/>
    <s v="普通员工"/>
    <n v="13000.380000000001"/>
    <n v="2020"/>
    <x v="2"/>
  </r>
  <r>
    <x v="74"/>
    <n v="1000000056"/>
    <s v="借呗6期"/>
    <n v="2"/>
    <n v="17000.57"/>
    <s v="借呗"/>
    <x v="1"/>
    <x v="0"/>
    <x v="3"/>
    <s v="一组"/>
    <s v="上海一组"/>
    <s v="管理人员"/>
    <n v="8500.2849999999999"/>
    <n v="2020"/>
    <x v="2"/>
  </r>
  <r>
    <x v="74"/>
    <n v="1000000056"/>
    <s v="借呗12期"/>
    <n v="1"/>
    <n v="8999.94"/>
    <s v="借呗"/>
    <x v="0"/>
    <x v="0"/>
    <x v="3"/>
    <s v="一组"/>
    <s v="上海一组"/>
    <s v="管理人员"/>
    <n v="8999.94"/>
    <n v="2020"/>
    <x v="2"/>
  </r>
  <r>
    <x v="74"/>
    <n v="1000000056"/>
    <s v="借呗18期"/>
    <n v="1"/>
    <n v="7000.01"/>
    <s v="借呗"/>
    <x v="2"/>
    <x v="0"/>
    <x v="3"/>
    <s v="一组"/>
    <s v="上海一组"/>
    <s v="管理人员"/>
    <n v="7000.01"/>
    <n v="2020"/>
    <x v="2"/>
  </r>
  <r>
    <x v="74"/>
    <n v="1000000060"/>
    <s v="借呗18期"/>
    <n v="1"/>
    <n v="1228.18"/>
    <s v="借呗"/>
    <x v="2"/>
    <x v="0"/>
    <x v="5"/>
    <s v="一组"/>
    <s v="合肥一组"/>
    <s v="普通员工"/>
    <n v="1228.18"/>
    <n v="2020"/>
    <x v="2"/>
  </r>
  <r>
    <x v="74"/>
    <n v="1000000067"/>
    <s v="借呗6期"/>
    <n v="3"/>
    <n v="25500.18"/>
    <s v="借呗"/>
    <x v="1"/>
    <x v="0"/>
    <x v="1"/>
    <s v="二组"/>
    <s v="苏州二组"/>
    <s v="普通员工"/>
    <n v="8500.06"/>
    <n v="2020"/>
    <x v="2"/>
  </r>
  <r>
    <x v="74"/>
    <n v="1000000067"/>
    <s v="借呗18期"/>
    <n v="1"/>
    <n v="1113.56"/>
    <s v="借呗"/>
    <x v="2"/>
    <x v="0"/>
    <x v="1"/>
    <s v="二组"/>
    <s v="苏州二组"/>
    <s v="普通员工"/>
    <n v="1113.56"/>
    <n v="2020"/>
    <x v="2"/>
  </r>
  <r>
    <x v="74"/>
    <n v="1000000068"/>
    <s v="借呗12期"/>
    <n v="2"/>
    <n v="23000.09"/>
    <s v="借呗"/>
    <x v="0"/>
    <x v="1"/>
    <x v="7"/>
    <s v="一组"/>
    <s v="重庆一组"/>
    <s v="管理人员"/>
    <n v="11500.045"/>
    <n v="2020"/>
    <x v="2"/>
  </r>
  <r>
    <x v="74"/>
    <n v="1000000104"/>
    <s v="借呗18期"/>
    <n v="1"/>
    <n v="17000.73"/>
    <s v="借呗"/>
    <x v="2"/>
    <x v="0"/>
    <x v="5"/>
    <s v="一组"/>
    <s v="合肥一组"/>
    <s v="普通员工"/>
    <n v="17000.73"/>
    <n v="2020"/>
    <x v="2"/>
  </r>
  <r>
    <x v="74"/>
    <n v="1000000237"/>
    <s v="借呗6期"/>
    <n v="1"/>
    <n v="500.36"/>
    <s v="借呗"/>
    <x v="1"/>
    <x v="0"/>
    <x v="5"/>
    <s v="一组"/>
    <s v="合肥一组"/>
    <s v="普通员工"/>
    <n v="500.36"/>
    <n v="2020"/>
    <x v="2"/>
  </r>
  <r>
    <x v="74"/>
    <n v="1000000566"/>
    <s v="借呗6期"/>
    <n v="2"/>
    <n v="30000.449999999997"/>
    <s v="借呗"/>
    <x v="1"/>
    <x v="2"/>
    <x v="6"/>
    <s v="三组"/>
    <s v="广州三组"/>
    <s v="普通员工"/>
    <n v="15000.224999999999"/>
    <n v="2020"/>
    <x v="2"/>
  </r>
  <r>
    <x v="74"/>
    <n v="1000000576"/>
    <s v="借呗6期"/>
    <n v="1"/>
    <n v="2396.0300000000002"/>
    <s v="借呗"/>
    <x v="1"/>
    <x v="0"/>
    <x v="1"/>
    <s v="三组"/>
    <s v="苏州三组"/>
    <s v="普通员工"/>
    <n v="2396.0300000000002"/>
    <n v="2020"/>
    <x v="2"/>
  </r>
  <r>
    <x v="74"/>
    <n v="1000000594"/>
    <s v="借呗12期"/>
    <n v="1"/>
    <n v="22000.720000000001"/>
    <s v="借呗"/>
    <x v="0"/>
    <x v="0"/>
    <x v="1"/>
    <s v="二组"/>
    <s v="苏州二组"/>
    <s v="普通员工"/>
    <n v="22000.720000000001"/>
    <n v="2020"/>
    <x v="2"/>
  </r>
  <r>
    <x v="74"/>
    <n v="1000000594"/>
    <s v="借呗18期"/>
    <n v="1"/>
    <n v="11000.18"/>
    <s v="借呗"/>
    <x v="2"/>
    <x v="0"/>
    <x v="1"/>
    <s v="二组"/>
    <s v="苏州二组"/>
    <s v="普通员工"/>
    <n v="11000.18"/>
    <n v="2020"/>
    <x v="2"/>
  </r>
  <r>
    <x v="74"/>
    <n v="1000000928"/>
    <s v="借呗12期"/>
    <n v="1"/>
    <n v="1715.4"/>
    <s v="借呗"/>
    <x v="0"/>
    <x v="1"/>
    <x v="8"/>
    <s v="一组"/>
    <s v="西安一组"/>
    <s v="普通员工"/>
    <n v="1715.4"/>
    <n v="2020"/>
    <x v="2"/>
  </r>
  <r>
    <x v="74"/>
    <n v="1000001513"/>
    <s v="借呗18期"/>
    <n v="1"/>
    <n v="2799.6"/>
    <s v="借呗"/>
    <x v="2"/>
    <x v="0"/>
    <x v="3"/>
    <s v="二组"/>
    <s v="上海二组"/>
    <s v="普通员工"/>
    <n v="2799.6"/>
    <n v="2020"/>
    <x v="2"/>
  </r>
  <r>
    <x v="74"/>
    <n v="1000001524"/>
    <s v="借呗6期"/>
    <n v="2"/>
    <n v="23000.76"/>
    <s v="借呗"/>
    <x v="1"/>
    <x v="0"/>
    <x v="1"/>
    <s v="二组"/>
    <s v="苏州二组"/>
    <s v="普通员工"/>
    <n v="11500.38"/>
    <n v="2020"/>
    <x v="2"/>
  </r>
  <r>
    <x v="74"/>
    <n v="1000003489"/>
    <s v="借呗12期"/>
    <n v="2"/>
    <n v="50000.75"/>
    <s v="借呗"/>
    <x v="0"/>
    <x v="2"/>
    <x v="6"/>
    <s v="一组"/>
    <s v="广州一组"/>
    <s v="普通员工"/>
    <n v="25000.375"/>
    <n v="2020"/>
    <x v="2"/>
  </r>
  <r>
    <x v="74"/>
    <n v="1000003803"/>
    <s v="借呗12期"/>
    <n v="1"/>
    <n v="10000.530000000001"/>
    <s v="借呗"/>
    <x v="0"/>
    <x v="1"/>
    <x v="2"/>
    <s v="三组"/>
    <s v="北京三组"/>
    <s v="普通员工"/>
    <n v="10000.530000000001"/>
    <n v="2020"/>
    <x v="2"/>
  </r>
  <r>
    <x v="74"/>
    <n v="1000003926"/>
    <s v="借呗6期"/>
    <n v="5"/>
    <n v="51053.95"/>
    <s v="借呗"/>
    <x v="1"/>
    <x v="2"/>
    <x v="6"/>
    <s v="一组"/>
    <s v="广州一组"/>
    <s v="管理人员"/>
    <n v="10210.789999999999"/>
    <n v="2020"/>
    <x v="2"/>
  </r>
  <r>
    <x v="74"/>
    <n v="1000003989"/>
    <s v="借呗6期"/>
    <n v="2"/>
    <n v="8501.32"/>
    <s v="借呗"/>
    <x v="1"/>
    <x v="1"/>
    <x v="2"/>
    <s v="三组"/>
    <s v="北京三组"/>
    <s v="普通员工"/>
    <n v="4250.66"/>
    <n v="2020"/>
    <x v="2"/>
  </r>
  <r>
    <x v="74"/>
    <n v="1000003989"/>
    <s v="借呗12期"/>
    <n v="1"/>
    <n v="25000.45"/>
    <s v="借呗"/>
    <x v="0"/>
    <x v="1"/>
    <x v="2"/>
    <s v="三组"/>
    <s v="北京三组"/>
    <s v="普通员工"/>
    <n v="25000.45"/>
    <n v="2020"/>
    <x v="2"/>
  </r>
  <r>
    <x v="74"/>
    <n v="1000004170"/>
    <s v="借呗6期"/>
    <n v="3"/>
    <n v="32000.799999999999"/>
    <s v="借呗"/>
    <x v="1"/>
    <x v="0"/>
    <x v="3"/>
    <s v="二组"/>
    <s v="上海二组"/>
    <s v="管理人员"/>
    <n v="10666.933333333332"/>
    <n v="2020"/>
    <x v="2"/>
  </r>
  <r>
    <x v="74"/>
    <n v="1000004170"/>
    <s v="借呗12期"/>
    <n v="1"/>
    <n v="18000.150000000001"/>
    <s v="借呗"/>
    <x v="0"/>
    <x v="0"/>
    <x v="3"/>
    <s v="二组"/>
    <s v="上海二组"/>
    <s v="管理人员"/>
    <n v="18000.150000000001"/>
    <n v="2020"/>
    <x v="2"/>
  </r>
  <r>
    <x v="74"/>
    <n v="1000004256"/>
    <s v="借呗12期"/>
    <n v="1"/>
    <n v="15000.43"/>
    <s v="借呗"/>
    <x v="0"/>
    <x v="0"/>
    <x v="5"/>
    <s v="一组"/>
    <s v="合肥一组"/>
    <s v="普通员工"/>
    <n v="15000.43"/>
    <n v="2020"/>
    <x v="2"/>
  </r>
  <r>
    <x v="74"/>
    <n v="1000004256"/>
    <s v="借呗18期"/>
    <n v="1"/>
    <n v="2199.9899999999998"/>
    <s v="借呗"/>
    <x v="2"/>
    <x v="0"/>
    <x v="5"/>
    <s v="一组"/>
    <s v="合肥一组"/>
    <s v="普通员工"/>
    <n v="2199.9899999999998"/>
    <n v="2020"/>
    <x v="2"/>
  </r>
  <r>
    <x v="74"/>
    <n v="1000005873"/>
    <s v="借呗6期"/>
    <n v="3"/>
    <n v="25300.95"/>
    <s v="借呗"/>
    <x v="1"/>
    <x v="0"/>
    <x v="0"/>
    <s v="二组"/>
    <s v="杭州二组"/>
    <s v="管理人员"/>
    <n v="8433.65"/>
    <n v="2020"/>
    <x v="2"/>
  </r>
  <r>
    <x v="74"/>
    <n v="1000005873"/>
    <s v="借呗12期"/>
    <n v="1"/>
    <n v="1160.56"/>
    <s v="借呗"/>
    <x v="0"/>
    <x v="0"/>
    <x v="0"/>
    <s v="二组"/>
    <s v="杭州二组"/>
    <s v="管理人员"/>
    <n v="1160.56"/>
    <n v="2020"/>
    <x v="2"/>
  </r>
  <r>
    <x v="74"/>
    <n v="1000005873"/>
    <s v="借呗18期"/>
    <n v="1"/>
    <n v="25000.31"/>
    <s v="借呗"/>
    <x v="2"/>
    <x v="0"/>
    <x v="0"/>
    <s v="二组"/>
    <s v="杭州二组"/>
    <s v="管理人员"/>
    <n v="25000.31"/>
    <n v="2020"/>
    <x v="2"/>
  </r>
  <r>
    <x v="74"/>
    <n v="1000006064"/>
    <s v="借呗12期"/>
    <n v="1"/>
    <n v="1000.69"/>
    <s v="借呗"/>
    <x v="0"/>
    <x v="0"/>
    <x v="5"/>
    <s v="一组"/>
    <s v="合肥一组"/>
    <s v="普通员工"/>
    <n v="1000.69"/>
    <n v="2020"/>
    <x v="2"/>
  </r>
  <r>
    <x v="74"/>
    <n v="1000006698"/>
    <s v="借呗12期"/>
    <n v="2"/>
    <n v="33000.74"/>
    <s v="借呗"/>
    <x v="0"/>
    <x v="1"/>
    <x v="4"/>
    <s v="一组"/>
    <s v="成都一组"/>
    <s v="管理人员"/>
    <n v="16500.37"/>
    <n v="2020"/>
    <x v="2"/>
  </r>
  <r>
    <x v="74"/>
    <n v="1000006698"/>
    <s v="借呗18期"/>
    <n v="1"/>
    <n v="10000.19"/>
    <s v="借呗"/>
    <x v="2"/>
    <x v="1"/>
    <x v="4"/>
    <s v="一组"/>
    <s v="成都一组"/>
    <s v="管理人员"/>
    <n v="10000.19"/>
    <n v="2020"/>
    <x v="2"/>
  </r>
  <r>
    <x v="74"/>
    <n v="1000006867"/>
    <s v="借呗6期"/>
    <n v="1"/>
    <n v="20000.189999999999"/>
    <s v="借呗"/>
    <x v="1"/>
    <x v="0"/>
    <x v="10"/>
    <s v="一组"/>
    <s v="南京一组"/>
    <s v="普通员工"/>
    <n v="20000.189999999999"/>
    <n v="2020"/>
    <x v="2"/>
  </r>
  <r>
    <x v="74"/>
    <n v="1000006867"/>
    <s v="借呗12期"/>
    <n v="1"/>
    <n v="8000.53"/>
    <s v="借呗"/>
    <x v="0"/>
    <x v="0"/>
    <x v="10"/>
    <s v="一组"/>
    <s v="南京一组"/>
    <s v="普通员工"/>
    <n v="8000.53"/>
    <n v="2020"/>
    <x v="2"/>
  </r>
  <r>
    <x v="74"/>
    <n v="1000006867"/>
    <s v="借呗18期"/>
    <n v="1"/>
    <n v="13000.05"/>
    <s v="借呗"/>
    <x v="2"/>
    <x v="0"/>
    <x v="10"/>
    <s v="一组"/>
    <s v="南京一组"/>
    <s v="普通员工"/>
    <n v="13000.05"/>
    <n v="2020"/>
    <x v="2"/>
  </r>
  <r>
    <x v="74"/>
    <n v="1000008239"/>
    <s v="借呗6期"/>
    <n v="1"/>
    <n v="18000.669999999998"/>
    <s v="借呗"/>
    <x v="1"/>
    <x v="0"/>
    <x v="10"/>
    <s v="一组"/>
    <s v="南京一组"/>
    <s v="管理人员"/>
    <n v="18000.669999999998"/>
    <n v="2020"/>
    <x v="2"/>
  </r>
  <r>
    <x v="74"/>
    <n v="1000008239"/>
    <s v="借呗12期"/>
    <n v="1"/>
    <n v="20000.47"/>
    <s v="借呗"/>
    <x v="0"/>
    <x v="0"/>
    <x v="10"/>
    <s v="一组"/>
    <s v="南京一组"/>
    <s v="管理人员"/>
    <n v="20000.47"/>
    <n v="2020"/>
    <x v="2"/>
  </r>
  <r>
    <x v="74"/>
    <n v="1000008542"/>
    <s v="借呗12期"/>
    <n v="1"/>
    <n v="500.76"/>
    <s v="借呗"/>
    <x v="0"/>
    <x v="0"/>
    <x v="5"/>
    <s v="一组"/>
    <s v="合肥一组"/>
    <s v="普通员工"/>
    <n v="500.76"/>
    <n v="2020"/>
    <x v="2"/>
  </r>
  <r>
    <x v="74"/>
    <n v="1000010814"/>
    <s v="借呗18期"/>
    <n v="1"/>
    <n v="5000.3"/>
    <s v="借呗"/>
    <x v="2"/>
    <x v="0"/>
    <x v="10"/>
    <s v="四组"/>
    <s v="南京四组"/>
    <s v="普通员工"/>
    <n v="5000.3"/>
    <n v="2020"/>
    <x v="2"/>
  </r>
  <r>
    <x v="74"/>
    <n v="1000010815"/>
    <s v="借呗12期"/>
    <n v="1"/>
    <n v="5000.04"/>
    <s v="借呗"/>
    <x v="0"/>
    <x v="0"/>
    <x v="10"/>
    <s v="一组"/>
    <s v="南京一组"/>
    <s v="普通员工"/>
    <n v="5000.04"/>
    <n v="2020"/>
    <x v="2"/>
  </r>
  <r>
    <x v="74"/>
    <n v="1000010881"/>
    <s v="借呗12期"/>
    <n v="1"/>
    <n v="17000.080000000002"/>
    <s v="借呗"/>
    <x v="0"/>
    <x v="2"/>
    <x v="6"/>
    <s v="一组"/>
    <s v="广州一组"/>
    <s v="普通员工"/>
    <n v="17000.080000000002"/>
    <n v="2020"/>
    <x v="2"/>
  </r>
  <r>
    <x v="74"/>
    <n v="1000011697"/>
    <s v="借呗6期"/>
    <n v="1"/>
    <n v="16000.64"/>
    <s v="借呗"/>
    <x v="1"/>
    <x v="0"/>
    <x v="3"/>
    <s v="二组"/>
    <s v="上海二组"/>
    <s v="普通员工"/>
    <n v="16000.64"/>
    <n v="2020"/>
    <x v="2"/>
  </r>
  <r>
    <x v="74"/>
    <n v="1000012099"/>
    <s v="借呗6期"/>
    <n v="2"/>
    <n v="33001.31"/>
    <s v="借呗"/>
    <x v="1"/>
    <x v="0"/>
    <x v="0"/>
    <s v="二组"/>
    <s v="杭州二组"/>
    <s v="普通员工"/>
    <n v="16500.654999999999"/>
    <n v="2020"/>
    <x v="2"/>
  </r>
  <r>
    <x v="74"/>
    <n v="1000012099"/>
    <s v="借呗12期"/>
    <n v="4"/>
    <n v="62000.67"/>
    <s v="借呗"/>
    <x v="0"/>
    <x v="0"/>
    <x v="0"/>
    <s v="二组"/>
    <s v="杭州二组"/>
    <s v="普通员工"/>
    <n v="15500.1675"/>
    <n v="2020"/>
    <x v="2"/>
  </r>
  <r>
    <x v="74"/>
    <n v="1000012112"/>
    <s v="借呗6期"/>
    <n v="4"/>
    <n v="41901.68"/>
    <s v="借呗"/>
    <x v="1"/>
    <x v="0"/>
    <x v="0"/>
    <s v="三组"/>
    <s v="杭州三组"/>
    <s v="管理人员"/>
    <n v="10475.42"/>
    <n v="2020"/>
    <x v="2"/>
  </r>
  <r>
    <x v="74"/>
    <n v="1000012124"/>
    <s v="借呗6期"/>
    <n v="1"/>
    <n v="18000.080000000002"/>
    <s v="借呗"/>
    <x v="1"/>
    <x v="0"/>
    <x v="0"/>
    <s v="一组"/>
    <s v="杭州一组"/>
    <s v="普通员工"/>
    <n v="18000.080000000002"/>
    <n v="2020"/>
    <x v="2"/>
  </r>
  <r>
    <x v="74"/>
    <n v="1000012124"/>
    <s v="借呗12期"/>
    <n v="1"/>
    <n v="20000.25"/>
    <s v="借呗"/>
    <x v="0"/>
    <x v="0"/>
    <x v="0"/>
    <s v="一组"/>
    <s v="杭州一组"/>
    <s v="普通员工"/>
    <n v="20000.25"/>
    <n v="2020"/>
    <x v="2"/>
  </r>
  <r>
    <x v="74"/>
    <n v="1000012126"/>
    <s v="借呗12期"/>
    <n v="1"/>
    <n v="15000.39"/>
    <s v="借呗"/>
    <x v="0"/>
    <x v="0"/>
    <x v="0"/>
    <s v="一组"/>
    <s v="杭州一组"/>
    <s v="普通员工"/>
    <n v="15000.39"/>
    <n v="2020"/>
    <x v="2"/>
  </r>
  <r>
    <x v="74"/>
    <n v="1000012234"/>
    <s v="借呗6期"/>
    <n v="1"/>
    <n v="14000.59"/>
    <s v="借呗"/>
    <x v="1"/>
    <x v="0"/>
    <x v="1"/>
    <s v="一组"/>
    <s v="苏州一组"/>
    <s v="普通员工"/>
    <n v="14000.59"/>
    <n v="2020"/>
    <x v="2"/>
  </r>
  <r>
    <x v="74"/>
    <n v="1000012234"/>
    <s v="借呗12期"/>
    <n v="1"/>
    <n v="5000.04"/>
    <s v="借呗"/>
    <x v="0"/>
    <x v="0"/>
    <x v="1"/>
    <s v="一组"/>
    <s v="苏州一组"/>
    <s v="普通员工"/>
    <n v="5000.04"/>
    <n v="2020"/>
    <x v="2"/>
  </r>
  <r>
    <x v="74"/>
    <n v="1000012446"/>
    <s v="借呗12期"/>
    <n v="1"/>
    <n v="20000.64"/>
    <s v="借呗"/>
    <x v="0"/>
    <x v="1"/>
    <x v="2"/>
    <s v="三组"/>
    <s v="北京三组"/>
    <s v="普通员工"/>
    <n v="20000.64"/>
    <n v="2020"/>
    <x v="2"/>
  </r>
  <r>
    <x v="74"/>
    <n v="1000012675"/>
    <s v="借呗6期"/>
    <n v="1"/>
    <n v="7000.21"/>
    <s v="借呗"/>
    <x v="1"/>
    <x v="0"/>
    <x v="3"/>
    <s v="一组"/>
    <s v="上海一组"/>
    <s v="普通员工"/>
    <n v="7000.21"/>
    <n v="2020"/>
    <x v="2"/>
  </r>
  <r>
    <x v="74"/>
    <n v="1000012675"/>
    <s v="借呗12期"/>
    <n v="2"/>
    <n v="42001"/>
    <s v="借呗"/>
    <x v="0"/>
    <x v="0"/>
    <x v="3"/>
    <s v="一组"/>
    <s v="上海一组"/>
    <s v="普通员工"/>
    <n v="21000.5"/>
    <n v="2020"/>
    <x v="2"/>
  </r>
  <r>
    <x v="74"/>
    <n v="1000013535"/>
    <s v="借呗6期"/>
    <n v="1"/>
    <n v="16000.13"/>
    <s v="借呗"/>
    <x v="1"/>
    <x v="2"/>
    <x v="6"/>
    <s v="三组"/>
    <s v="广州三组"/>
    <s v="普通员工"/>
    <n v="16000.13"/>
    <n v="2020"/>
    <x v="2"/>
  </r>
  <r>
    <x v="74"/>
    <n v="1000013546"/>
    <s v="借呗18期"/>
    <n v="1"/>
    <n v="6500.31"/>
    <s v="借呗"/>
    <x v="2"/>
    <x v="0"/>
    <x v="5"/>
    <s v="一组"/>
    <s v="合肥一组"/>
    <s v="普通员工"/>
    <n v="6500.31"/>
    <n v="2020"/>
    <x v="2"/>
  </r>
  <r>
    <x v="74"/>
    <n v="1000013607"/>
    <s v="借呗12期"/>
    <n v="1"/>
    <n v="17000.72"/>
    <s v="借呗"/>
    <x v="0"/>
    <x v="0"/>
    <x v="1"/>
    <s v="一组"/>
    <s v="苏州一组"/>
    <s v="普通员工"/>
    <n v="17000.72"/>
    <n v="2020"/>
    <x v="2"/>
  </r>
  <r>
    <x v="74"/>
    <n v="1000014037"/>
    <s v="借呗12期"/>
    <n v="2"/>
    <n v="22501.14"/>
    <s v="借呗"/>
    <x v="0"/>
    <x v="0"/>
    <x v="1"/>
    <s v="三组"/>
    <s v="苏州三组"/>
    <s v="普通员工"/>
    <n v="11250.57"/>
    <n v="2020"/>
    <x v="2"/>
  </r>
  <r>
    <x v="74"/>
    <n v="1000014273"/>
    <s v="借呗6期"/>
    <n v="4"/>
    <n v="64000.840000000011"/>
    <s v="借呗"/>
    <x v="1"/>
    <x v="0"/>
    <x v="0"/>
    <s v="二组"/>
    <s v="杭州二组"/>
    <s v="普通员工"/>
    <n v="16000.210000000003"/>
    <n v="2020"/>
    <x v="2"/>
  </r>
  <r>
    <x v="74"/>
    <n v="1000014273"/>
    <s v="借呗12期"/>
    <n v="1"/>
    <n v="13000.36"/>
    <s v="借呗"/>
    <x v="0"/>
    <x v="0"/>
    <x v="0"/>
    <s v="二组"/>
    <s v="杭州二组"/>
    <s v="普通员工"/>
    <n v="13000.36"/>
    <n v="2020"/>
    <x v="2"/>
  </r>
  <r>
    <x v="74"/>
    <n v="1000014291"/>
    <s v="借呗6期"/>
    <n v="3"/>
    <n v="53000.72"/>
    <s v="借呗"/>
    <x v="1"/>
    <x v="2"/>
    <x v="6"/>
    <s v="二组"/>
    <s v="广州二组"/>
    <s v="管理人员"/>
    <n v="17666.906666666666"/>
    <n v="2020"/>
    <x v="2"/>
  </r>
  <r>
    <x v="74"/>
    <n v="1000014291"/>
    <s v="借呗12期"/>
    <n v="2"/>
    <n v="16501.21"/>
    <s v="借呗"/>
    <x v="0"/>
    <x v="2"/>
    <x v="6"/>
    <s v="二组"/>
    <s v="广州二组"/>
    <s v="管理人员"/>
    <n v="8250.6049999999996"/>
    <n v="2020"/>
    <x v="2"/>
  </r>
  <r>
    <x v="74"/>
    <n v="1000014291"/>
    <s v="借呗18期"/>
    <n v="2"/>
    <n v="32000.699999999997"/>
    <s v="借呗"/>
    <x v="2"/>
    <x v="2"/>
    <x v="6"/>
    <s v="二组"/>
    <s v="广州二组"/>
    <s v="管理人员"/>
    <n v="16000.349999999999"/>
    <n v="2020"/>
    <x v="2"/>
  </r>
  <r>
    <x v="74"/>
    <n v="1000014572"/>
    <s v="借呗6期"/>
    <n v="1"/>
    <n v="25000.53"/>
    <s v="借呗"/>
    <x v="1"/>
    <x v="0"/>
    <x v="3"/>
    <s v="一组"/>
    <s v="上海一组"/>
    <s v="普通员工"/>
    <n v="25000.53"/>
    <n v="2020"/>
    <x v="2"/>
  </r>
  <r>
    <x v="74"/>
    <n v="1000014572"/>
    <s v="借呗12期"/>
    <n v="2"/>
    <n v="38000.35"/>
    <s v="借呗"/>
    <x v="0"/>
    <x v="0"/>
    <x v="3"/>
    <s v="一组"/>
    <s v="上海一组"/>
    <s v="普通员工"/>
    <n v="19000.174999999999"/>
    <n v="2020"/>
    <x v="2"/>
  </r>
  <r>
    <x v="74"/>
    <n v="1000014588"/>
    <s v="借呗18期"/>
    <n v="1"/>
    <n v="22000.32"/>
    <s v="借呗"/>
    <x v="2"/>
    <x v="0"/>
    <x v="5"/>
    <s v="二组"/>
    <s v="合肥二组"/>
    <s v="普通员工"/>
    <n v="22000.32"/>
    <n v="2020"/>
    <x v="2"/>
  </r>
  <r>
    <x v="74"/>
    <n v="1000014879"/>
    <s v="借呗18期"/>
    <n v="1"/>
    <n v="12000.66"/>
    <s v="借呗"/>
    <x v="2"/>
    <x v="0"/>
    <x v="5"/>
    <s v="一组"/>
    <s v="合肥一组"/>
    <s v="普通员工"/>
    <n v="12000.66"/>
    <n v="2020"/>
    <x v="2"/>
  </r>
  <r>
    <x v="74"/>
    <n v="1000015015"/>
    <s v="借呗6期"/>
    <n v="1"/>
    <n v="25000.38"/>
    <s v="借呗"/>
    <x v="1"/>
    <x v="0"/>
    <x v="10"/>
    <s v="一组"/>
    <s v="南京一组"/>
    <s v="普通员工"/>
    <n v="25000.38"/>
    <n v="2020"/>
    <x v="2"/>
  </r>
  <r>
    <x v="74"/>
    <n v="1000015015"/>
    <s v="借呗12期"/>
    <n v="1"/>
    <n v="13999.99"/>
    <s v="借呗"/>
    <x v="0"/>
    <x v="0"/>
    <x v="10"/>
    <s v="一组"/>
    <s v="南京一组"/>
    <s v="普通员工"/>
    <n v="13999.99"/>
    <n v="2020"/>
    <x v="2"/>
  </r>
  <r>
    <x v="74"/>
    <n v="1000015133"/>
    <s v="借呗12期"/>
    <n v="1"/>
    <n v="7000.16"/>
    <s v="借呗"/>
    <x v="0"/>
    <x v="1"/>
    <x v="2"/>
    <s v="三组"/>
    <s v="北京三组"/>
    <s v="普通员工"/>
    <n v="7000.16"/>
    <n v="2020"/>
    <x v="2"/>
  </r>
  <r>
    <x v="74"/>
    <n v="1000015203"/>
    <s v="借呗12期"/>
    <n v="1"/>
    <n v="13000.03"/>
    <s v="借呗"/>
    <x v="0"/>
    <x v="2"/>
    <x v="11"/>
    <s v="一组"/>
    <s v="南宁一组"/>
    <s v="普通员工"/>
    <n v="13000.03"/>
    <n v="2020"/>
    <x v="2"/>
  </r>
  <r>
    <x v="75"/>
    <n v="1000000028"/>
    <s v="借呗18期"/>
    <n v="1"/>
    <n v="606.27"/>
    <s v="借呗"/>
    <x v="2"/>
    <x v="0"/>
    <x v="0"/>
    <s v="二组"/>
    <s v="杭州二组"/>
    <s v="普通员工"/>
    <n v="606.27"/>
    <n v="2020"/>
    <x v="2"/>
  </r>
  <r>
    <x v="75"/>
    <n v="1000000029"/>
    <s v="借呗12期"/>
    <n v="1"/>
    <n v="985.43"/>
    <s v="借呗"/>
    <x v="0"/>
    <x v="0"/>
    <x v="0"/>
    <s v="二组"/>
    <s v="杭州二组"/>
    <s v="普通员工"/>
    <n v="985.43"/>
    <n v="2020"/>
    <x v="2"/>
  </r>
  <r>
    <x v="75"/>
    <n v="1000000029"/>
    <s v="借呗18期"/>
    <n v="1"/>
    <n v="2847.73"/>
    <s v="借呗"/>
    <x v="2"/>
    <x v="0"/>
    <x v="0"/>
    <s v="二组"/>
    <s v="杭州二组"/>
    <s v="普通员工"/>
    <n v="2847.73"/>
    <n v="2020"/>
    <x v="2"/>
  </r>
  <r>
    <x v="75"/>
    <n v="1000000031"/>
    <s v="借呗6期"/>
    <n v="2"/>
    <n v="5501.17"/>
    <s v="借呗"/>
    <x v="1"/>
    <x v="0"/>
    <x v="0"/>
    <s v="一组"/>
    <s v="杭州一组"/>
    <s v="管理人员"/>
    <n v="2750.585"/>
    <n v="2020"/>
    <x v="2"/>
  </r>
  <r>
    <x v="75"/>
    <n v="1000000031"/>
    <s v="借呗12期"/>
    <n v="1"/>
    <n v="6999.95"/>
    <s v="借呗"/>
    <x v="0"/>
    <x v="0"/>
    <x v="0"/>
    <s v="一组"/>
    <s v="杭州一组"/>
    <s v="管理人员"/>
    <n v="6999.95"/>
    <n v="2020"/>
    <x v="2"/>
  </r>
  <r>
    <x v="75"/>
    <n v="1000000032"/>
    <s v="借呗6期"/>
    <n v="1"/>
    <n v="8000.64"/>
    <s v="借呗"/>
    <x v="1"/>
    <x v="0"/>
    <x v="1"/>
    <s v="一组"/>
    <s v="苏州一组"/>
    <s v="管理人员"/>
    <n v="8000.64"/>
    <n v="2020"/>
    <x v="2"/>
  </r>
  <r>
    <x v="75"/>
    <n v="1000000032"/>
    <s v="借呗12期"/>
    <n v="1"/>
    <n v="736.33"/>
    <s v="借呗"/>
    <x v="0"/>
    <x v="0"/>
    <x v="1"/>
    <s v="一组"/>
    <s v="苏州一组"/>
    <s v="管理人员"/>
    <n v="736.33"/>
    <n v="2020"/>
    <x v="2"/>
  </r>
  <r>
    <x v="75"/>
    <n v="1000000033"/>
    <s v="借呗6期"/>
    <n v="1"/>
    <n v="2917.02"/>
    <s v="借呗"/>
    <x v="1"/>
    <x v="0"/>
    <x v="1"/>
    <s v="一组"/>
    <s v="苏州一组"/>
    <s v="普通员工"/>
    <n v="2917.02"/>
    <n v="2020"/>
    <x v="2"/>
  </r>
  <r>
    <x v="75"/>
    <n v="1000000033"/>
    <s v="借呗12期"/>
    <n v="2"/>
    <n v="32001.02"/>
    <s v="借呗"/>
    <x v="0"/>
    <x v="0"/>
    <x v="1"/>
    <s v="一组"/>
    <s v="苏州一组"/>
    <s v="普通员工"/>
    <n v="16000.51"/>
    <n v="2020"/>
    <x v="2"/>
  </r>
  <r>
    <x v="75"/>
    <n v="1000000033"/>
    <s v="借呗18期"/>
    <n v="1"/>
    <n v="2000.46"/>
    <s v="借呗"/>
    <x v="2"/>
    <x v="0"/>
    <x v="1"/>
    <s v="一组"/>
    <s v="苏州一组"/>
    <s v="普通员工"/>
    <n v="2000.46"/>
    <n v="2020"/>
    <x v="2"/>
  </r>
  <r>
    <x v="75"/>
    <n v="1000000034"/>
    <s v="借呗12期"/>
    <n v="1"/>
    <n v="13000.51"/>
    <s v="借呗"/>
    <x v="0"/>
    <x v="0"/>
    <x v="1"/>
    <s v="一组"/>
    <s v="苏州一组"/>
    <s v="普通员工"/>
    <n v="13000.51"/>
    <n v="2020"/>
    <x v="2"/>
  </r>
  <r>
    <x v="75"/>
    <n v="1000000036"/>
    <s v="借呗6期"/>
    <n v="1"/>
    <n v="19999.96"/>
    <s v="借呗"/>
    <x v="1"/>
    <x v="2"/>
    <x v="6"/>
    <s v="三组"/>
    <s v="广州三组"/>
    <s v="管理人员"/>
    <n v="19999.96"/>
    <n v="2020"/>
    <x v="2"/>
  </r>
  <r>
    <x v="75"/>
    <n v="1000000036"/>
    <s v="借呗12期"/>
    <n v="1"/>
    <n v="1779.14"/>
    <s v="借呗"/>
    <x v="0"/>
    <x v="2"/>
    <x v="6"/>
    <s v="三组"/>
    <s v="广州三组"/>
    <s v="管理人员"/>
    <n v="1779.14"/>
    <n v="2020"/>
    <x v="2"/>
  </r>
  <r>
    <x v="75"/>
    <n v="1000000039"/>
    <s v="借呗12期"/>
    <n v="2"/>
    <n v="5583.5"/>
    <s v="借呗"/>
    <x v="0"/>
    <x v="0"/>
    <x v="1"/>
    <s v="二组"/>
    <s v="苏州二组"/>
    <s v="管理人员"/>
    <n v="2791.75"/>
    <n v="2020"/>
    <x v="2"/>
  </r>
  <r>
    <x v="75"/>
    <n v="1000000044"/>
    <s v="借呗6期"/>
    <n v="1"/>
    <n v="1000.14"/>
    <s v="借呗"/>
    <x v="1"/>
    <x v="1"/>
    <x v="2"/>
    <s v="三组"/>
    <s v="北京三组"/>
    <s v="管理人员"/>
    <n v="1000.14"/>
    <n v="2020"/>
    <x v="2"/>
  </r>
  <r>
    <x v="75"/>
    <n v="1000000045"/>
    <s v="借呗6期"/>
    <n v="3"/>
    <n v="37001.090000000004"/>
    <s v="借呗"/>
    <x v="1"/>
    <x v="2"/>
    <x v="9"/>
    <s v="一组"/>
    <s v="深圳一组"/>
    <s v="普通员工"/>
    <n v="12333.696666666669"/>
    <n v="2020"/>
    <x v="2"/>
  </r>
  <r>
    <x v="75"/>
    <n v="1000000054"/>
    <s v="借呗6期"/>
    <n v="1"/>
    <n v="4999.96"/>
    <s v="借呗"/>
    <x v="1"/>
    <x v="0"/>
    <x v="3"/>
    <s v="一组"/>
    <s v="上海一组"/>
    <s v="普通员工"/>
    <n v="4999.96"/>
    <n v="2020"/>
    <x v="2"/>
  </r>
  <r>
    <x v="75"/>
    <n v="1000000067"/>
    <s v="借呗6期"/>
    <n v="1"/>
    <n v="10000.719999999999"/>
    <s v="借呗"/>
    <x v="1"/>
    <x v="0"/>
    <x v="1"/>
    <s v="二组"/>
    <s v="苏州二组"/>
    <s v="普通员工"/>
    <n v="10000.719999999999"/>
    <n v="2020"/>
    <x v="2"/>
  </r>
  <r>
    <x v="75"/>
    <n v="1000000067"/>
    <s v="借呗12期"/>
    <n v="1"/>
    <n v="13000.35"/>
    <s v="借呗"/>
    <x v="0"/>
    <x v="0"/>
    <x v="1"/>
    <s v="二组"/>
    <s v="苏州二组"/>
    <s v="普通员工"/>
    <n v="13000.35"/>
    <n v="2020"/>
    <x v="2"/>
  </r>
  <r>
    <x v="75"/>
    <n v="1000000104"/>
    <s v="借呗6期"/>
    <n v="1"/>
    <n v="7500.7"/>
    <s v="借呗"/>
    <x v="1"/>
    <x v="0"/>
    <x v="5"/>
    <s v="一组"/>
    <s v="合肥一组"/>
    <s v="普通员工"/>
    <n v="7500.7"/>
    <n v="2020"/>
    <x v="2"/>
  </r>
  <r>
    <x v="75"/>
    <n v="1000000104"/>
    <s v="借呗12期"/>
    <n v="1"/>
    <n v="1113.68"/>
    <s v="借呗"/>
    <x v="0"/>
    <x v="0"/>
    <x v="5"/>
    <s v="一组"/>
    <s v="合肥一组"/>
    <s v="普通员工"/>
    <n v="1113.68"/>
    <n v="2020"/>
    <x v="2"/>
  </r>
  <r>
    <x v="75"/>
    <n v="1000000104"/>
    <s v="借呗18期"/>
    <n v="1"/>
    <n v="6000.45"/>
    <s v="借呗"/>
    <x v="2"/>
    <x v="0"/>
    <x v="5"/>
    <s v="一组"/>
    <s v="合肥一组"/>
    <s v="普通员工"/>
    <n v="6000.45"/>
    <n v="2020"/>
    <x v="2"/>
  </r>
  <r>
    <x v="75"/>
    <n v="1000000237"/>
    <s v="借呗12期"/>
    <n v="1"/>
    <n v="7000.42"/>
    <s v="借呗"/>
    <x v="0"/>
    <x v="0"/>
    <x v="5"/>
    <s v="一组"/>
    <s v="合肥一组"/>
    <s v="普通员工"/>
    <n v="7000.42"/>
    <n v="2020"/>
    <x v="2"/>
  </r>
  <r>
    <x v="75"/>
    <n v="1000000237"/>
    <s v="借呗18期"/>
    <n v="1"/>
    <n v="7000.47"/>
    <s v="借呗"/>
    <x v="2"/>
    <x v="0"/>
    <x v="5"/>
    <s v="一组"/>
    <s v="合肥一组"/>
    <s v="普通员工"/>
    <n v="7000.47"/>
    <n v="2020"/>
    <x v="2"/>
  </r>
  <r>
    <x v="75"/>
    <n v="1000000266"/>
    <s v="借呗12期"/>
    <n v="1"/>
    <n v="6500.75"/>
    <s v="借呗"/>
    <x v="0"/>
    <x v="1"/>
    <x v="7"/>
    <s v="一组"/>
    <s v="重庆一组"/>
    <s v="普通员工"/>
    <n v="6500.75"/>
    <n v="2020"/>
    <x v="2"/>
  </r>
  <r>
    <x v="75"/>
    <n v="1000000566"/>
    <s v="借呗6期"/>
    <n v="1"/>
    <n v="6000.72"/>
    <s v="借呗"/>
    <x v="1"/>
    <x v="2"/>
    <x v="6"/>
    <s v="三组"/>
    <s v="广州三组"/>
    <s v="普通员工"/>
    <n v="6000.72"/>
    <n v="2020"/>
    <x v="2"/>
  </r>
  <r>
    <x v="75"/>
    <n v="1000000576"/>
    <s v="借呗12期"/>
    <n v="4"/>
    <n v="54501.180000000008"/>
    <s v="借呗"/>
    <x v="0"/>
    <x v="0"/>
    <x v="1"/>
    <s v="三组"/>
    <s v="苏州三组"/>
    <s v="普通员工"/>
    <n v="13625.295000000002"/>
    <n v="2020"/>
    <x v="2"/>
  </r>
  <r>
    <x v="75"/>
    <n v="1000000594"/>
    <s v="借呗18期"/>
    <n v="1"/>
    <n v="14000.06"/>
    <s v="借呗"/>
    <x v="2"/>
    <x v="0"/>
    <x v="1"/>
    <s v="二组"/>
    <s v="苏州二组"/>
    <s v="普通员工"/>
    <n v="14000.06"/>
    <n v="2020"/>
    <x v="2"/>
  </r>
  <r>
    <x v="75"/>
    <n v="1000000928"/>
    <s v="借呗6期"/>
    <n v="1"/>
    <n v="2000.53"/>
    <s v="借呗"/>
    <x v="1"/>
    <x v="1"/>
    <x v="8"/>
    <s v="一组"/>
    <s v="西安一组"/>
    <s v="普通员工"/>
    <n v="2000.53"/>
    <n v="2020"/>
    <x v="2"/>
  </r>
  <r>
    <x v="75"/>
    <n v="1000000928"/>
    <s v="借呗12期"/>
    <n v="3"/>
    <n v="46894.06"/>
    <s v="借呗"/>
    <x v="0"/>
    <x v="1"/>
    <x v="8"/>
    <s v="一组"/>
    <s v="西安一组"/>
    <s v="普通员工"/>
    <n v="15631.353333333333"/>
    <n v="2020"/>
    <x v="2"/>
  </r>
  <r>
    <x v="75"/>
    <n v="1000001524"/>
    <s v="借呗12期"/>
    <n v="1"/>
    <n v="14000.56"/>
    <s v="借呗"/>
    <x v="0"/>
    <x v="0"/>
    <x v="1"/>
    <s v="二组"/>
    <s v="苏州二组"/>
    <s v="普通员工"/>
    <n v="14000.56"/>
    <n v="2020"/>
    <x v="2"/>
  </r>
  <r>
    <x v="75"/>
    <n v="1000003803"/>
    <s v="借呗12期"/>
    <n v="1"/>
    <n v="11000.68"/>
    <s v="借呗"/>
    <x v="0"/>
    <x v="1"/>
    <x v="2"/>
    <s v="三组"/>
    <s v="北京三组"/>
    <s v="普通员工"/>
    <n v="11000.68"/>
    <n v="2020"/>
    <x v="2"/>
  </r>
  <r>
    <x v="75"/>
    <n v="1000003926"/>
    <s v="借呗6期"/>
    <n v="3"/>
    <n v="37501.020000000004"/>
    <s v="借呗"/>
    <x v="1"/>
    <x v="2"/>
    <x v="6"/>
    <s v="一组"/>
    <s v="广州一组"/>
    <s v="管理人员"/>
    <n v="12500.340000000002"/>
    <n v="2020"/>
    <x v="2"/>
  </r>
  <r>
    <x v="75"/>
    <n v="1000003989"/>
    <s v="借呗6期"/>
    <n v="1"/>
    <n v="10000.52"/>
    <s v="借呗"/>
    <x v="1"/>
    <x v="1"/>
    <x v="2"/>
    <s v="三组"/>
    <s v="北京三组"/>
    <s v="普通员工"/>
    <n v="10000.52"/>
    <n v="2020"/>
    <x v="2"/>
  </r>
  <r>
    <x v="75"/>
    <n v="1000004170"/>
    <s v="借呗12期"/>
    <n v="1"/>
    <n v="20000"/>
    <s v="借呗"/>
    <x v="0"/>
    <x v="0"/>
    <x v="3"/>
    <s v="二组"/>
    <s v="上海二组"/>
    <s v="管理人员"/>
    <n v="20000"/>
    <n v="2020"/>
    <x v="2"/>
  </r>
  <r>
    <x v="75"/>
    <n v="1000004170"/>
    <s v="借呗18期"/>
    <n v="1"/>
    <n v="7999.94"/>
    <s v="借呗"/>
    <x v="2"/>
    <x v="0"/>
    <x v="3"/>
    <s v="二组"/>
    <s v="上海二组"/>
    <s v="管理人员"/>
    <n v="7999.94"/>
    <n v="2020"/>
    <x v="2"/>
  </r>
  <r>
    <x v="75"/>
    <n v="1000004256"/>
    <s v="借呗18期"/>
    <n v="1"/>
    <n v="10000.15"/>
    <s v="借呗"/>
    <x v="2"/>
    <x v="0"/>
    <x v="5"/>
    <s v="一组"/>
    <s v="合肥一组"/>
    <s v="普通员工"/>
    <n v="10000.15"/>
    <n v="2020"/>
    <x v="2"/>
  </r>
  <r>
    <x v="75"/>
    <n v="1000005873"/>
    <s v="借呗12期"/>
    <n v="2"/>
    <n v="18000.68"/>
    <s v="借呗"/>
    <x v="0"/>
    <x v="0"/>
    <x v="0"/>
    <s v="二组"/>
    <s v="杭州二组"/>
    <s v="管理人员"/>
    <n v="9000.34"/>
    <n v="2020"/>
    <x v="2"/>
  </r>
  <r>
    <x v="75"/>
    <n v="1000006859"/>
    <s v="借呗6期"/>
    <n v="1"/>
    <n v="3494.2"/>
    <s v="借呗"/>
    <x v="1"/>
    <x v="0"/>
    <x v="10"/>
    <s v="一组"/>
    <s v="南京一组"/>
    <s v="普通员工"/>
    <n v="3494.2"/>
    <n v="2020"/>
    <x v="2"/>
  </r>
  <r>
    <x v="75"/>
    <n v="1000006859"/>
    <s v="借呗18期"/>
    <n v="1"/>
    <n v="4000.26"/>
    <s v="借呗"/>
    <x v="2"/>
    <x v="0"/>
    <x v="10"/>
    <s v="一组"/>
    <s v="南京一组"/>
    <s v="普通员工"/>
    <n v="4000.26"/>
    <n v="2020"/>
    <x v="2"/>
  </r>
  <r>
    <x v="75"/>
    <n v="1000008228"/>
    <s v="借呗6期"/>
    <n v="1"/>
    <n v="6500.76"/>
    <s v="借呗"/>
    <x v="1"/>
    <x v="1"/>
    <x v="2"/>
    <s v="三组"/>
    <s v="北京三组"/>
    <s v="普通员工"/>
    <n v="6500.76"/>
    <n v="2020"/>
    <x v="2"/>
  </r>
  <r>
    <x v="75"/>
    <n v="1000008239"/>
    <s v="借呗6期"/>
    <n v="1"/>
    <n v="14000.71"/>
    <s v="借呗"/>
    <x v="1"/>
    <x v="0"/>
    <x v="10"/>
    <s v="一组"/>
    <s v="南京一组"/>
    <s v="管理人员"/>
    <n v="14000.71"/>
    <n v="2020"/>
    <x v="2"/>
  </r>
  <r>
    <x v="75"/>
    <n v="1000008239"/>
    <s v="借呗12期"/>
    <n v="2"/>
    <n v="28000.309999999998"/>
    <s v="借呗"/>
    <x v="0"/>
    <x v="0"/>
    <x v="10"/>
    <s v="一组"/>
    <s v="南京一组"/>
    <s v="管理人员"/>
    <n v="14000.154999999999"/>
    <n v="2020"/>
    <x v="2"/>
  </r>
  <r>
    <x v="75"/>
    <n v="1000010814"/>
    <s v="借呗12期"/>
    <n v="1"/>
    <n v="3000.48"/>
    <s v="借呗"/>
    <x v="0"/>
    <x v="0"/>
    <x v="10"/>
    <s v="四组"/>
    <s v="南京四组"/>
    <s v="普通员工"/>
    <n v="3000.48"/>
    <n v="2020"/>
    <x v="2"/>
  </r>
  <r>
    <x v="75"/>
    <n v="1000010837"/>
    <s v="借呗6期"/>
    <n v="1"/>
    <n v="1000.58"/>
    <s v="借呗"/>
    <x v="1"/>
    <x v="0"/>
    <x v="10"/>
    <s v="一组"/>
    <s v="南京一组"/>
    <s v="普通员工"/>
    <n v="1000.58"/>
    <n v="2020"/>
    <x v="2"/>
  </r>
  <r>
    <x v="75"/>
    <n v="1000010837"/>
    <s v="借呗12期"/>
    <n v="1"/>
    <n v="5000.59"/>
    <s v="借呗"/>
    <x v="0"/>
    <x v="0"/>
    <x v="10"/>
    <s v="一组"/>
    <s v="南京一组"/>
    <s v="普通员工"/>
    <n v="5000.59"/>
    <n v="2020"/>
    <x v="2"/>
  </r>
  <r>
    <x v="75"/>
    <n v="1000010881"/>
    <s v="借呗6期"/>
    <n v="1"/>
    <n v="10000.280000000001"/>
    <s v="借呗"/>
    <x v="1"/>
    <x v="2"/>
    <x v="6"/>
    <s v="一组"/>
    <s v="广州一组"/>
    <s v="普通员工"/>
    <n v="10000.280000000001"/>
    <n v="2020"/>
    <x v="2"/>
  </r>
  <r>
    <x v="75"/>
    <n v="1000011538"/>
    <s v="借呗12期"/>
    <n v="1"/>
    <n v="10000.290000000001"/>
    <s v="借呗"/>
    <x v="0"/>
    <x v="0"/>
    <x v="5"/>
    <s v="二组"/>
    <s v="合肥二组"/>
    <s v="普通员工"/>
    <n v="10000.290000000001"/>
    <n v="2020"/>
    <x v="2"/>
  </r>
  <r>
    <x v="75"/>
    <n v="1000011697"/>
    <s v="借呗6期"/>
    <n v="2"/>
    <n v="20556.43"/>
    <s v="借呗"/>
    <x v="1"/>
    <x v="0"/>
    <x v="3"/>
    <s v="二组"/>
    <s v="上海二组"/>
    <s v="普通员工"/>
    <n v="10278.215"/>
    <n v="2020"/>
    <x v="2"/>
  </r>
  <r>
    <x v="75"/>
    <n v="1000011697"/>
    <s v="借呗18期"/>
    <n v="1"/>
    <n v="15000.25"/>
    <s v="借呗"/>
    <x v="2"/>
    <x v="0"/>
    <x v="3"/>
    <s v="二组"/>
    <s v="上海二组"/>
    <s v="普通员工"/>
    <n v="15000.25"/>
    <n v="2020"/>
    <x v="2"/>
  </r>
  <r>
    <x v="75"/>
    <n v="1000011698"/>
    <s v="借呗12期"/>
    <n v="1"/>
    <n v="9000.2199999999993"/>
    <s v="借呗"/>
    <x v="0"/>
    <x v="0"/>
    <x v="3"/>
    <s v="二组"/>
    <s v="上海二组"/>
    <s v="普通员工"/>
    <n v="9000.2199999999993"/>
    <n v="2020"/>
    <x v="2"/>
  </r>
  <r>
    <x v="75"/>
    <n v="1000011828"/>
    <s v="借呗12期"/>
    <n v="1"/>
    <n v="5000.75"/>
    <s v="借呗"/>
    <x v="0"/>
    <x v="0"/>
    <x v="0"/>
    <s v="二组"/>
    <s v="杭州二组"/>
    <s v="普通员工"/>
    <n v="5000.75"/>
    <n v="2020"/>
    <x v="2"/>
  </r>
  <r>
    <x v="75"/>
    <n v="1000012096"/>
    <s v="借呗6期"/>
    <n v="3"/>
    <n v="46001"/>
    <s v="借呗"/>
    <x v="1"/>
    <x v="0"/>
    <x v="0"/>
    <s v="一组"/>
    <s v="杭州一组"/>
    <s v="普通员工"/>
    <n v="15333.666666666666"/>
    <n v="2020"/>
    <x v="2"/>
  </r>
  <r>
    <x v="75"/>
    <n v="1000012112"/>
    <s v="借呗6期"/>
    <n v="2"/>
    <n v="12500.3"/>
    <s v="借呗"/>
    <x v="1"/>
    <x v="0"/>
    <x v="0"/>
    <s v="三组"/>
    <s v="杭州三组"/>
    <s v="管理人员"/>
    <n v="6250.15"/>
    <n v="2020"/>
    <x v="2"/>
  </r>
  <r>
    <x v="75"/>
    <n v="1000012112"/>
    <s v="借呗12期"/>
    <n v="2"/>
    <n v="20000.66"/>
    <s v="借呗"/>
    <x v="0"/>
    <x v="0"/>
    <x v="0"/>
    <s v="三组"/>
    <s v="杭州三组"/>
    <s v="管理人员"/>
    <n v="10000.33"/>
    <n v="2020"/>
    <x v="2"/>
  </r>
  <r>
    <x v="75"/>
    <n v="1000012313"/>
    <s v="借呗6期"/>
    <n v="1"/>
    <n v="20000.419999999998"/>
    <s v="借呗"/>
    <x v="1"/>
    <x v="2"/>
    <x v="11"/>
    <s v="一组"/>
    <s v="南宁一组"/>
    <s v="普通员工"/>
    <n v="20000.419999999998"/>
    <n v="2020"/>
    <x v="2"/>
  </r>
  <r>
    <x v="75"/>
    <n v="1000012313"/>
    <s v="借呗12期"/>
    <n v="1"/>
    <n v="10000.32"/>
    <s v="借呗"/>
    <x v="0"/>
    <x v="2"/>
    <x v="11"/>
    <s v="一组"/>
    <s v="南宁一组"/>
    <s v="普通员工"/>
    <n v="10000.32"/>
    <n v="2020"/>
    <x v="2"/>
  </r>
  <r>
    <x v="75"/>
    <n v="1000012446"/>
    <s v="借呗6期"/>
    <n v="1"/>
    <n v="5000.2700000000004"/>
    <s v="借呗"/>
    <x v="1"/>
    <x v="1"/>
    <x v="2"/>
    <s v="三组"/>
    <s v="北京三组"/>
    <s v="普通员工"/>
    <n v="5000.2700000000004"/>
    <n v="2020"/>
    <x v="2"/>
  </r>
  <r>
    <x v="75"/>
    <n v="1000013535"/>
    <s v="借呗6期"/>
    <n v="1"/>
    <n v="6000.2"/>
    <s v="借呗"/>
    <x v="1"/>
    <x v="2"/>
    <x v="6"/>
    <s v="三组"/>
    <s v="广州三组"/>
    <s v="普通员工"/>
    <n v="6000.2"/>
    <n v="2020"/>
    <x v="2"/>
  </r>
  <r>
    <x v="75"/>
    <n v="1000014072"/>
    <s v="借呗12期"/>
    <n v="1"/>
    <n v="5000.6899999999996"/>
    <s v="借呗"/>
    <x v="0"/>
    <x v="2"/>
    <x v="11"/>
    <s v="一组"/>
    <s v="南宁一组"/>
    <s v="普通员工"/>
    <n v="5000.6899999999996"/>
    <n v="2020"/>
    <x v="2"/>
  </r>
  <r>
    <x v="75"/>
    <n v="1000014273"/>
    <s v="借呗12期"/>
    <n v="1"/>
    <n v="14000.02"/>
    <s v="借呗"/>
    <x v="0"/>
    <x v="0"/>
    <x v="0"/>
    <s v="二组"/>
    <s v="杭州二组"/>
    <s v="普通员工"/>
    <n v="14000.02"/>
    <n v="2020"/>
    <x v="2"/>
  </r>
  <r>
    <x v="75"/>
    <n v="1000014291"/>
    <s v="借呗6期"/>
    <n v="4"/>
    <n v="33001.490000000005"/>
    <s v="借呗"/>
    <x v="1"/>
    <x v="2"/>
    <x v="6"/>
    <s v="二组"/>
    <s v="广州二组"/>
    <s v="管理人员"/>
    <n v="8250.3725000000013"/>
    <n v="2020"/>
    <x v="2"/>
  </r>
  <r>
    <x v="75"/>
    <n v="1000014291"/>
    <s v="借呗12期"/>
    <n v="1"/>
    <n v="22000.720000000001"/>
    <s v="借呗"/>
    <x v="0"/>
    <x v="2"/>
    <x v="6"/>
    <s v="二组"/>
    <s v="广州二组"/>
    <s v="管理人员"/>
    <n v="22000.720000000001"/>
    <n v="2020"/>
    <x v="2"/>
  </r>
  <r>
    <x v="75"/>
    <n v="1000014530"/>
    <s v="借呗12期"/>
    <n v="3"/>
    <n v="26500.52"/>
    <s v="借呗"/>
    <x v="0"/>
    <x v="2"/>
    <x v="11"/>
    <s v="一组"/>
    <s v="南宁一组"/>
    <s v="普通员工"/>
    <n v="8833.5066666666662"/>
    <n v="2020"/>
    <x v="2"/>
  </r>
  <r>
    <x v="75"/>
    <n v="1000014530"/>
    <s v="借呗18期"/>
    <n v="1"/>
    <n v="11000.11"/>
    <s v="借呗"/>
    <x v="2"/>
    <x v="2"/>
    <x v="11"/>
    <s v="一组"/>
    <s v="南宁一组"/>
    <s v="普通员工"/>
    <n v="11000.11"/>
    <n v="2020"/>
    <x v="2"/>
  </r>
  <r>
    <x v="75"/>
    <n v="1000014572"/>
    <s v="借呗6期"/>
    <n v="5"/>
    <n v="45501.84"/>
    <s v="借呗"/>
    <x v="1"/>
    <x v="0"/>
    <x v="3"/>
    <s v="一组"/>
    <s v="上海一组"/>
    <s v="普通员工"/>
    <n v="9100.3679999999986"/>
    <n v="2020"/>
    <x v="2"/>
  </r>
  <r>
    <x v="75"/>
    <n v="1000014572"/>
    <s v="借呗12期"/>
    <n v="2"/>
    <n v="24000.75"/>
    <s v="借呗"/>
    <x v="0"/>
    <x v="0"/>
    <x v="3"/>
    <s v="一组"/>
    <s v="上海一组"/>
    <s v="普通员工"/>
    <n v="12000.375"/>
    <n v="2020"/>
    <x v="2"/>
  </r>
  <r>
    <x v="75"/>
    <n v="1000014588"/>
    <s v="借呗18期"/>
    <n v="1"/>
    <n v="22000.54"/>
    <s v="借呗"/>
    <x v="2"/>
    <x v="0"/>
    <x v="5"/>
    <s v="二组"/>
    <s v="合肥二组"/>
    <s v="普通员工"/>
    <n v="22000.54"/>
    <n v="2020"/>
    <x v="2"/>
  </r>
  <r>
    <x v="75"/>
    <n v="1000014996"/>
    <s v="借呗6期"/>
    <n v="1"/>
    <n v="8000.26"/>
    <s v="借呗"/>
    <x v="1"/>
    <x v="1"/>
    <x v="8"/>
    <s v="一组"/>
    <s v="西安一组"/>
    <s v="普通员工"/>
    <n v="8000.26"/>
    <n v="2020"/>
    <x v="2"/>
  </r>
  <r>
    <x v="75"/>
    <n v="1000015013"/>
    <s v="借呗6期"/>
    <n v="1"/>
    <n v="20000.23"/>
    <s v="借呗"/>
    <x v="1"/>
    <x v="0"/>
    <x v="0"/>
    <s v="一组"/>
    <s v="杭州一组"/>
    <s v="普通员工"/>
    <n v="20000.23"/>
    <n v="2020"/>
    <x v="2"/>
  </r>
  <r>
    <x v="75"/>
    <n v="1000015015"/>
    <s v="借呗6期"/>
    <n v="1"/>
    <n v="14000.45"/>
    <s v="借呗"/>
    <x v="1"/>
    <x v="0"/>
    <x v="10"/>
    <s v="一组"/>
    <s v="南京一组"/>
    <s v="普通员工"/>
    <n v="14000.45"/>
    <n v="2020"/>
    <x v="2"/>
  </r>
  <r>
    <x v="75"/>
    <n v="1000015015"/>
    <s v="借呗12期"/>
    <n v="1"/>
    <n v="9000.7099999999991"/>
    <s v="借呗"/>
    <x v="0"/>
    <x v="0"/>
    <x v="10"/>
    <s v="一组"/>
    <s v="南京一组"/>
    <s v="普通员工"/>
    <n v="9000.7099999999991"/>
    <n v="2020"/>
    <x v="2"/>
  </r>
  <r>
    <x v="75"/>
    <n v="1000015203"/>
    <s v="借呗18期"/>
    <n v="1"/>
    <n v="6500.59"/>
    <s v="借呗"/>
    <x v="2"/>
    <x v="2"/>
    <x v="11"/>
    <s v="一组"/>
    <s v="南宁一组"/>
    <s v="普通员工"/>
    <n v="6500.59"/>
    <n v="2020"/>
    <x v="2"/>
  </r>
  <r>
    <x v="76"/>
    <n v="1000000028"/>
    <s v="借呗18期"/>
    <n v="1"/>
    <n v="5500.4"/>
    <s v="借呗"/>
    <x v="2"/>
    <x v="0"/>
    <x v="0"/>
    <s v="二组"/>
    <s v="杭州二组"/>
    <s v="普通员工"/>
    <n v="5500.4"/>
    <n v="2020"/>
    <x v="2"/>
  </r>
  <r>
    <x v="76"/>
    <n v="1000000029"/>
    <s v="借呗6期"/>
    <n v="1"/>
    <n v="1657.42"/>
    <s v="借呗"/>
    <x v="1"/>
    <x v="0"/>
    <x v="0"/>
    <s v="二组"/>
    <s v="杭州二组"/>
    <s v="普通员工"/>
    <n v="1657.42"/>
    <n v="2020"/>
    <x v="2"/>
  </r>
  <r>
    <x v="76"/>
    <n v="1000000030"/>
    <s v="借呗6期"/>
    <n v="1"/>
    <n v="1000.55"/>
    <s v="借呗"/>
    <x v="1"/>
    <x v="2"/>
    <x v="6"/>
    <s v="三组"/>
    <s v="广州三组"/>
    <s v="普通员工"/>
    <n v="1000.55"/>
    <n v="2020"/>
    <x v="2"/>
  </r>
  <r>
    <x v="76"/>
    <n v="1000000030"/>
    <s v="借呗18期"/>
    <n v="1"/>
    <n v="25000.52"/>
    <s v="借呗"/>
    <x v="2"/>
    <x v="2"/>
    <x v="6"/>
    <s v="三组"/>
    <s v="广州三组"/>
    <s v="普通员工"/>
    <n v="25000.52"/>
    <n v="2020"/>
    <x v="2"/>
  </r>
  <r>
    <x v="76"/>
    <n v="1000000031"/>
    <s v="借呗12期"/>
    <n v="2"/>
    <n v="16147.35"/>
    <s v="借呗"/>
    <x v="0"/>
    <x v="0"/>
    <x v="0"/>
    <s v="一组"/>
    <s v="杭州一组"/>
    <s v="管理人员"/>
    <n v="8073.6750000000002"/>
    <n v="2020"/>
    <x v="2"/>
  </r>
  <r>
    <x v="76"/>
    <n v="1000000032"/>
    <s v="借呗6期"/>
    <n v="2"/>
    <n v="20943.449999999997"/>
    <s v="借呗"/>
    <x v="1"/>
    <x v="0"/>
    <x v="1"/>
    <s v="一组"/>
    <s v="苏州一组"/>
    <s v="管理人员"/>
    <n v="10471.724999999999"/>
    <n v="2020"/>
    <x v="2"/>
  </r>
  <r>
    <x v="76"/>
    <n v="1000000034"/>
    <s v="借呗6期"/>
    <n v="1"/>
    <n v="6324.22"/>
    <s v="借呗"/>
    <x v="1"/>
    <x v="0"/>
    <x v="1"/>
    <s v="一组"/>
    <s v="苏州一组"/>
    <s v="普通员工"/>
    <n v="6324.22"/>
    <n v="2020"/>
    <x v="2"/>
  </r>
  <r>
    <x v="76"/>
    <n v="1000000036"/>
    <s v="借呗6期"/>
    <n v="4"/>
    <n v="41400.92"/>
    <s v="借呗"/>
    <x v="1"/>
    <x v="2"/>
    <x v="6"/>
    <s v="三组"/>
    <s v="广州三组"/>
    <s v="管理人员"/>
    <n v="10350.23"/>
    <n v="2020"/>
    <x v="2"/>
  </r>
  <r>
    <x v="76"/>
    <n v="1000000036"/>
    <s v="借呗12期"/>
    <n v="1"/>
    <n v="17000.689999999999"/>
    <s v="借呗"/>
    <x v="0"/>
    <x v="2"/>
    <x v="6"/>
    <s v="三组"/>
    <s v="广州三组"/>
    <s v="管理人员"/>
    <n v="17000.689999999999"/>
    <n v="2020"/>
    <x v="2"/>
  </r>
  <r>
    <x v="76"/>
    <n v="1000000036"/>
    <s v="借呗18期"/>
    <n v="1"/>
    <n v="13999.98"/>
    <s v="借呗"/>
    <x v="2"/>
    <x v="2"/>
    <x v="6"/>
    <s v="三组"/>
    <s v="广州三组"/>
    <s v="管理人员"/>
    <n v="13999.98"/>
    <n v="2020"/>
    <x v="2"/>
  </r>
  <r>
    <x v="76"/>
    <n v="1000000037"/>
    <s v="借呗18期"/>
    <n v="2"/>
    <n v="17864.66"/>
    <s v="借呗"/>
    <x v="2"/>
    <x v="0"/>
    <x v="0"/>
    <s v="二组"/>
    <s v="杭州二组"/>
    <s v="普通员工"/>
    <n v="8932.33"/>
    <n v="2020"/>
    <x v="2"/>
  </r>
  <r>
    <x v="76"/>
    <n v="1000000039"/>
    <s v="借呗6期"/>
    <n v="1"/>
    <n v="1000.01"/>
    <s v="借呗"/>
    <x v="1"/>
    <x v="0"/>
    <x v="1"/>
    <s v="二组"/>
    <s v="苏州二组"/>
    <s v="管理人员"/>
    <n v="1000.01"/>
    <n v="2020"/>
    <x v="2"/>
  </r>
  <r>
    <x v="76"/>
    <n v="1000000039"/>
    <s v="借呗12期"/>
    <n v="1"/>
    <n v="500.75"/>
    <s v="借呗"/>
    <x v="0"/>
    <x v="0"/>
    <x v="1"/>
    <s v="二组"/>
    <s v="苏州二组"/>
    <s v="管理人员"/>
    <n v="500.75"/>
    <n v="2020"/>
    <x v="2"/>
  </r>
  <r>
    <x v="76"/>
    <n v="1000000039"/>
    <s v="借呗18期"/>
    <n v="1"/>
    <n v="1000.07"/>
    <s v="借呗"/>
    <x v="2"/>
    <x v="0"/>
    <x v="1"/>
    <s v="二组"/>
    <s v="苏州二组"/>
    <s v="管理人员"/>
    <n v="1000.07"/>
    <n v="2020"/>
    <x v="2"/>
  </r>
  <r>
    <x v="76"/>
    <n v="1000000040"/>
    <s v="借呗12期"/>
    <n v="2"/>
    <n v="36000.990000000005"/>
    <s v="借呗"/>
    <x v="0"/>
    <x v="1"/>
    <x v="2"/>
    <s v="四组"/>
    <s v="北京四组"/>
    <s v="管理人员"/>
    <n v="18000.495000000003"/>
    <n v="2020"/>
    <x v="2"/>
  </r>
  <r>
    <x v="76"/>
    <n v="1000000041"/>
    <s v="借呗6期"/>
    <n v="1"/>
    <n v="13000.34"/>
    <s v="借呗"/>
    <x v="1"/>
    <x v="1"/>
    <x v="2"/>
    <s v="四组"/>
    <s v="北京四组"/>
    <s v="普通员工"/>
    <n v="13000.34"/>
    <n v="2020"/>
    <x v="2"/>
  </r>
  <r>
    <x v="76"/>
    <n v="1000000041"/>
    <s v="借呗12期"/>
    <n v="1"/>
    <n v="5000.38"/>
    <s v="借呗"/>
    <x v="0"/>
    <x v="1"/>
    <x v="2"/>
    <s v="四组"/>
    <s v="北京四组"/>
    <s v="普通员工"/>
    <n v="5000.38"/>
    <n v="2020"/>
    <x v="2"/>
  </r>
  <r>
    <x v="76"/>
    <n v="1000000041"/>
    <s v="借呗18期"/>
    <n v="2"/>
    <n v="8439.36"/>
    <s v="借呗"/>
    <x v="2"/>
    <x v="1"/>
    <x v="2"/>
    <s v="四组"/>
    <s v="北京四组"/>
    <s v="普通员工"/>
    <n v="4219.68"/>
    <n v="2020"/>
    <x v="2"/>
  </r>
  <r>
    <x v="76"/>
    <n v="1000000045"/>
    <s v="借呗6期"/>
    <n v="2"/>
    <n v="27000.809999999998"/>
    <s v="借呗"/>
    <x v="1"/>
    <x v="2"/>
    <x v="9"/>
    <s v="一组"/>
    <s v="深圳一组"/>
    <s v="普通员工"/>
    <n v="13500.404999999999"/>
    <n v="2020"/>
    <x v="2"/>
  </r>
  <r>
    <x v="76"/>
    <n v="1000000046"/>
    <s v="借呗6期"/>
    <n v="2"/>
    <n v="11500.09"/>
    <s v="借呗"/>
    <x v="1"/>
    <x v="1"/>
    <x v="4"/>
    <s v="一组"/>
    <s v="成都一组"/>
    <s v="普通员工"/>
    <n v="5750.0450000000001"/>
    <n v="2020"/>
    <x v="2"/>
  </r>
  <r>
    <x v="76"/>
    <n v="1000000050"/>
    <s v="借呗6期"/>
    <n v="1"/>
    <n v="783.46"/>
    <s v="借呗"/>
    <x v="1"/>
    <x v="0"/>
    <x v="5"/>
    <s v="一组"/>
    <s v="合肥一组"/>
    <s v="普通员工"/>
    <n v="783.46"/>
    <n v="2020"/>
    <x v="2"/>
  </r>
  <r>
    <x v="76"/>
    <n v="1000000054"/>
    <s v="借呗6期"/>
    <n v="2"/>
    <n v="25001.239999999998"/>
    <s v="借呗"/>
    <x v="1"/>
    <x v="0"/>
    <x v="3"/>
    <s v="一组"/>
    <s v="上海一组"/>
    <s v="普通员工"/>
    <n v="12500.619999999999"/>
    <n v="2020"/>
    <x v="2"/>
  </r>
  <r>
    <x v="76"/>
    <n v="1000000054"/>
    <s v="借呗12期"/>
    <n v="1"/>
    <n v="22000.65"/>
    <s v="借呗"/>
    <x v="0"/>
    <x v="0"/>
    <x v="3"/>
    <s v="一组"/>
    <s v="上海一组"/>
    <s v="普通员工"/>
    <n v="22000.65"/>
    <n v="2020"/>
    <x v="2"/>
  </r>
  <r>
    <x v="76"/>
    <n v="1000000054"/>
    <s v="借呗18期"/>
    <n v="1"/>
    <n v="15000.44"/>
    <s v="借呗"/>
    <x v="2"/>
    <x v="0"/>
    <x v="3"/>
    <s v="一组"/>
    <s v="上海一组"/>
    <s v="普通员工"/>
    <n v="15000.44"/>
    <n v="2020"/>
    <x v="2"/>
  </r>
  <r>
    <x v="76"/>
    <n v="1000000056"/>
    <s v="借呗6期"/>
    <n v="1"/>
    <n v="1541.96"/>
    <s v="借呗"/>
    <x v="1"/>
    <x v="0"/>
    <x v="3"/>
    <s v="一组"/>
    <s v="上海一组"/>
    <s v="管理人员"/>
    <n v="1541.96"/>
    <n v="2020"/>
    <x v="2"/>
  </r>
  <r>
    <x v="76"/>
    <n v="1000000067"/>
    <s v="借呗6期"/>
    <n v="1"/>
    <n v="13999.97"/>
    <s v="借呗"/>
    <x v="1"/>
    <x v="0"/>
    <x v="1"/>
    <s v="二组"/>
    <s v="苏州二组"/>
    <s v="普通员工"/>
    <n v="13999.97"/>
    <n v="2020"/>
    <x v="2"/>
  </r>
  <r>
    <x v="76"/>
    <n v="1000000068"/>
    <s v="借呗6期"/>
    <n v="1"/>
    <n v="5500.15"/>
    <s v="借呗"/>
    <x v="1"/>
    <x v="1"/>
    <x v="7"/>
    <s v="一组"/>
    <s v="重庆一组"/>
    <s v="管理人员"/>
    <n v="5500.15"/>
    <n v="2020"/>
    <x v="2"/>
  </r>
  <r>
    <x v="76"/>
    <n v="1000000068"/>
    <s v="借呗12期"/>
    <n v="1"/>
    <n v="10000.06"/>
    <s v="借呗"/>
    <x v="0"/>
    <x v="1"/>
    <x v="7"/>
    <s v="一组"/>
    <s v="重庆一组"/>
    <s v="管理人员"/>
    <n v="10000.06"/>
    <n v="2020"/>
    <x v="2"/>
  </r>
  <r>
    <x v="76"/>
    <n v="1000000104"/>
    <s v="借呗18期"/>
    <n v="1"/>
    <n v="7500.64"/>
    <s v="借呗"/>
    <x v="2"/>
    <x v="0"/>
    <x v="5"/>
    <s v="一组"/>
    <s v="合肥一组"/>
    <s v="普通员工"/>
    <n v="7500.64"/>
    <n v="2020"/>
    <x v="2"/>
  </r>
  <r>
    <x v="76"/>
    <n v="1000000566"/>
    <s v="借呗6期"/>
    <n v="1"/>
    <n v="9000.66"/>
    <s v="借呗"/>
    <x v="1"/>
    <x v="2"/>
    <x v="6"/>
    <s v="三组"/>
    <s v="广州三组"/>
    <s v="普通员工"/>
    <n v="9000.66"/>
    <n v="2020"/>
    <x v="2"/>
  </r>
  <r>
    <x v="76"/>
    <n v="1000000576"/>
    <s v="借呗18期"/>
    <n v="1"/>
    <n v="1945.32"/>
    <s v="借呗"/>
    <x v="2"/>
    <x v="0"/>
    <x v="1"/>
    <s v="三组"/>
    <s v="苏州三组"/>
    <s v="普通员工"/>
    <n v="1945.32"/>
    <n v="2020"/>
    <x v="2"/>
  </r>
  <r>
    <x v="76"/>
    <n v="1000001524"/>
    <s v="借呗6期"/>
    <n v="1"/>
    <n v="14000.03"/>
    <s v="借呗"/>
    <x v="1"/>
    <x v="0"/>
    <x v="1"/>
    <s v="二组"/>
    <s v="苏州二组"/>
    <s v="普通员工"/>
    <n v="14000.03"/>
    <n v="2020"/>
    <x v="2"/>
  </r>
  <r>
    <x v="76"/>
    <n v="1000001524"/>
    <s v="借呗12期"/>
    <n v="1"/>
    <n v="11000.48"/>
    <s v="借呗"/>
    <x v="0"/>
    <x v="0"/>
    <x v="1"/>
    <s v="二组"/>
    <s v="苏州二组"/>
    <s v="普通员工"/>
    <n v="11000.48"/>
    <n v="2020"/>
    <x v="2"/>
  </r>
  <r>
    <x v="76"/>
    <n v="1000002861"/>
    <s v="借呗18期"/>
    <n v="1"/>
    <n v="7500.72"/>
    <s v="借呗"/>
    <x v="2"/>
    <x v="2"/>
    <x v="6"/>
    <s v="三组"/>
    <s v="广州三组"/>
    <s v="普通员工"/>
    <n v="7500.72"/>
    <n v="2020"/>
    <x v="2"/>
  </r>
  <r>
    <x v="76"/>
    <n v="1000003489"/>
    <s v="借呗6期"/>
    <n v="1"/>
    <n v="17000.47"/>
    <s v="借呗"/>
    <x v="1"/>
    <x v="2"/>
    <x v="6"/>
    <s v="一组"/>
    <s v="广州一组"/>
    <s v="普通员工"/>
    <n v="17000.47"/>
    <n v="2020"/>
    <x v="2"/>
  </r>
  <r>
    <x v="76"/>
    <n v="1000003489"/>
    <s v="借呗18期"/>
    <n v="2"/>
    <n v="24001.25"/>
    <s v="借呗"/>
    <x v="2"/>
    <x v="2"/>
    <x v="6"/>
    <s v="一组"/>
    <s v="广州一组"/>
    <s v="普通员工"/>
    <n v="12000.625"/>
    <n v="2020"/>
    <x v="2"/>
  </r>
  <r>
    <x v="76"/>
    <n v="1000003926"/>
    <s v="借呗6期"/>
    <n v="3"/>
    <n v="36000.83"/>
    <s v="借呗"/>
    <x v="1"/>
    <x v="2"/>
    <x v="6"/>
    <s v="一组"/>
    <s v="广州一组"/>
    <s v="管理人员"/>
    <n v="12000.276666666667"/>
    <n v="2020"/>
    <x v="2"/>
  </r>
  <r>
    <x v="76"/>
    <n v="1000004170"/>
    <s v="借呗12期"/>
    <n v="2"/>
    <n v="26000.080000000002"/>
    <s v="借呗"/>
    <x v="0"/>
    <x v="0"/>
    <x v="3"/>
    <s v="二组"/>
    <s v="上海二组"/>
    <s v="管理人员"/>
    <n v="13000.04"/>
    <n v="2020"/>
    <x v="2"/>
  </r>
  <r>
    <x v="76"/>
    <n v="1000004170"/>
    <s v="借呗18期"/>
    <n v="1"/>
    <n v="5000.5200000000004"/>
    <s v="借呗"/>
    <x v="2"/>
    <x v="0"/>
    <x v="3"/>
    <s v="二组"/>
    <s v="上海二组"/>
    <s v="管理人员"/>
    <n v="5000.5200000000004"/>
    <n v="2020"/>
    <x v="2"/>
  </r>
  <r>
    <x v="76"/>
    <n v="1000004256"/>
    <s v="借呗12期"/>
    <n v="1"/>
    <n v="6000.14"/>
    <s v="借呗"/>
    <x v="0"/>
    <x v="0"/>
    <x v="5"/>
    <s v="一组"/>
    <s v="合肥一组"/>
    <s v="普通员工"/>
    <n v="6000.14"/>
    <n v="2020"/>
    <x v="2"/>
  </r>
  <r>
    <x v="76"/>
    <n v="1000006698"/>
    <s v="借呗12期"/>
    <n v="1"/>
    <n v="17000.490000000002"/>
    <s v="借呗"/>
    <x v="0"/>
    <x v="1"/>
    <x v="4"/>
    <s v="一组"/>
    <s v="成都一组"/>
    <s v="管理人员"/>
    <n v="17000.490000000002"/>
    <n v="2020"/>
    <x v="2"/>
  </r>
  <r>
    <x v="76"/>
    <n v="1000006867"/>
    <s v="借呗12期"/>
    <n v="1"/>
    <n v="16000.07"/>
    <s v="借呗"/>
    <x v="0"/>
    <x v="0"/>
    <x v="10"/>
    <s v="一组"/>
    <s v="南京一组"/>
    <s v="普通员工"/>
    <n v="16000.07"/>
    <n v="2020"/>
    <x v="2"/>
  </r>
  <r>
    <x v="76"/>
    <n v="1000006867"/>
    <s v="借呗18期"/>
    <n v="1"/>
    <n v="20000.34"/>
    <s v="借呗"/>
    <x v="2"/>
    <x v="0"/>
    <x v="10"/>
    <s v="一组"/>
    <s v="南京一组"/>
    <s v="普通员工"/>
    <n v="20000.34"/>
    <n v="2020"/>
    <x v="2"/>
  </r>
  <r>
    <x v="76"/>
    <n v="1000008228"/>
    <s v="借呗12期"/>
    <n v="1"/>
    <n v="17000.669999999998"/>
    <s v="借呗"/>
    <x v="0"/>
    <x v="1"/>
    <x v="2"/>
    <s v="三组"/>
    <s v="北京三组"/>
    <s v="普通员工"/>
    <n v="17000.669999999998"/>
    <n v="2020"/>
    <x v="2"/>
  </r>
  <r>
    <x v="76"/>
    <n v="1000010814"/>
    <s v="借呗12期"/>
    <n v="1"/>
    <n v="15000.77"/>
    <s v="借呗"/>
    <x v="0"/>
    <x v="0"/>
    <x v="10"/>
    <s v="四组"/>
    <s v="南京四组"/>
    <s v="普通员工"/>
    <n v="15000.77"/>
    <n v="2020"/>
    <x v="2"/>
  </r>
  <r>
    <x v="76"/>
    <n v="1000010815"/>
    <s v="借呗6期"/>
    <n v="1"/>
    <n v="4999.97"/>
    <s v="借呗"/>
    <x v="1"/>
    <x v="0"/>
    <x v="10"/>
    <s v="一组"/>
    <s v="南京一组"/>
    <s v="普通员工"/>
    <n v="4999.97"/>
    <n v="2020"/>
    <x v="2"/>
  </r>
  <r>
    <x v="76"/>
    <n v="1000010881"/>
    <s v="借呗6期"/>
    <n v="1"/>
    <n v="7000.5"/>
    <s v="借呗"/>
    <x v="1"/>
    <x v="2"/>
    <x v="6"/>
    <s v="一组"/>
    <s v="广州一组"/>
    <s v="普通员工"/>
    <n v="7000.5"/>
    <n v="2020"/>
    <x v="2"/>
  </r>
  <r>
    <x v="76"/>
    <n v="1000010881"/>
    <s v="借呗12期"/>
    <n v="3"/>
    <n v="35000.379999999997"/>
    <s v="借呗"/>
    <x v="0"/>
    <x v="2"/>
    <x v="6"/>
    <s v="一组"/>
    <s v="广州一组"/>
    <s v="普通员工"/>
    <n v="11666.793333333333"/>
    <n v="2020"/>
    <x v="2"/>
  </r>
  <r>
    <x v="76"/>
    <n v="1000011538"/>
    <s v="借呗12期"/>
    <n v="2"/>
    <n v="14600.960000000001"/>
    <s v="借呗"/>
    <x v="0"/>
    <x v="0"/>
    <x v="5"/>
    <s v="二组"/>
    <s v="合肥二组"/>
    <s v="普通员工"/>
    <n v="7300.4800000000005"/>
    <n v="2020"/>
    <x v="2"/>
  </r>
  <r>
    <x v="76"/>
    <n v="1000011697"/>
    <s v="借呗6期"/>
    <n v="1"/>
    <n v="11445.75"/>
    <s v="借呗"/>
    <x v="1"/>
    <x v="0"/>
    <x v="3"/>
    <s v="二组"/>
    <s v="上海二组"/>
    <s v="普通员工"/>
    <n v="11445.75"/>
    <n v="2020"/>
    <x v="2"/>
  </r>
  <r>
    <x v="76"/>
    <n v="1000011828"/>
    <s v="借呗6期"/>
    <n v="1"/>
    <n v="1000.48"/>
    <s v="借呗"/>
    <x v="1"/>
    <x v="0"/>
    <x v="0"/>
    <s v="二组"/>
    <s v="杭州二组"/>
    <s v="普通员工"/>
    <n v="1000.48"/>
    <n v="2020"/>
    <x v="2"/>
  </r>
  <r>
    <x v="76"/>
    <n v="1000012096"/>
    <s v="借呗6期"/>
    <n v="1"/>
    <n v="8000.38"/>
    <s v="借呗"/>
    <x v="1"/>
    <x v="0"/>
    <x v="0"/>
    <s v="一组"/>
    <s v="杭州一组"/>
    <s v="普通员工"/>
    <n v="8000.38"/>
    <n v="2020"/>
    <x v="2"/>
  </r>
  <r>
    <x v="76"/>
    <n v="1000012099"/>
    <s v="借呗6期"/>
    <n v="1"/>
    <n v="512.1"/>
    <s v="借呗"/>
    <x v="1"/>
    <x v="0"/>
    <x v="0"/>
    <s v="二组"/>
    <s v="杭州二组"/>
    <s v="普通员工"/>
    <n v="512.1"/>
    <n v="2020"/>
    <x v="2"/>
  </r>
  <r>
    <x v="76"/>
    <n v="1000012126"/>
    <s v="借呗18期"/>
    <n v="1"/>
    <n v="17000.37"/>
    <s v="借呗"/>
    <x v="2"/>
    <x v="0"/>
    <x v="0"/>
    <s v="一组"/>
    <s v="杭州一组"/>
    <s v="普通员工"/>
    <n v="17000.37"/>
    <n v="2020"/>
    <x v="2"/>
  </r>
  <r>
    <x v="76"/>
    <n v="1000012234"/>
    <s v="借呗12期"/>
    <n v="1"/>
    <n v="19999.98"/>
    <s v="借呗"/>
    <x v="0"/>
    <x v="0"/>
    <x v="1"/>
    <s v="一组"/>
    <s v="苏州一组"/>
    <s v="普通员工"/>
    <n v="19999.98"/>
    <n v="2020"/>
    <x v="2"/>
  </r>
  <r>
    <x v="76"/>
    <n v="1000012394"/>
    <s v="借呗6期"/>
    <n v="1"/>
    <n v="5000.34"/>
    <s v="借呗"/>
    <x v="1"/>
    <x v="0"/>
    <x v="10"/>
    <s v="一组"/>
    <s v="南京一组"/>
    <s v="普通员工"/>
    <n v="5000.34"/>
    <n v="2020"/>
    <x v="2"/>
  </r>
  <r>
    <x v="76"/>
    <n v="1000012675"/>
    <s v="借呗6期"/>
    <n v="2"/>
    <n v="20000.099999999999"/>
    <s v="借呗"/>
    <x v="1"/>
    <x v="0"/>
    <x v="3"/>
    <s v="一组"/>
    <s v="上海一组"/>
    <s v="普通员工"/>
    <n v="10000.049999999999"/>
    <n v="2020"/>
    <x v="2"/>
  </r>
  <r>
    <x v="76"/>
    <n v="1000012675"/>
    <s v="借呗18期"/>
    <n v="1"/>
    <n v="25000"/>
    <s v="借呗"/>
    <x v="2"/>
    <x v="0"/>
    <x v="3"/>
    <s v="一组"/>
    <s v="上海一组"/>
    <s v="普通员工"/>
    <n v="25000"/>
    <n v="2020"/>
    <x v="2"/>
  </r>
  <r>
    <x v="76"/>
    <n v="1000013607"/>
    <s v="借呗12期"/>
    <n v="1"/>
    <n v="7000.05"/>
    <s v="借呗"/>
    <x v="0"/>
    <x v="0"/>
    <x v="1"/>
    <s v="一组"/>
    <s v="苏州一组"/>
    <s v="普通员工"/>
    <n v="7000.05"/>
    <n v="2020"/>
    <x v="2"/>
  </r>
  <r>
    <x v="76"/>
    <n v="1000014291"/>
    <s v="借呗6期"/>
    <n v="1"/>
    <n v="1400.42"/>
    <s v="借呗"/>
    <x v="1"/>
    <x v="2"/>
    <x v="6"/>
    <s v="二组"/>
    <s v="广州二组"/>
    <s v="管理人员"/>
    <n v="1400.42"/>
    <n v="2020"/>
    <x v="2"/>
  </r>
  <r>
    <x v="76"/>
    <n v="1000014291"/>
    <s v="借呗12期"/>
    <n v="1"/>
    <n v="7500.01"/>
    <s v="借呗"/>
    <x v="0"/>
    <x v="2"/>
    <x v="6"/>
    <s v="二组"/>
    <s v="广州二组"/>
    <s v="管理人员"/>
    <n v="7500.01"/>
    <n v="2020"/>
    <x v="2"/>
  </r>
  <r>
    <x v="76"/>
    <n v="1000014291"/>
    <s v="借呗18期"/>
    <n v="2"/>
    <n v="43001.17"/>
    <s v="借呗"/>
    <x v="2"/>
    <x v="2"/>
    <x v="6"/>
    <s v="二组"/>
    <s v="广州二组"/>
    <s v="管理人员"/>
    <n v="21500.584999999999"/>
    <n v="2020"/>
    <x v="2"/>
  </r>
  <r>
    <x v="76"/>
    <n v="1000014530"/>
    <s v="借呗12期"/>
    <n v="1"/>
    <n v="18000.240000000002"/>
    <s v="借呗"/>
    <x v="0"/>
    <x v="2"/>
    <x v="11"/>
    <s v="一组"/>
    <s v="南宁一组"/>
    <s v="普通员工"/>
    <n v="18000.240000000002"/>
    <n v="2020"/>
    <x v="2"/>
  </r>
  <r>
    <x v="76"/>
    <n v="1000014572"/>
    <s v="借呗6期"/>
    <n v="4"/>
    <n v="36501.57"/>
    <s v="借呗"/>
    <x v="1"/>
    <x v="0"/>
    <x v="3"/>
    <s v="一组"/>
    <s v="上海一组"/>
    <s v="普通员工"/>
    <n v="9125.3924999999999"/>
    <n v="2020"/>
    <x v="2"/>
  </r>
  <r>
    <x v="76"/>
    <n v="1000014572"/>
    <s v="借呗18期"/>
    <n v="1"/>
    <n v="13000.26"/>
    <s v="借呗"/>
    <x v="2"/>
    <x v="0"/>
    <x v="3"/>
    <s v="一组"/>
    <s v="上海一组"/>
    <s v="普通员工"/>
    <n v="13000.26"/>
    <n v="2020"/>
    <x v="2"/>
  </r>
  <r>
    <x v="76"/>
    <n v="1000014996"/>
    <s v="借呗6期"/>
    <n v="1"/>
    <n v="10000.17"/>
    <s v="借呗"/>
    <x v="1"/>
    <x v="1"/>
    <x v="8"/>
    <s v="一组"/>
    <s v="西安一组"/>
    <s v="普通员工"/>
    <n v="10000.17"/>
    <n v="2020"/>
    <x v="2"/>
  </r>
  <r>
    <x v="76"/>
    <n v="1000014996"/>
    <s v="借呗12期"/>
    <n v="1"/>
    <n v="18000.47"/>
    <s v="借呗"/>
    <x v="0"/>
    <x v="1"/>
    <x v="8"/>
    <s v="一组"/>
    <s v="西安一组"/>
    <s v="普通员工"/>
    <n v="18000.47"/>
    <n v="2020"/>
    <x v="2"/>
  </r>
  <r>
    <x v="76"/>
    <n v="1000015015"/>
    <s v="借呗6期"/>
    <n v="2"/>
    <n v="27000.75"/>
    <s v="借呗"/>
    <x v="1"/>
    <x v="0"/>
    <x v="10"/>
    <s v="一组"/>
    <s v="南京一组"/>
    <s v="普通员工"/>
    <n v="13500.375"/>
    <n v="2020"/>
    <x v="2"/>
  </r>
  <r>
    <x v="76"/>
    <n v="1000015133"/>
    <s v="借呗6期"/>
    <n v="1"/>
    <n v="5000.6000000000004"/>
    <s v="借呗"/>
    <x v="1"/>
    <x v="1"/>
    <x v="2"/>
    <s v="三组"/>
    <s v="北京三组"/>
    <s v="普通员工"/>
    <n v="5000.6000000000004"/>
    <n v="2020"/>
    <x v="2"/>
  </r>
  <r>
    <x v="76"/>
    <n v="1000015203"/>
    <s v="借呗18期"/>
    <n v="1"/>
    <n v="22000.61"/>
    <s v="借呗"/>
    <x v="2"/>
    <x v="2"/>
    <x v="11"/>
    <s v="一组"/>
    <s v="南宁一组"/>
    <s v="普通员工"/>
    <n v="22000.61"/>
    <n v="2020"/>
    <x v="2"/>
  </r>
  <r>
    <x v="76"/>
    <n v="1000015253"/>
    <s v="借呗6期"/>
    <n v="1"/>
    <n v="12000.66"/>
    <s v="借呗"/>
    <x v="1"/>
    <x v="1"/>
    <x v="2"/>
    <s v="一组"/>
    <s v="北京一组"/>
    <s v="普通员工"/>
    <n v="12000.66"/>
    <n v="2020"/>
    <x v="2"/>
  </r>
  <r>
    <x v="76"/>
    <n v="1000015253"/>
    <s v="借呗12期"/>
    <n v="1"/>
    <n v="5000.01"/>
    <s v="借呗"/>
    <x v="0"/>
    <x v="1"/>
    <x v="2"/>
    <s v="一组"/>
    <s v="北京一组"/>
    <s v="普通员工"/>
    <n v="5000.01"/>
    <n v="2020"/>
    <x v="2"/>
  </r>
  <r>
    <x v="77"/>
    <n v="1000000028"/>
    <s v="借呗6期"/>
    <n v="1"/>
    <n v="1614.75"/>
    <s v="借呗"/>
    <x v="1"/>
    <x v="0"/>
    <x v="0"/>
    <s v="二组"/>
    <s v="杭州二组"/>
    <s v="普通员工"/>
    <n v="1614.75"/>
    <n v="2020"/>
    <x v="2"/>
  </r>
  <r>
    <x v="77"/>
    <n v="1000000029"/>
    <s v="借呗18期"/>
    <n v="1"/>
    <n v="12000.73"/>
    <s v="借呗"/>
    <x v="2"/>
    <x v="0"/>
    <x v="0"/>
    <s v="二组"/>
    <s v="杭州二组"/>
    <s v="普通员工"/>
    <n v="12000.73"/>
    <n v="2020"/>
    <x v="2"/>
  </r>
  <r>
    <x v="77"/>
    <n v="1000000030"/>
    <s v="借呗6期"/>
    <n v="1"/>
    <n v="5500.7"/>
    <s v="借呗"/>
    <x v="1"/>
    <x v="2"/>
    <x v="6"/>
    <s v="三组"/>
    <s v="广州三组"/>
    <s v="普通员工"/>
    <n v="5500.7"/>
    <n v="2020"/>
    <x v="2"/>
  </r>
  <r>
    <x v="77"/>
    <n v="1000000030"/>
    <s v="借呗18期"/>
    <n v="1"/>
    <n v="14000.3"/>
    <s v="借呗"/>
    <x v="2"/>
    <x v="2"/>
    <x v="6"/>
    <s v="三组"/>
    <s v="广州三组"/>
    <s v="普通员工"/>
    <n v="14000.3"/>
    <n v="2020"/>
    <x v="2"/>
  </r>
  <r>
    <x v="77"/>
    <n v="1000000031"/>
    <s v="借呗6期"/>
    <n v="1"/>
    <n v="1000.28"/>
    <s v="借呗"/>
    <x v="1"/>
    <x v="0"/>
    <x v="0"/>
    <s v="一组"/>
    <s v="杭州一组"/>
    <s v="管理人员"/>
    <n v="1000.28"/>
    <n v="2020"/>
    <x v="2"/>
  </r>
  <r>
    <x v="77"/>
    <n v="1000000032"/>
    <s v="借呗6期"/>
    <n v="1"/>
    <n v="5000.1099999999997"/>
    <s v="借呗"/>
    <x v="1"/>
    <x v="0"/>
    <x v="1"/>
    <s v="一组"/>
    <s v="苏州一组"/>
    <s v="管理人员"/>
    <n v="5000.1099999999997"/>
    <n v="2020"/>
    <x v="2"/>
  </r>
  <r>
    <x v="77"/>
    <n v="1000000033"/>
    <s v="借呗6期"/>
    <n v="2"/>
    <n v="3786.9"/>
    <s v="借呗"/>
    <x v="1"/>
    <x v="0"/>
    <x v="1"/>
    <s v="一组"/>
    <s v="苏州一组"/>
    <s v="普通员工"/>
    <n v="1893.45"/>
    <n v="2020"/>
    <x v="2"/>
  </r>
  <r>
    <x v="77"/>
    <n v="1000000034"/>
    <s v="借呗6期"/>
    <n v="1"/>
    <n v="599.98"/>
    <s v="借呗"/>
    <x v="1"/>
    <x v="0"/>
    <x v="1"/>
    <s v="一组"/>
    <s v="苏州一组"/>
    <s v="普通员工"/>
    <n v="599.98"/>
    <n v="2020"/>
    <x v="2"/>
  </r>
  <r>
    <x v="77"/>
    <n v="1000000034"/>
    <s v="借呗12期"/>
    <n v="1"/>
    <n v="14000.23"/>
    <s v="借呗"/>
    <x v="0"/>
    <x v="0"/>
    <x v="1"/>
    <s v="一组"/>
    <s v="苏州一组"/>
    <s v="普通员工"/>
    <n v="14000.23"/>
    <n v="2020"/>
    <x v="2"/>
  </r>
  <r>
    <x v="77"/>
    <n v="1000000036"/>
    <s v="借呗6期"/>
    <n v="2"/>
    <n v="8700.58"/>
    <s v="借呗"/>
    <x v="1"/>
    <x v="2"/>
    <x v="6"/>
    <s v="三组"/>
    <s v="广州三组"/>
    <s v="管理人员"/>
    <n v="4350.29"/>
    <n v="2020"/>
    <x v="2"/>
  </r>
  <r>
    <x v="77"/>
    <n v="1000000037"/>
    <s v="借呗6期"/>
    <n v="1"/>
    <n v="5000.3999999999996"/>
    <s v="借呗"/>
    <x v="1"/>
    <x v="0"/>
    <x v="0"/>
    <s v="二组"/>
    <s v="杭州二组"/>
    <s v="普通员工"/>
    <n v="5000.3999999999996"/>
    <n v="2020"/>
    <x v="2"/>
  </r>
  <r>
    <x v="77"/>
    <n v="1000000037"/>
    <s v="借呗12期"/>
    <n v="1"/>
    <n v="12000.53"/>
    <s v="借呗"/>
    <x v="0"/>
    <x v="0"/>
    <x v="0"/>
    <s v="二组"/>
    <s v="杭州二组"/>
    <s v="普通员工"/>
    <n v="12000.53"/>
    <n v="2020"/>
    <x v="2"/>
  </r>
  <r>
    <x v="77"/>
    <n v="1000000039"/>
    <s v="借呗6期"/>
    <n v="2"/>
    <n v="9000.84"/>
    <s v="借呗"/>
    <x v="1"/>
    <x v="0"/>
    <x v="1"/>
    <s v="二组"/>
    <s v="苏州二组"/>
    <s v="管理人员"/>
    <n v="4500.42"/>
    <n v="2020"/>
    <x v="2"/>
  </r>
  <r>
    <x v="77"/>
    <n v="1000000039"/>
    <s v="借呗12期"/>
    <n v="1"/>
    <n v="6500.54"/>
    <s v="借呗"/>
    <x v="0"/>
    <x v="0"/>
    <x v="1"/>
    <s v="二组"/>
    <s v="苏州二组"/>
    <s v="管理人员"/>
    <n v="6500.54"/>
    <n v="2020"/>
    <x v="2"/>
  </r>
  <r>
    <x v="77"/>
    <n v="1000000040"/>
    <s v="借呗12期"/>
    <n v="1"/>
    <n v="6499.98"/>
    <s v="借呗"/>
    <x v="0"/>
    <x v="1"/>
    <x v="2"/>
    <s v="四组"/>
    <s v="北京四组"/>
    <s v="管理人员"/>
    <n v="6499.98"/>
    <n v="2020"/>
    <x v="2"/>
  </r>
  <r>
    <x v="77"/>
    <n v="1000000041"/>
    <s v="借呗6期"/>
    <n v="2"/>
    <n v="27000.16"/>
    <s v="借呗"/>
    <x v="1"/>
    <x v="1"/>
    <x v="2"/>
    <s v="四组"/>
    <s v="北京四组"/>
    <s v="普通员工"/>
    <n v="13500.08"/>
    <n v="2020"/>
    <x v="2"/>
  </r>
  <r>
    <x v="77"/>
    <n v="1000000041"/>
    <s v="借呗12期"/>
    <n v="2"/>
    <n v="34001.06"/>
    <s v="借呗"/>
    <x v="0"/>
    <x v="1"/>
    <x v="2"/>
    <s v="四组"/>
    <s v="北京四组"/>
    <s v="普通员工"/>
    <n v="17000.53"/>
    <n v="2020"/>
    <x v="2"/>
  </r>
  <r>
    <x v="77"/>
    <n v="1000000043"/>
    <s v="借呗6期"/>
    <n v="1"/>
    <n v="10000.379999999999"/>
    <s v="借呗"/>
    <x v="1"/>
    <x v="1"/>
    <x v="4"/>
    <s v="一组"/>
    <s v="成都一组"/>
    <s v="普通员工"/>
    <n v="10000.379999999999"/>
    <n v="2020"/>
    <x v="2"/>
  </r>
  <r>
    <x v="77"/>
    <n v="1000000045"/>
    <s v="借呗6期"/>
    <n v="3"/>
    <n v="25001.48"/>
    <s v="借呗"/>
    <x v="1"/>
    <x v="2"/>
    <x v="9"/>
    <s v="一组"/>
    <s v="深圳一组"/>
    <s v="普通员工"/>
    <n v="8333.8266666666659"/>
    <n v="2020"/>
    <x v="2"/>
  </r>
  <r>
    <x v="77"/>
    <n v="1000000046"/>
    <s v="借呗12期"/>
    <n v="1"/>
    <n v="5000.71"/>
    <s v="借呗"/>
    <x v="0"/>
    <x v="1"/>
    <x v="4"/>
    <s v="一组"/>
    <s v="成都一组"/>
    <s v="普通员工"/>
    <n v="5000.71"/>
    <n v="2020"/>
    <x v="2"/>
  </r>
  <r>
    <x v="77"/>
    <n v="1000000047"/>
    <s v="借呗18期"/>
    <n v="1"/>
    <n v="5645.23"/>
    <s v="借呗"/>
    <x v="2"/>
    <x v="2"/>
    <x v="6"/>
    <s v="一组"/>
    <s v="广州一组"/>
    <s v="普通员工"/>
    <n v="5645.23"/>
    <n v="2020"/>
    <x v="2"/>
  </r>
  <r>
    <x v="77"/>
    <n v="1000000054"/>
    <s v="借呗6期"/>
    <n v="1"/>
    <n v="2500.61"/>
    <s v="借呗"/>
    <x v="1"/>
    <x v="0"/>
    <x v="3"/>
    <s v="一组"/>
    <s v="上海一组"/>
    <s v="普通员工"/>
    <n v="2500.61"/>
    <n v="2020"/>
    <x v="2"/>
  </r>
  <r>
    <x v="77"/>
    <n v="1000000056"/>
    <s v="借呗6期"/>
    <n v="1"/>
    <n v="1580.12"/>
    <s v="借呗"/>
    <x v="1"/>
    <x v="0"/>
    <x v="3"/>
    <s v="一组"/>
    <s v="上海一组"/>
    <s v="管理人员"/>
    <n v="1580.12"/>
    <n v="2020"/>
    <x v="2"/>
  </r>
  <r>
    <x v="77"/>
    <n v="1000000056"/>
    <s v="借呗18期"/>
    <n v="1"/>
    <n v="20000.52"/>
    <s v="借呗"/>
    <x v="2"/>
    <x v="0"/>
    <x v="3"/>
    <s v="一组"/>
    <s v="上海一组"/>
    <s v="管理人员"/>
    <n v="20000.52"/>
    <n v="2020"/>
    <x v="2"/>
  </r>
  <r>
    <x v="77"/>
    <n v="1000000067"/>
    <s v="借呗6期"/>
    <n v="1"/>
    <n v="3500.18"/>
    <s v="借呗"/>
    <x v="1"/>
    <x v="0"/>
    <x v="1"/>
    <s v="二组"/>
    <s v="苏州二组"/>
    <s v="普通员工"/>
    <n v="3500.18"/>
    <n v="2020"/>
    <x v="2"/>
  </r>
  <r>
    <x v="77"/>
    <n v="1000000067"/>
    <s v="借呗12期"/>
    <n v="2"/>
    <n v="43001.11"/>
    <s v="借呗"/>
    <x v="0"/>
    <x v="0"/>
    <x v="1"/>
    <s v="二组"/>
    <s v="苏州二组"/>
    <s v="普通员工"/>
    <n v="21500.555"/>
    <n v="2020"/>
    <x v="2"/>
  </r>
  <r>
    <x v="77"/>
    <n v="1000000104"/>
    <s v="借呗6期"/>
    <n v="1"/>
    <n v="19000.580000000002"/>
    <s v="借呗"/>
    <x v="1"/>
    <x v="0"/>
    <x v="5"/>
    <s v="一组"/>
    <s v="合肥一组"/>
    <s v="普通员工"/>
    <n v="19000.580000000002"/>
    <n v="2020"/>
    <x v="2"/>
  </r>
  <r>
    <x v="77"/>
    <n v="1000000266"/>
    <s v="借呗12期"/>
    <n v="1"/>
    <n v="15000.39"/>
    <s v="借呗"/>
    <x v="0"/>
    <x v="1"/>
    <x v="7"/>
    <s v="一组"/>
    <s v="重庆一组"/>
    <s v="普通员工"/>
    <n v="15000.39"/>
    <n v="2020"/>
    <x v="2"/>
  </r>
  <r>
    <x v="77"/>
    <n v="1000000566"/>
    <s v="借呗6期"/>
    <n v="2"/>
    <n v="12001.46"/>
    <s v="借呗"/>
    <x v="1"/>
    <x v="2"/>
    <x v="6"/>
    <s v="三组"/>
    <s v="广州三组"/>
    <s v="普通员工"/>
    <n v="6000.73"/>
    <n v="2020"/>
    <x v="2"/>
  </r>
  <r>
    <x v="77"/>
    <n v="1000000576"/>
    <s v="借呗12期"/>
    <n v="1"/>
    <n v="7000.05"/>
    <s v="借呗"/>
    <x v="0"/>
    <x v="0"/>
    <x v="1"/>
    <s v="三组"/>
    <s v="苏州三组"/>
    <s v="普通员工"/>
    <n v="7000.05"/>
    <n v="2020"/>
    <x v="2"/>
  </r>
  <r>
    <x v="77"/>
    <n v="1000000594"/>
    <s v="借呗12期"/>
    <n v="2"/>
    <n v="21000.15"/>
    <s v="借呗"/>
    <x v="0"/>
    <x v="0"/>
    <x v="1"/>
    <s v="二组"/>
    <s v="苏州二组"/>
    <s v="普通员工"/>
    <n v="10500.075000000001"/>
    <n v="2020"/>
    <x v="2"/>
  </r>
  <r>
    <x v="77"/>
    <n v="1000000928"/>
    <s v="借呗6期"/>
    <n v="1"/>
    <n v="1000.45"/>
    <s v="借呗"/>
    <x v="1"/>
    <x v="1"/>
    <x v="8"/>
    <s v="一组"/>
    <s v="西安一组"/>
    <s v="普通员工"/>
    <n v="1000.45"/>
    <n v="2020"/>
    <x v="2"/>
  </r>
  <r>
    <x v="77"/>
    <n v="1000001524"/>
    <s v="借呗6期"/>
    <n v="1"/>
    <n v="11000.44"/>
    <s v="借呗"/>
    <x v="1"/>
    <x v="0"/>
    <x v="1"/>
    <s v="二组"/>
    <s v="苏州二组"/>
    <s v="普通员工"/>
    <n v="11000.44"/>
    <n v="2020"/>
    <x v="2"/>
  </r>
  <r>
    <x v="77"/>
    <n v="1000002861"/>
    <s v="借呗12期"/>
    <n v="1"/>
    <n v="6000.71"/>
    <s v="借呗"/>
    <x v="0"/>
    <x v="2"/>
    <x v="6"/>
    <s v="三组"/>
    <s v="广州三组"/>
    <s v="普通员工"/>
    <n v="6000.71"/>
    <n v="2020"/>
    <x v="2"/>
  </r>
  <r>
    <x v="77"/>
    <n v="1000003489"/>
    <s v="借呗12期"/>
    <n v="1"/>
    <n v="22000.28"/>
    <s v="借呗"/>
    <x v="0"/>
    <x v="2"/>
    <x v="6"/>
    <s v="一组"/>
    <s v="广州一组"/>
    <s v="普通员工"/>
    <n v="22000.28"/>
    <n v="2020"/>
    <x v="2"/>
  </r>
  <r>
    <x v="77"/>
    <n v="1000003803"/>
    <s v="借呗6期"/>
    <n v="1"/>
    <n v="4999.9399999999996"/>
    <s v="借呗"/>
    <x v="1"/>
    <x v="1"/>
    <x v="2"/>
    <s v="三组"/>
    <s v="北京三组"/>
    <s v="普通员工"/>
    <n v="4999.9399999999996"/>
    <n v="2020"/>
    <x v="2"/>
  </r>
  <r>
    <x v="77"/>
    <n v="1000003926"/>
    <s v="借呗6期"/>
    <n v="1"/>
    <n v="1021.72"/>
    <s v="借呗"/>
    <x v="1"/>
    <x v="2"/>
    <x v="6"/>
    <s v="一组"/>
    <s v="广州一组"/>
    <s v="管理人员"/>
    <n v="1021.72"/>
    <n v="2020"/>
    <x v="2"/>
  </r>
  <r>
    <x v="77"/>
    <n v="1000003989"/>
    <s v="借呗12期"/>
    <n v="1"/>
    <n v="17000.580000000002"/>
    <s v="借呗"/>
    <x v="0"/>
    <x v="1"/>
    <x v="2"/>
    <s v="三组"/>
    <s v="北京三组"/>
    <s v="普通员工"/>
    <n v="17000.580000000002"/>
    <n v="2020"/>
    <x v="2"/>
  </r>
  <r>
    <x v="77"/>
    <n v="1000004170"/>
    <s v="借呗6期"/>
    <n v="1"/>
    <n v="14000.31"/>
    <s v="借呗"/>
    <x v="1"/>
    <x v="0"/>
    <x v="3"/>
    <s v="二组"/>
    <s v="上海二组"/>
    <s v="管理人员"/>
    <n v="14000.31"/>
    <n v="2020"/>
    <x v="2"/>
  </r>
  <r>
    <x v="77"/>
    <n v="1000004256"/>
    <s v="借呗18期"/>
    <n v="1"/>
    <n v="6000.27"/>
    <s v="借呗"/>
    <x v="2"/>
    <x v="0"/>
    <x v="5"/>
    <s v="一组"/>
    <s v="合肥一组"/>
    <s v="普通员工"/>
    <n v="6000.27"/>
    <n v="2020"/>
    <x v="2"/>
  </r>
  <r>
    <x v="77"/>
    <n v="1000005873"/>
    <s v="借呗6期"/>
    <n v="1"/>
    <n v="15000.31"/>
    <s v="借呗"/>
    <x v="1"/>
    <x v="0"/>
    <x v="0"/>
    <s v="二组"/>
    <s v="杭州二组"/>
    <s v="管理人员"/>
    <n v="15000.31"/>
    <n v="2020"/>
    <x v="2"/>
  </r>
  <r>
    <x v="77"/>
    <n v="1000006698"/>
    <s v="借呗6期"/>
    <n v="1"/>
    <n v="10000.200000000001"/>
    <s v="借呗"/>
    <x v="1"/>
    <x v="1"/>
    <x v="4"/>
    <s v="一组"/>
    <s v="成都一组"/>
    <s v="管理人员"/>
    <n v="10000.200000000001"/>
    <n v="2020"/>
    <x v="2"/>
  </r>
  <r>
    <x v="77"/>
    <n v="1000007320"/>
    <s v="借呗12期"/>
    <n v="1"/>
    <n v="10000.42"/>
    <s v="借呗"/>
    <x v="0"/>
    <x v="0"/>
    <x v="3"/>
    <s v="一组"/>
    <s v="上海一组"/>
    <s v="普通员工"/>
    <n v="10000.42"/>
    <n v="2020"/>
    <x v="2"/>
  </r>
  <r>
    <x v="77"/>
    <n v="1000008228"/>
    <s v="借呗12期"/>
    <n v="1"/>
    <n v="25000.22"/>
    <s v="借呗"/>
    <x v="0"/>
    <x v="1"/>
    <x v="2"/>
    <s v="三组"/>
    <s v="北京三组"/>
    <s v="普通员工"/>
    <n v="25000.22"/>
    <n v="2020"/>
    <x v="2"/>
  </r>
  <r>
    <x v="77"/>
    <n v="1000008239"/>
    <s v="借呗12期"/>
    <n v="2"/>
    <n v="34000.9"/>
    <s v="借呗"/>
    <x v="0"/>
    <x v="0"/>
    <x v="10"/>
    <s v="一组"/>
    <s v="南京一组"/>
    <s v="管理人员"/>
    <n v="17000.45"/>
    <n v="2020"/>
    <x v="2"/>
  </r>
  <r>
    <x v="77"/>
    <n v="1000008957"/>
    <s v="借呗6期"/>
    <n v="1"/>
    <n v="7000.06"/>
    <s v="借呗"/>
    <x v="1"/>
    <x v="0"/>
    <x v="3"/>
    <s v="二组"/>
    <s v="上海二组"/>
    <s v="普通员工"/>
    <n v="7000.06"/>
    <n v="2020"/>
    <x v="2"/>
  </r>
  <r>
    <x v="77"/>
    <n v="1000008957"/>
    <s v="借呗12期"/>
    <n v="1"/>
    <n v="13000.01"/>
    <s v="借呗"/>
    <x v="0"/>
    <x v="0"/>
    <x v="3"/>
    <s v="二组"/>
    <s v="上海二组"/>
    <s v="普通员工"/>
    <n v="13000.01"/>
    <n v="2020"/>
    <x v="2"/>
  </r>
  <r>
    <x v="77"/>
    <n v="1000009288"/>
    <s v="借呗18期"/>
    <n v="1"/>
    <n v="900.22"/>
    <s v="借呗"/>
    <x v="2"/>
    <x v="0"/>
    <x v="1"/>
    <s v="二组"/>
    <s v="苏州二组"/>
    <s v="普通员工"/>
    <n v="900.22"/>
    <n v="2020"/>
    <x v="2"/>
  </r>
  <r>
    <x v="77"/>
    <n v="1000010837"/>
    <s v="借呗12期"/>
    <n v="1"/>
    <n v="7500.23"/>
    <s v="借呗"/>
    <x v="0"/>
    <x v="0"/>
    <x v="10"/>
    <s v="一组"/>
    <s v="南京一组"/>
    <s v="普通员工"/>
    <n v="7500.23"/>
    <n v="2020"/>
    <x v="2"/>
  </r>
  <r>
    <x v="77"/>
    <n v="1000010881"/>
    <s v="借呗6期"/>
    <n v="2"/>
    <n v="16000.669999999998"/>
    <s v="借呗"/>
    <x v="1"/>
    <x v="2"/>
    <x v="6"/>
    <s v="一组"/>
    <s v="广州一组"/>
    <s v="普通员工"/>
    <n v="8000.3349999999991"/>
    <n v="2020"/>
    <x v="2"/>
  </r>
  <r>
    <x v="77"/>
    <n v="1000011697"/>
    <s v="借呗6期"/>
    <n v="1"/>
    <n v="20000.580000000002"/>
    <s v="借呗"/>
    <x v="1"/>
    <x v="0"/>
    <x v="3"/>
    <s v="二组"/>
    <s v="上海二组"/>
    <s v="普通员工"/>
    <n v="20000.580000000002"/>
    <n v="2020"/>
    <x v="2"/>
  </r>
  <r>
    <x v="77"/>
    <n v="1000011697"/>
    <s v="借呗12期"/>
    <n v="1"/>
    <n v="15000.05"/>
    <s v="借呗"/>
    <x v="0"/>
    <x v="0"/>
    <x v="3"/>
    <s v="二组"/>
    <s v="上海二组"/>
    <s v="普通员工"/>
    <n v="15000.05"/>
    <n v="2020"/>
    <x v="2"/>
  </r>
  <r>
    <x v="77"/>
    <n v="1000011698"/>
    <s v="借呗6期"/>
    <n v="2"/>
    <n v="8000.2199999999993"/>
    <s v="借呗"/>
    <x v="1"/>
    <x v="0"/>
    <x v="3"/>
    <s v="二组"/>
    <s v="上海二组"/>
    <s v="普通员工"/>
    <n v="4000.1099999999997"/>
    <n v="2020"/>
    <x v="2"/>
  </r>
  <r>
    <x v="77"/>
    <n v="1000011698"/>
    <s v="借呗12期"/>
    <n v="1"/>
    <n v="15000.14"/>
    <s v="借呗"/>
    <x v="0"/>
    <x v="0"/>
    <x v="3"/>
    <s v="二组"/>
    <s v="上海二组"/>
    <s v="普通员工"/>
    <n v="15000.14"/>
    <n v="2020"/>
    <x v="2"/>
  </r>
  <r>
    <x v="77"/>
    <n v="1000011731"/>
    <s v="借呗18期"/>
    <n v="1"/>
    <n v="6000.37"/>
    <s v="借呗"/>
    <x v="2"/>
    <x v="2"/>
    <x v="6"/>
    <s v="三组"/>
    <s v="广州三组"/>
    <s v="普通员工"/>
    <n v="6000.37"/>
    <n v="2020"/>
    <x v="2"/>
  </r>
  <r>
    <x v="77"/>
    <n v="1000012099"/>
    <s v="借呗12期"/>
    <n v="3"/>
    <n v="33001.050000000003"/>
    <s v="借呗"/>
    <x v="0"/>
    <x v="0"/>
    <x v="0"/>
    <s v="二组"/>
    <s v="杭州二组"/>
    <s v="普通员工"/>
    <n v="11000.35"/>
    <n v="2020"/>
    <x v="2"/>
  </r>
  <r>
    <x v="77"/>
    <n v="1000012112"/>
    <s v="借呗6期"/>
    <n v="2"/>
    <n v="24000.7"/>
    <s v="借呗"/>
    <x v="1"/>
    <x v="0"/>
    <x v="0"/>
    <s v="三组"/>
    <s v="杭州三组"/>
    <s v="管理人员"/>
    <n v="12000.35"/>
    <n v="2020"/>
    <x v="2"/>
  </r>
  <r>
    <x v="77"/>
    <n v="1000012124"/>
    <s v="借呗18期"/>
    <n v="1"/>
    <n v="15000.27"/>
    <s v="借呗"/>
    <x v="2"/>
    <x v="0"/>
    <x v="0"/>
    <s v="一组"/>
    <s v="杭州一组"/>
    <s v="普通员工"/>
    <n v="15000.27"/>
    <n v="2020"/>
    <x v="2"/>
  </r>
  <r>
    <x v="77"/>
    <n v="1000012234"/>
    <s v="借呗6期"/>
    <n v="1"/>
    <n v="25000.240000000002"/>
    <s v="借呗"/>
    <x v="1"/>
    <x v="0"/>
    <x v="1"/>
    <s v="一组"/>
    <s v="苏州一组"/>
    <s v="普通员工"/>
    <n v="25000.240000000002"/>
    <n v="2020"/>
    <x v="2"/>
  </r>
  <r>
    <x v="77"/>
    <n v="1000012446"/>
    <s v="借呗6期"/>
    <n v="1"/>
    <n v="512.03"/>
    <s v="借呗"/>
    <x v="1"/>
    <x v="1"/>
    <x v="2"/>
    <s v="三组"/>
    <s v="北京三组"/>
    <s v="普通员工"/>
    <n v="512.03"/>
    <n v="2020"/>
    <x v="2"/>
  </r>
  <r>
    <x v="77"/>
    <n v="1000012675"/>
    <s v="借呗6期"/>
    <n v="2"/>
    <n v="12501.26"/>
    <s v="借呗"/>
    <x v="1"/>
    <x v="0"/>
    <x v="3"/>
    <s v="一组"/>
    <s v="上海一组"/>
    <s v="普通员工"/>
    <n v="6250.63"/>
    <n v="2020"/>
    <x v="2"/>
  </r>
  <r>
    <x v="77"/>
    <n v="1000013526"/>
    <s v="借呗6期"/>
    <n v="1"/>
    <n v="4999.99"/>
    <s v="借呗"/>
    <x v="1"/>
    <x v="2"/>
    <x v="11"/>
    <s v="一组"/>
    <s v="南宁一组"/>
    <s v="普通员工"/>
    <n v="4999.99"/>
    <n v="2020"/>
    <x v="2"/>
  </r>
  <r>
    <x v="77"/>
    <n v="1000013535"/>
    <s v="借呗6期"/>
    <n v="1"/>
    <n v="1457.43"/>
    <s v="借呗"/>
    <x v="1"/>
    <x v="2"/>
    <x v="6"/>
    <s v="三组"/>
    <s v="广州三组"/>
    <s v="普通员工"/>
    <n v="1457.43"/>
    <n v="2020"/>
    <x v="2"/>
  </r>
  <r>
    <x v="77"/>
    <n v="1000013546"/>
    <s v="借呗12期"/>
    <n v="1"/>
    <n v="5000.2700000000004"/>
    <s v="借呗"/>
    <x v="0"/>
    <x v="0"/>
    <x v="5"/>
    <s v="一组"/>
    <s v="合肥一组"/>
    <s v="普通员工"/>
    <n v="5000.2700000000004"/>
    <n v="2020"/>
    <x v="2"/>
  </r>
  <r>
    <x v="77"/>
    <n v="1000013607"/>
    <s v="借呗12期"/>
    <n v="1"/>
    <n v="19000.38"/>
    <s v="借呗"/>
    <x v="0"/>
    <x v="0"/>
    <x v="1"/>
    <s v="一组"/>
    <s v="苏州一组"/>
    <s v="普通员工"/>
    <n v="19000.38"/>
    <n v="2020"/>
    <x v="2"/>
  </r>
  <r>
    <x v="77"/>
    <n v="1000014072"/>
    <s v="借呗12期"/>
    <n v="1"/>
    <n v="24999.96"/>
    <s v="借呗"/>
    <x v="0"/>
    <x v="2"/>
    <x v="11"/>
    <s v="一组"/>
    <s v="南宁一组"/>
    <s v="普通员工"/>
    <n v="24999.96"/>
    <n v="2020"/>
    <x v="2"/>
  </r>
  <r>
    <x v="77"/>
    <n v="1000014273"/>
    <s v="借呗6期"/>
    <n v="2"/>
    <n v="37000.629999999997"/>
    <s v="借呗"/>
    <x v="1"/>
    <x v="0"/>
    <x v="0"/>
    <s v="二组"/>
    <s v="杭州二组"/>
    <s v="普通员工"/>
    <n v="18500.314999999999"/>
    <n v="2020"/>
    <x v="2"/>
  </r>
  <r>
    <x v="77"/>
    <n v="1000014530"/>
    <s v="借呗6期"/>
    <n v="1"/>
    <n v="18000.54"/>
    <s v="借呗"/>
    <x v="1"/>
    <x v="2"/>
    <x v="11"/>
    <s v="一组"/>
    <s v="南宁一组"/>
    <s v="普通员工"/>
    <n v="18000.54"/>
    <n v="2020"/>
    <x v="2"/>
  </r>
  <r>
    <x v="77"/>
    <n v="1000014530"/>
    <s v="借呗12期"/>
    <n v="2"/>
    <n v="21501.02"/>
    <s v="借呗"/>
    <x v="0"/>
    <x v="2"/>
    <x v="11"/>
    <s v="一组"/>
    <s v="南宁一组"/>
    <s v="普通员工"/>
    <n v="10750.51"/>
    <n v="2020"/>
    <x v="2"/>
  </r>
  <r>
    <x v="77"/>
    <n v="1000014996"/>
    <s v="借呗6期"/>
    <n v="2"/>
    <n v="23000.78"/>
    <s v="借呗"/>
    <x v="1"/>
    <x v="1"/>
    <x v="8"/>
    <s v="一组"/>
    <s v="西安一组"/>
    <s v="普通员工"/>
    <n v="11500.39"/>
    <n v="2020"/>
    <x v="2"/>
  </r>
  <r>
    <x v="77"/>
    <n v="1000015015"/>
    <s v="借呗12期"/>
    <n v="2"/>
    <n v="38000.130000000005"/>
    <s v="借呗"/>
    <x v="0"/>
    <x v="0"/>
    <x v="10"/>
    <s v="一组"/>
    <s v="南京一组"/>
    <s v="普通员工"/>
    <n v="19000.065000000002"/>
    <n v="2020"/>
    <x v="2"/>
  </r>
  <r>
    <x v="77"/>
    <n v="1000015203"/>
    <s v="借呗18期"/>
    <n v="1"/>
    <n v="15999.93"/>
    <s v="借呗"/>
    <x v="2"/>
    <x v="2"/>
    <x v="11"/>
    <s v="一组"/>
    <s v="南宁一组"/>
    <s v="普通员工"/>
    <n v="15999.93"/>
    <n v="2020"/>
    <x v="2"/>
  </r>
  <r>
    <x v="77"/>
    <n v="1000015253"/>
    <s v="借呗18期"/>
    <n v="1"/>
    <n v="3000.33"/>
    <s v="借呗"/>
    <x v="2"/>
    <x v="1"/>
    <x v="2"/>
    <s v="一组"/>
    <s v="北京一组"/>
    <s v="普通员工"/>
    <n v="3000.33"/>
    <n v="2020"/>
    <x v="2"/>
  </r>
  <r>
    <x v="78"/>
    <n v="1000000029"/>
    <s v="借呗6期"/>
    <n v="2"/>
    <n v="2550.85"/>
    <s v="借呗"/>
    <x v="1"/>
    <x v="0"/>
    <x v="0"/>
    <s v="二组"/>
    <s v="杭州二组"/>
    <s v="普通员工"/>
    <n v="1275.425"/>
    <n v="2020"/>
    <x v="2"/>
  </r>
  <r>
    <x v="78"/>
    <n v="1000000029"/>
    <s v="借呗12期"/>
    <n v="1"/>
    <n v="1800.59"/>
    <s v="借呗"/>
    <x v="0"/>
    <x v="0"/>
    <x v="0"/>
    <s v="二组"/>
    <s v="杭州二组"/>
    <s v="普通员工"/>
    <n v="1800.59"/>
    <n v="2020"/>
    <x v="2"/>
  </r>
  <r>
    <x v="78"/>
    <n v="1000000029"/>
    <s v="借呗18期"/>
    <n v="2"/>
    <n v="5501.3700000000008"/>
    <s v="借呗"/>
    <x v="2"/>
    <x v="0"/>
    <x v="0"/>
    <s v="二组"/>
    <s v="杭州二组"/>
    <s v="普通员工"/>
    <n v="2750.6850000000004"/>
    <n v="2020"/>
    <x v="2"/>
  </r>
  <r>
    <x v="78"/>
    <n v="1000000030"/>
    <s v="借呗6期"/>
    <n v="1"/>
    <n v="9000.59"/>
    <s v="借呗"/>
    <x v="1"/>
    <x v="2"/>
    <x v="6"/>
    <s v="三组"/>
    <s v="广州三组"/>
    <s v="普通员工"/>
    <n v="9000.59"/>
    <n v="2020"/>
    <x v="2"/>
  </r>
  <r>
    <x v="78"/>
    <n v="1000000032"/>
    <s v="借呗6期"/>
    <n v="3"/>
    <n v="61001.279999999999"/>
    <s v="借呗"/>
    <x v="1"/>
    <x v="0"/>
    <x v="1"/>
    <s v="一组"/>
    <s v="苏州一组"/>
    <s v="管理人员"/>
    <n v="20333.759999999998"/>
    <n v="2020"/>
    <x v="2"/>
  </r>
  <r>
    <x v="78"/>
    <n v="1000000033"/>
    <s v="借呗18期"/>
    <n v="2"/>
    <n v="7500.65"/>
    <s v="借呗"/>
    <x v="2"/>
    <x v="0"/>
    <x v="1"/>
    <s v="一组"/>
    <s v="苏州一组"/>
    <s v="普通员工"/>
    <n v="3750.3249999999998"/>
    <n v="2020"/>
    <x v="2"/>
  </r>
  <r>
    <x v="78"/>
    <n v="1000000034"/>
    <s v="借呗6期"/>
    <n v="1"/>
    <n v="1516.73"/>
    <s v="借呗"/>
    <x v="1"/>
    <x v="0"/>
    <x v="1"/>
    <s v="一组"/>
    <s v="苏州一组"/>
    <s v="普通员工"/>
    <n v="1516.73"/>
    <n v="2020"/>
    <x v="2"/>
  </r>
  <r>
    <x v="78"/>
    <n v="1000000036"/>
    <s v="借呗6期"/>
    <n v="2"/>
    <n v="16211.3"/>
    <s v="借呗"/>
    <x v="1"/>
    <x v="2"/>
    <x v="6"/>
    <s v="三组"/>
    <s v="广州三组"/>
    <s v="管理人员"/>
    <n v="8105.65"/>
    <n v="2020"/>
    <x v="2"/>
  </r>
  <r>
    <x v="78"/>
    <n v="1000000037"/>
    <s v="借呗6期"/>
    <n v="3"/>
    <n v="13001.41"/>
    <s v="借呗"/>
    <x v="1"/>
    <x v="0"/>
    <x v="0"/>
    <s v="二组"/>
    <s v="杭州二组"/>
    <s v="普通员工"/>
    <n v="4333.8033333333333"/>
    <n v="2020"/>
    <x v="2"/>
  </r>
  <r>
    <x v="78"/>
    <n v="1000000039"/>
    <s v="借呗6期"/>
    <n v="2"/>
    <n v="20000.47"/>
    <s v="借呗"/>
    <x v="1"/>
    <x v="0"/>
    <x v="1"/>
    <s v="二组"/>
    <s v="苏州二组"/>
    <s v="管理人员"/>
    <n v="10000.235000000001"/>
    <n v="2020"/>
    <x v="2"/>
  </r>
  <r>
    <x v="78"/>
    <n v="1000000039"/>
    <s v="借呗12期"/>
    <n v="1"/>
    <n v="2999.95"/>
    <s v="借呗"/>
    <x v="0"/>
    <x v="0"/>
    <x v="1"/>
    <s v="二组"/>
    <s v="苏州二组"/>
    <s v="管理人员"/>
    <n v="2999.95"/>
    <n v="2020"/>
    <x v="2"/>
  </r>
  <r>
    <x v="78"/>
    <n v="1000000040"/>
    <s v="借呗6期"/>
    <n v="1"/>
    <n v="11000.46"/>
    <s v="借呗"/>
    <x v="1"/>
    <x v="1"/>
    <x v="2"/>
    <s v="四组"/>
    <s v="北京四组"/>
    <s v="管理人员"/>
    <n v="11000.46"/>
    <n v="2020"/>
    <x v="2"/>
  </r>
  <r>
    <x v="78"/>
    <n v="1000000040"/>
    <s v="借呗12期"/>
    <n v="1"/>
    <n v="9000.24"/>
    <s v="借呗"/>
    <x v="0"/>
    <x v="1"/>
    <x v="2"/>
    <s v="四组"/>
    <s v="北京四组"/>
    <s v="管理人员"/>
    <n v="9000.24"/>
    <n v="2020"/>
    <x v="2"/>
  </r>
  <r>
    <x v="78"/>
    <n v="1000000041"/>
    <s v="借呗6期"/>
    <n v="1"/>
    <n v="4000.64"/>
    <s v="借呗"/>
    <x v="1"/>
    <x v="1"/>
    <x v="2"/>
    <s v="四组"/>
    <s v="北京四组"/>
    <s v="普通员工"/>
    <n v="4000.64"/>
    <n v="2020"/>
    <x v="2"/>
  </r>
  <r>
    <x v="78"/>
    <n v="1000000043"/>
    <s v="借呗6期"/>
    <n v="1"/>
    <n v="10000.549999999999"/>
    <s v="借呗"/>
    <x v="1"/>
    <x v="1"/>
    <x v="4"/>
    <s v="一组"/>
    <s v="成都一组"/>
    <s v="普通员工"/>
    <n v="10000.549999999999"/>
    <n v="2020"/>
    <x v="2"/>
  </r>
  <r>
    <x v="78"/>
    <n v="1000000044"/>
    <s v="借呗6期"/>
    <n v="1"/>
    <n v="4294.3900000000003"/>
    <s v="借呗"/>
    <x v="1"/>
    <x v="1"/>
    <x v="2"/>
    <s v="三组"/>
    <s v="北京三组"/>
    <s v="管理人员"/>
    <n v="4294.3900000000003"/>
    <n v="2020"/>
    <x v="2"/>
  </r>
  <r>
    <x v="78"/>
    <n v="1000000045"/>
    <s v="借呗6期"/>
    <n v="1"/>
    <n v="2000.49"/>
    <s v="借呗"/>
    <x v="1"/>
    <x v="2"/>
    <x v="9"/>
    <s v="一组"/>
    <s v="深圳一组"/>
    <s v="普通员工"/>
    <n v="2000.49"/>
    <n v="2020"/>
    <x v="2"/>
  </r>
  <r>
    <x v="78"/>
    <n v="1000000045"/>
    <s v="借呗18期"/>
    <n v="1"/>
    <n v="938.35"/>
    <s v="借呗"/>
    <x v="2"/>
    <x v="2"/>
    <x v="9"/>
    <s v="一组"/>
    <s v="深圳一组"/>
    <s v="普通员工"/>
    <n v="938.35"/>
    <n v="2020"/>
    <x v="2"/>
  </r>
  <r>
    <x v="78"/>
    <n v="1000000046"/>
    <s v="借呗6期"/>
    <n v="1"/>
    <n v="500.28"/>
    <s v="借呗"/>
    <x v="1"/>
    <x v="1"/>
    <x v="4"/>
    <s v="一组"/>
    <s v="成都一组"/>
    <s v="普通员工"/>
    <n v="500.28"/>
    <n v="2020"/>
    <x v="2"/>
  </r>
  <r>
    <x v="78"/>
    <n v="1000000046"/>
    <s v="借呗18期"/>
    <n v="1"/>
    <n v="710.68"/>
    <s v="借呗"/>
    <x v="2"/>
    <x v="1"/>
    <x v="4"/>
    <s v="一组"/>
    <s v="成都一组"/>
    <s v="普通员工"/>
    <n v="710.68"/>
    <n v="2020"/>
    <x v="2"/>
  </r>
  <r>
    <x v="78"/>
    <n v="1000000050"/>
    <s v="借呗6期"/>
    <n v="1"/>
    <n v="1000.69"/>
    <s v="借呗"/>
    <x v="1"/>
    <x v="0"/>
    <x v="5"/>
    <s v="一组"/>
    <s v="合肥一组"/>
    <s v="普通员工"/>
    <n v="1000.69"/>
    <n v="2020"/>
    <x v="2"/>
  </r>
  <r>
    <x v="78"/>
    <n v="1000000050"/>
    <s v="借呗18期"/>
    <n v="1"/>
    <n v="18000.240000000002"/>
    <s v="借呗"/>
    <x v="2"/>
    <x v="0"/>
    <x v="5"/>
    <s v="一组"/>
    <s v="合肥一组"/>
    <s v="普通员工"/>
    <n v="18000.240000000002"/>
    <n v="2020"/>
    <x v="2"/>
  </r>
  <r>
    <x v="78"/>
    <n v="1000000067"/>
    <s v="借呗6期"/>
    <n v="2"/>
    <n v="7000.49"/>
    <s v="借呗"/>
    <x v="1"/>
    <x v="0"/>
    <x v="1"/>
    <s v="二组"/>
    <s v="苏州二组"/>
    <s v="普通员工"/>
    <n v="3500.2449999999999"/>
    <n v="2020"/>
    <x v="2"/>
  </r>
  <r>
    <x v="78"/>
    <n v="1000000067"/>
    <s v="借呗12期"/>
    <n v="2"/>
    <n v="42000.270000000004"/>
    <s v="借呗"/>
    <x v="0"/>
    <x v="0"/>
    <x v="1"/>
    <s v="二组"/>
    <s v="苏州二组"/>
    <s v="普通员工"/>
    <n v="21000.135000000002"/>
    <n v="2020"/>
    <x v="2"/>
  </r>
  <r>
    <x v="78"/>
    <n v="1000000068"/>
    <s v="借呗12期"/>
    <n v="1"/>
    <n v="10999.99"/>
    <s v="借呗"/>
    <x v="0"/>
    <x v="1"/>
    <x v="7"/>
    <s v="一组"/>
    <s v="重庆一组"/>
    <s v="管理人员"/>
    <n v="10999.99"/>
    <n v="2020"/>
    <x v="2"/>
  </r>
  <r>
    <x v="78"/>
    <n v="1000000237"/>
    <s v="借呗18期"/>
    <n v="2"/>
    <n v="20725.75"/>
    <s v="借呗"/>
    <x v="2"/>
    <x v="0"/>
    <x v="5"/>
    <s v="一组"/>
    <s v="合肥一组"/>
    <s v="普通员工"/>
    <n v="10362.875"/>
    <n v="2020"/>
    <x v="2"/>
  </r>
  <r>
    <x v="78"/>
    <n v="1000000566"/>
    <s v="借呗6期"/>
    <n v="2"/>
    <n v="7000.4500000000007"/>
    <s v="借呗"/>
    <x v="1"/>
    <x v="2"/>
    <x v="6"/>
    <s v="三组"/>
    <s v="广州三组"/>
    <s v="普通员工"/>
    <n v="3500.2250000000004"/>
    <n v="2020"/>
    <x v="2"/>
  </r>
  <r>
    <x v="78"/>
    <n v="1000000566"/>
    <s v="借呗12期"/>
    <n v="1"/>
    <n v="5000.6899999999996"/>
    <s v="借呗"/>
    <x v="0"/>
    <x v="2"/>
    <x v="6"/>
    <s v="三组"/>
    <s v="广州三组"/>
    <s v="普通员工"/>
    <n v="5000.6899999999996"/>
    <n v="2020"/>
    <x v="2"/>
  </r>
  <r>
    <x v="78"/>
    <n v="1000000576"/>
    <s v="借呗12期"/>
    <n v="1"/>
    <n v="538.48"/>
    <s v="借呗"/>
    <x v="0"/>
    <x v="0"/>
    <x v="1"/>
    <s v="三组"/>
    <s v="苏州三组"/>
    <s v="普通员工"/>
    <n v="538.48"/>
    <n v="2020"/>
    <x v="2"/>
  </r>
  <r>
    <x v="78"/>
    <n v="1000000576"/>
    <s v="借呗18期"/>
    <n v="1"/>
    <n v="500.1"/>
    <s v="借呗"/>
    <x v="2"/>
    <x v="0"/>
    <x v="1"/>
    <s v="三组"/>
    <s v="苏州三组"/>
    <s v="普通员工"/>
    <n v="500.1"/>
    <n v="2020"/>
    <x v="2"/>
  </r>
  <r>
    <x v="78"/>
    <n v="1000000594"/>
    <s v="借呗12期"/>
    <n v="2"/>
    <n v="37000.559999999998"/>
    <s v="借呗"/>
    <x v="0"/>
    <x v="0"/>
    <x v="1"/>
    <s v="二组"/>
    <s v="苏州二组"/>
    <s v="普通员工"/>
    <n v="18500.28"/>
    <n v="2020"/>
    <x v="2"/>
  </r>
  <r>
    <x v="78"/>
    <n v="1000000928"/>
    <s v="借呗12期"/>
    <n v="3"/>
    <n v="41001.019999999997"/>
    <s v="借呗"/>
    <x v="0"/>
    <x v="1"/>
    <x v="8"/>
    <s v="一组"/>
    <s v="西安一组"/>
    <s v="普通员工"/>
    <n v="13667.006666666666"/>
    <n v="2020"/>
    <x v="2"/>
  </r>
  <r>
    <x v="78"/>
    <n v="1000001524"/>
    <s v="借呗6期"/>
    <n v="1"/>
    <n v="7000.45"/>
    <s v="借呗"/>
    <x v="1"/>
    <x v="0"/>
    <x v="1"/>
    <s v="二组"/>
    <s v="苏州二组"/>
    <s v="普通员工"/>
    <n v="7000.45"/>
    <n v="2020"/>
    <x v="2"/>
  </r>
  <r>
    <x v="78"/>
    <n v="1000001524"/>
    <s v="借呗12期"/>
    <n v="2"/>
    <n v="19000.71"/>
    <s v="借呗"/>
    <x v="0"/>
    <x v="0"/>
    <x v="1"/>
    <s v="二组"/>
    <s v="苏州二组"/>
    <s v="普通员工"/>
    <n v="9500.3549999999996"/>
    <n v="2020"/>
    <x v="2"/>
  </r>
  <r>
    <x v="78"/>
    <n v="1000003489"/>
    <s v="借呗6期"/>
    <n v="1"/>
    <n v="20000.629999999997"/>
    <s v="借呗"/>
    <x v="1"/>
    <x v="2"/>
    <x v="6"/>
    <s v="一组"/>
    <s v="广州一组"/>
    <s v="普通员工"/>
    <n v="20000.629999999997"/>
    <n v="2020"/>
    <x v="2"/>
  </r>
  <r>
    <x v="78"/>
    <n v="1000003489"/>
    <s v="借呗12期"/>
    <n v="1"/>
    <n v="8000.21"/>
    <s v="借呗"/>
    <x v="0"/>
    <x v="2"/>
    <x v="6"/>
    <s v="一组"/>
    <s v="广州一组"/>
    <s v="普通员工"/>
    <n v="8000.21"/>
    <n v="2020"/>
    <x v="2"/>
  </r>
  <r>
    <x v="78"/>
    <n v="1000003803"/>
    <s v="借呗18期"/>
    <n v="1"/>
    <n v="2000.03"/>
    <s v="借呗"/>
    <x v="2"/>
    <x v="1"/>
    <x v="2"/>
    <s v="三组"/>
    <s v="北京三组"/>
    <s v="普通员工"/>
    <n v="2000.03"/>
    <n v="2020"/>
    <x v="2"/>
  </r>
  <r>
    <x v="78"/>
    <n v="1000003926"/>
    <s v="借呗6期"/>
    <n v="3"/>
    <n v="33001.1"/>
    <s v="借呗"/>
    <x v="1"/>
    <x v="2"/>
    <x v="6"/>
    <s v="一组"/>
    <s v="广州一组"/>
    <s v="管理人员"/>
    <n v="11000.366666666667"/>
    <n v="2020"/>
    <x v="2"/>
  </r>
  <r>
    <x v="78"/>
    <n v="1000003989"/>
    <s v="借呗12期"/>
    <n v="1"/>
    <n v="15000.16"/>
    <s v="借呗"/>
    <x v="0"/>
    <x v="1"/>
    <x v="2"/>
    <s v="三组"/>
    <s v="北京三组"/>
    <s v="普通员工"/>
    <n v="15000.16"/>
    <n v="2020"/>
    <x v="2"/>
  </r>
  <r>
    <x v="78"/>
    <n v="1000004170"/>
    <s v="借呗18期"/>
    <n v="1"/>
    <n v="18000.29"/>
    <s v="借呗"/>
    <x v="2"/>
    <x v="0"/>
    <x v="3"/>
    <s v="二组"/>
    <s v="上海二组"/>
    <s v="管理人员"/>
    <n v="18000.29"/>
    <n v="2020"/>
    <x v="2"/>
  </r>
  <r>
    <x v="78"/>
    <n v="1000004256"/>
    <s v="借呗12期"/>
    <n v="2"/>
    <n v="16500.97"/>
    <s v="借呗"/>
    <x v="0"/>
    <x v="0"/>
    <x v="5"/>
    <s v="一组"/>
    <s v="合肥一组"/>
    <s v="普通员工"/>
    <n v="8250.4850000000006"/>
    <n v="2020"/>
    <x v="2"/>
  </r>
  <r>
    <x v="78"/>
    <n v="1000004256"/>
    <s v="借呗18期"/>
    <n v="1"/>
    <n v="18000.060000000001"/>
    <s v="借呗"/>
    <x v="2"/>
    <x v="0"/>
    <x v="5"/>
    <s v="一组"/>
    <s v="合肥一组"/>
    <s v="普通员工"/>
    <n v="18000.060000000001"/>
    <n v="2020"/>
    <x v="2"/>
  </r>
  <r>
    <x v="78"/>
    <n v="1000005873"/>
    <s v="借呗12期"/>
    <n v="2"/>
    <n v="27000.11"/>
    <s v="借呗"/>
    <x v="0"/>
    <x v="0"/>
    <x v="0"/>
    <s v="二组"/>
    <s v="杭州二组"/>
    <s v="管理人员"/>
    <n v="13500.055"/>
    <n v="2020"/>
    <x v="2"/>
  </r>
  <r>
    <x v="78"/>
    <n v="1000006064"/>
    <s v="借呗6期"/>
    <n v="1"/>
    <n v="994.32"/>
    <s v="借呗"/>
    <x v="1"/>
    <x v="0"/>
    <x v="5"/>
    <s v="一组"/>
    <s v="合肥一组"/>
    <s v="普通员工"/>
    <n v="994.32"/>
    <n v="2020"/>
    <x v="2"/>
  </r>
  <r>
    <x v="78"/>
    <n v="1000006064"/>
    <s v="借呗12期"/>
    <n v="1"/>
    <n v="6500.5"/>
    <s v="借呗"/>
    <x v="0"/>
    <x v="0"/>
    <x v="5"/>
    <s v="一组"/>
    <s v="合肥一组"/>
    <s v="普通员工"/>
    <n v="6500.5"/>
    <n v="2020"/>
    <x v="2"/>
  </r>
  <r>
    <x v="78"/>
    <n v="1000006698"/>
    <s v="借呗6期"/>
    <n v="1"/>
    <n v="7499.97"/>
    <s v="借呗"/>
    <x v="1"/>
    <x v="1"/>
    <x v="4"/>
    <s v="一组"/>
    <s v="成都一组"/>
    <s v="管理人员"/>
    <n v="7499.97"/>
    <n v="2020"/>
    <x v="2"/>
  </r>
  <r>
    <x v="78"/>
    <n v="1000006859"/>
    <s v="借呗6期"/>
    <n v="1"/>
    <n v="5999.99"/>
    <s v="借呗"/>
    <x v="1"/>
    <x v="0"/>
    <x v="10"/>
    <s v="一组"/>
    <s v="南京一组"/>
    <s v="普通员工"/>
    <n v="5999.99"/>
    <n v="2020"/>
    <x v="2"/>
  </r>
  <r>
    <x v="78"/>
    <n v="1000006859"/>
    <s v="借呗18期"/>
    <n v="1"/>
    <n v="27000.66"/>
    <s v="借呗"/>
    <x v="2"/>
    <x v="0"/>
    <x v="10"/>
    <s v="一组"/>
    <s v="南京一组"/>
    <s v="普通员工"/>
    <n v="27000.66"/>
    <n v="2020"/>
    <x v="2"/>
  </r>
  <r>
    <x v="78"/>
    <n v="1000006867"/>
    <s v="借呗6期"/>
    <n v="1"/>
    <n v="20000.54"/>
    <s v="借呗"/>
    <x v="1"/>
    <x v="0"/>
    <x v="10"/>
    <s v="一组"/>
    <s v="南京一组"/>
    <s v="普通员工"/>
    <n v="20000.54"/>
    <n v="2020"/>
    <x v="2"/>
  </r>
  <r>
    <x v="78"/>
    <n v="1000006869"/>
    <s v="借呗12期"/>
    <n v="1"/>
    <n v="6000.24"/>
    <s v="借呗"/>
    <x v="0"/>
    <x v="0"/>
    <x v="10"/>
    <s v="一组"/>
    <s v="南京一组"/>
    <s v="普通员工"/>
    <n v="6000.24"/>
    <n v="2020"/>
    <x v="2"/>
  </r>
  <r>
    <x v="78"/>
    <n v="1000008228"/>
    <s v="借呗6期"/>
    <n v="1"/>
    <n v="9999.98"/>
    <s v="借呗"/>
    <x v="1"/>
    <x v="1"/>
    <x v="2"/>
    <s v="三组"/>
    <s v="北京三组"/>
    <s v="普通员工"/>
    <n v="9999.98"/>
    <n v="2020"/>
    <x v="2"/>
  </r>
  <r>
    <x v="78"/>
    <n v="1000008239"/>
    <s v="借呗6期"/>
    <n v="1"/>
    <n v="7000.14"/>
    <s v="借呗"/>
    <x v="1"/>
    <x v="0"/>
    <x v="10"/>
    <s v="一组"/>
    <s v="南京一组"/>
    <s v="管理人员"/>
    <n v="7000.14"/>
    <n v="2020"/>
    <x v="2"/>
  </r>
  <r>
    <x v="78"/>
    <n v="1000008239"/>
    <s v="借呗12期"/>
    <n v="1"/>
    <n v="13000.75"/>
    <s v="借呗"/>
    <x v="0"/>
    <x v="0"/>
    <x v="10"/>
    <s v="一组"/>
    <s v="南京一组"/>
    <s v="管理人员"/>
    <n v="13000.75"/>
    <n v="2020"/>
    <x v="2"/>
  </r>
  <r>
    <x v="78"/>
    <n v="1000009288"/>
    <s v="借呗6期"/>
    <n v="2"/>
    <n v="27999.99"/>
    <s v="借呗"/>
    <x v="1"/>
    <x v="0"/>
    <x v="1"/>
    <s v="二组"/>
    <s v="苏州二组"/>
    <s v="普通员工"/>
    <n v="13999.995000000001"/>
    <n v="2020"/>
    <x v="2"/>
  </r>
  <r>
    <x v="78"/>
    <n v="1000010837"/>
    <s v="借呗18期"/>
    <n v="1"/>
    <n v="500.22"/>
    <s v="借呗"/>
    <x v="2"/>
    <x v="0"/>
    <x v="10"/>
    <s v="一组"/>
    <s v="南京一组"/>
    <s v="普通员工"/>
    <n v="500.22"/>
    <n v="2020"/>
    <x v="2"/>
  </r>
  <r>
    <x v="78"/>
    <n v="1000011538"/>
    <s v="借呗6期"/>
    <n v="1"/>
    <n v="5000.3599999999997"/>
    <s v="借呗"/>
    <x v="1"/>
    <x v="0"/>
    <x v="5"/>
    <s v="二组"/>
    <s v="合肥二组"/>
    <s v="普通员工"/>
    <n v="5000.3599999999997"/>
    <n v="2020"/>
    <x v="2"/>
  </r>
  <r>
    <x v="78"/>
    <n v="1000011697"/>
    <s v="借呗6期"/>
    <n v="1"/>
    <n v="8000.08"/>
    <s v="借呗"/>
    <x v="1"/>
    <x v="0"/>
    <x v="3"/>
    <s v="二组"/>
    <s v="上海二组"/>
    <s v="普通员工"/>
    <n v="8000.08"/>
    <n v="2020"/>
    <x v="2"/>
  </r>
  <r>
    <x v="78"/>
    <n v="1000011697"/>
    <s v="借呗12期"/>
    <n v="1"/>
    <n v="1797.44"/>
    <s v="借呗"/>
    <x v="0"/>
    <x v="0"/>
    <x v="3"/>
    <s v="二组"/>
    <s v="上海二组"/>
    <s v="普通员工"/>
    <n v="1797.44"/>
    <n v="2020"/>
    <x v="2"/>
  </r>
  <r>
    <x v="78"/>
    <n v="1000011698"/>
    <s v="借呗6期"/>
    <n v="1"/>
    <n v="8000.38"/>
    <s v="借呗"/>
    <x v="1"/>
    <x v="0"/>
    <x v="3"/>
    <s v="二组"/>
    <s v="上海二组"/>
    <s v="普通员工"/>
    <n v="8000.38"/>
    <n v="2020"/>
    <x v="2"/>
  </r>
  <r>
    <x v="78"/>
    <n v="1000011698"/>
    <s v="借呗12期"/>
    <n v="3"/>
    <n v="39001.440000000002"/>
    <s v="借呗"/>
    <x v="0"/>
    <x v="0"/>
    <x v="3"/>
    <s v="二组"/>
    <s v="上海二组"/>
    <s v="普通员工"/>
    <n v="13000.480000000001"/>
    <n v="2020"/>
    <x v="2"/>
  </r>
  <r>
    <x v="78"/>
    <n v="1000011828"/>
    <s v="借呗12期"/>
    <n v="1"/>
    <n v="7000.38"/>
    <s v="借呗"/>
    <x v="0"/>
    <x v="0"/>
    <x v="0"/>
    <s v="二组"/>
    <s v="杭州二组"/>
    <s v="普通员工"/>
    <n v="7000.38"/>
    <n v="2020"/>
    <x v="2"/>
  </r>
  <r>
    <x v="78"/>
    <n v="1000012099"/>
    <s v="借呗12期"/>
    <n v="1"/>
    <n v="18000.73"/>
    <s v="借呗"/>
    <x v="0"/>
    <x v="0"/>
    <x v="0"/>
    <s v="二组"/>
    <s v="杭州二组"/>
    <s v="普通员工"/>
    <n v="18000.73"/>
    <n v="2020"/>
    <x v="2"/>
  </r>
  <r>
    <x v="78"/>
    <n v="1000012112"/>
    <s v="借呗6期"/>
    <n v="1"/>
    <n v="7000.75"/>
    <s v="借呗"/>
    <x v="1"/>
    <x v="0"/>
    <x v="0"/>
    <s v="三组"/>
    <s v="杭州三组"/>
    <s v="管理人员"/>
    <n v="7000.75"/>
    <n v="2020"/>
    <x v="2"/>
  </r>
  <r>
    <x v="78"/>
    <n v="1000012112"/>
    <s v="借呗18期"/>
    <n v="1"/>
    <n v="20000.400000000001"/>
    <s v="借呗"/>
    <x v="2"/>
    <x v="0"/>
    <x v="0"/>
    <s v="三组"/>
    <s v="杭州三组"/>
    <s v="管理人员"/>
    <n v="20000.400000000001"/>
    <n v="2020"/>
    <x v="2"/>
  </r>
  <r>
    <x v="78"/>
    <n v="1000012124"/>
    <s v="借呗6期"/>
    <n v="1"/>
    <n v="22000.67"/>
    <s v="借呗"/>
    <x v="1"/>
    <x v="0"/>
    <x v="0"/>
    <s v="一组"/>
    <s v="杭州一组"/>
    <s v="普通员工"/>
    <n v="22000.67"/>
    <n v="2020"/>
    <x v="2"/>
  </r>
  <r>
    <x v="78"/>
    <n v="1000012124"/>
    <s v="借呗12期"/>
    <n v="1"/>
    <n v="6000.46"/>
    <s v="借呗"/>
    <x v="0"/>
    <x v="0"/>
    <x v="0"/>
    <s v="一组"/>
    <s v="杭州一组"/>
    <s v="普通员工"/>
    <n v="6000.46"/>
    <n v="2020"/>
    <x v="2"/>
  </r>
  <r>
    <x v="78"/>
    <n v="1000012446"/>
    <s v="借呗6期"/>
    <n v="1"/>
    <n v="4988.32"/>
    <s v="借呗"/>
    <x v="1"/>
    <x v="1"/>
    <x v="2"/>
    <s v="三组"/>
    <s v="北京三组"/>
    <s v="普通员工"/>
    <n v="4988.32"/>
    <n v="2020"/>
    <x v="2"/>
  </r>
  <r>
    <x v="78"/>
    <n v="1000012446"/>
    <s v="借呗12期"/>
    <n v="1"/>
    <n v="7999.96"/>
    <s v="借呗"/>
    <x v="0"/>
    <x v="1"/>
    <x v="2"/>
    <s v="三组"/>
    <s v="北京三组"/>
    <s v="普通员工"/>
    <n v="7999.96"/>
    <n v="2020"/>
    <x v="2"/>
  </r>
  <r>
    <x v="78"/>
    <n v="1000012675"/>
    <s v="借呗6期"/>
    <n v="1"/>
    <n v="1000.04"/>
    <s v="借呗"/>
    <x v="1"/>
    <x v="0"/>
    <x v="3"/>
    <s v="一组"/>
    <s v="上海一组"/>
    <s v="普通员工"/>
    <n v="1000.04"/>
    <n v="2020"/>
    <x v="2"/>
  </r>
  <r>
    <x v="78"/>
    <n v="1000013535"/>
    <s v="借呗12期"/>
    <n v="1"/>
    <n v="15999.94"/>
    <s v="借呗"/>
    <x v="0"/>
    <x v="2"/>
    <x v="6"/>
    <s v="三组"/>
    <s v="广州三组"/>
    <s v="普通员工"/>
    <n v="15999.94"/>
    <n v="2020"/>
    <x v="2"/>
  </r>
  <r>
    <x v="78"/>
    <n v="1000013546"/>
    <s v="借呗18期"/>
    <n v="1"/>
    <n v="15000.67"/>
    <s v="借呗"/>
    <x v="2"/>
    <x v="0"/>
    <x v="5"/>
    <s v="一组"/>
    <s v="合肥一组"/>
    <s v="普通员工"/>
    <n v="15000.67"/>
    <n v="2020"/>
    <x v="2"/>
  </r>
  <r>
    <x v="78"/>
    <n v="1000013607"/>
    <s v="借呗6期"/>
    <n v="1"/>
    <n v="5500.48"/>
    <s v="借呗"/>
    <x v="1"/>
    <x v="0"/>
    <x v="1"/>
    <s v="一组"/>
    <s v="苏州一组"/>
    <s v="普通员工"/>
    <n v="5500.48"/>
    <n v="2020"/>
    <x v="2"/>
  </r>
  <r>
    <x v="78"/>
    <n v="1000014291"/>
    <s v="借呗6期"/>
    <n v="1"/>
    <n v="8401.19"/>
    <s v="借呗"/>
    <x v="1"/>
    <x v="2"/>
    <x v="6"/>
    <s v="二组"/>
    <s v="广州二组"/>
    <s v="管理人员"/>
    <n v="8401.19"/>
    <n v="2020"/>
    <x v="2"/>
  </r>
  <r>
    <x v="78"/>
    <n v="1000014291"/>
    <s v="借呗12期"/>
    <n v="1"/>
    <n v="9000.48"/>
    <s v="借呗"/>
    <x v="0"/>
    <x v="2"/>
    <x v="6"/>
    <s v="二组"/>
    <s v="广州二组"/>
    <s v="管理人员"/>
    <n v="9000.48"/>
    <n v="2020"/>
    <x v="2"/>
  </r>
  <r>
    <x v="78"/>
    <n v="1000014291"/>
    <s v="借呗18期"/>
    <n v="2"/>
    <n v="32001.07"/>
    <s v="借呗"/>
    <x v="2"/>
    <x v="2"/>
    <x v="6"/>
    <s v="二组"/>
    <s v="广州二组"/>
    <s v="管理人员"/>
    <n v="16000.535"/>
    <n v="2020"/>
    <x v="2"/>
  </r>
  <r>
    <x v="78"/>
    <n v="1000014530"/>
    <s v="借呗12期"/>
    <n v="2"/>
    <n v="21000.71"/>
    <s v="借呗"/>
    <x v="0"/>
    <x v="2"/>
    <x v="11"/>
    <s v="一组"/>
    <s v="南宁一组"/>
    <s v="普通员工"/>
    <n v="10500.355"/>
    <n v="2020"/>
    <x v="2"/>
  </r>
  <r>
    <x v="78"/>
    <n v="1000014530"/>
    <s v="借呗18期"/>
    <n v="1"/>
    <n v="5000.41"/>
    <s v="借呗"/>
    <x v="2"/>
    <x v="2"/>
    <x v="11"/>
    <s v="一组"/>
    <s v="南宁一组"/>
    <s v="普通员工"/>
    <n v="5000.41"/>
    <n v="2020"/>
    <x v="2"/>
  </r>
  <r>
    <x v="78"/>
    <n v="1000014572"/>
    <s v="借呗6期"/>
    <n v="1"/>
    <n v="9000.67"/>
    <s v="借呗"/>
    <x v="1"/>
    <x v="0"/>
    <x v="3"/>
    <s v="一组"/>
    <s v="上海一组"/>
    <s v="普通员工"/>
    <n v="9000.67"/>
    <n v="2020"/>
    <x v="2"/>
  </r>
  <r>
    <x v="78"/>
    <n v="1000014588"/>
    <s v="借呗12期"/>
    <n v="1"/>
    <n v="17000.759999999998"/>
    <s v="借呗"/>
    <x v="0"/>
    <x v="0"/>
    <x v="5"/>
    <s v="二组"/>
    <s v="合肥二组"/>
    <s v="普通员工"/>
    <n v="17000.759999999998"/>
    <n v="2020"/>
    <x v="2"/>
  </r>
  <r>
    <x v="78"/>
    <n v="1000014879"/>
    <s v="借呗6期"/>
    <n v="1"/>
    <n v="25000.16"/>
    <s v="借呗"/>
    <x v="1"/>
    <x v="0"/>
    <x v="5"/>
    <s v="一组"/>
    <s v="合肥一组"/>
    <s v="普通员工"/>
    <n v="25000.16"/>
    <n v="2020"/>
    <x v="2"/>
  </r>
  <r>
    <x v="78"/>
    <n v="1000015015"/>
    <s v="借呗18期"/>
    <n v="1"/>
    <n v="22000.01"/>
    <s v="借呗"/>
    <x v="2"/>
    <x v="0"/>
    <x v="10"/>
    <s v="一组"/>
    <s v="南京一组"/>
    <s v="普通员工"/>
    <n v="22000.01"/>
    <n v="2020"/>
    <x v="2"/>
  </r>
  <r>
    <x v="78"/>
    <n v="1000015203"/>
    <s v="借呗12期"/>
    <n v="1"/>
    <n v="15000.75"/>
    <s v="借呗"/>
    <x v="0"/>
    <x v="2"/>
    <x v="11"/>
    <s v="一组"/>
    <s v="南宁一组"/>
    <s v="普通员工"/>
    <n v="15000.75"/>
    <n v="2020"/>
    <x v="2"/>
  </r>
  <r>
    <x v="78"/>
    <n v="1000015203"/>
    <s v="借呗18期"/>
    <n v="1"/>
    <n v="20000.14"/>
    <s v="借呗"/>
    <x v="2"/>
    <x v="2"/>
    <x v="11"/>
    <s v="一组"/>
    <s v="南宁一组"/>
    <s v="普通员工"/>
    <n v="20000.14"/>
    <n v="2020"/>
    <x v="2"/>
  </r>
  <r>
    <x v="78"/>
    <n v="1000015253"/>
    <s v="借呗12期"/>
    <n v="1"/>
    <n v="15000.04"/>
    <s v="借呗"/>
    <x v="0"/>
    <x v="1"/>
    <x v="2"/>
    <s v="一组"/>
    <s v="北京一组"/>
    <s v="普通员工"/>
    <n v="15000.04"/>
    <n v="2020"/>
    <x v="2"/>
  </r>
  <r>
    <x v="79"/>
    <n v="1000000028"/>
    <s v="借呗6期"/>
    <n v="3"/>
    <n v="2139.98"/>
    <s v="借呗"/>
    <x v="1"/>
    <x v="0"/>
    <x v="0"/>
    <s v="二组"/>
    <s v="杭州二组"/>
    <s v="普通员工"/>
    <n v="713.32666666666671"/>
    <n v="2020"/>
    <x v="2"/>
  </r>
  <r>
    <x v="79"/>
    <n v="1000000029"/>
    <s v="借呗6期"/>
    <n v="1"/>
    <n v="17000.11"/>
    <s v="借呗"/>
    <x v="1"/>
    <x v="0"/>
    <x v="0"/>
    <s v="二组"/>
    <s v="杭州二组"/>
    <s v="普通员工"/>
    <n v="17000.11"/>
    <n v="2020"/>
    <x v="2"/>
  </r>
  <r>
    <x v="79"/>
    <n v="1000000029"/>
    <s v="借呗12期"/>
    <n v="1"/>
    <n v="6000.65"/>
    <s v="借呗"/>
    <x v="0"/>
    <x v="0"/>
    <x v="0"/>
    <s v="二组"/>
    <s v="杭州二组"/>
    <s v="普通员工"/>
    <n v="6000.65"/>
    <n v="2020"/>
    <x v="2"/>
  </r>
  <r>
    <x v="79"/>
    <n v="1000000030"/>
    <s v="借呗6期"/>
    <n v="1"/>
    <n v="1143.1099999999999"/>
    <s v="借呗"/>
    <x v="1"/>
    <x v="2"/>
    <x v="6"/>
    <s v="三组"/>
    <s v="广州三组"/>
    <s v="普通员工"/>
    <n v="1143.1099999999999"/>
    <n v="2020"/>
    <x v="2"/>
  </r>
  <r>
    <x v="79"/>
    <n v="1000000031"/>
    <s v="借呗6期"/>
    <n v="1"/>
    <n v="2000.07"/>
    <s v="借呗"/>
    <x v="1"/>
    <x v="0"/>
    <x v="0"/>
    <s v="一组"/>
    <s v="杭州一组"/>
    <s v="管理人员"/>
    <n v="2000.07"/>
    <n v="2020"/>
    <x v="2"/>
  </r>
  <r>
    <x v="79"/>
    <n v="1000000031"/>
    <s v="借呗12期"/>
    <n v="1"/>
    <n v="549.71"/>
    <s v="借呗"/>
    <x v="0"/>
    <x v="0"/>
    <x v="0"/>
    <s v="一组"/>
    <s v="杭州一组"/>
    <s v="管理人员"/>
    <n v="549.71"/>
    <n v="2020"/>
    <x v="2"/>
  </r>
  <r>
    <x v="79"/>
    <n v="1000000031"/>
    <s v="借呗18期"/>
    <n v="1"/>
    <n v="10000.51"/>
    <s v="借呗"/>
    <x v="2"/>
    <x v="0"/>
    <x v="0"/>
    <s v="一组"/>
    <s v="杭州一组"/>
    <s v="管理人员"/>
    <n v="10000.51"/>
    <n v="2020"/>
    <x v="2"/>
  </r>
  <r>
    <x v="79"/>
    <n v="1000000032"/>
    <s v="借呗6期"/>
    <n v="1"/>
    <n v="9000.09"/>
    <s v="借呗"/>
    <x v="1"/>
    <x v="0"/>
    <x v="1"/>
    <s v="一组"/>
    <s v="苏州一组"/>
    <s v="管理人员"/>
    <n v="9000.09"/>
    <n v="2020"/>
    <x v="2"/>
  </r>
  <r>
    <x v="79"/>
    <n v="1000000032"/>
    <s v="借呗12期"/>
    <n v="1"/>
    <n v="13000.6"/>
    <s v="借呗"/>
    <x v="0"/>
    <x v="0"/>
    <x v="1"/>
    <s v="一组"/>
    <s v="苏州一组"/>
    <s v="管理人员"/>
    <n v="13000.6"/>
    <n v="2020"/>
    <x v="2"/>
  </r>
  <r>
    <x v="79"/>
    <n v="1000000033"/>
    <s v="借呗12期"/>
    <n v="1"/>
    <n v="10000.76"/>
    <s v="借呗"/>
    <x v="0"/>
    <x v="0"/>
    <x v="1"/>
    <s v="一组"/>
    <s v="苏州一组"/>
    <s v="普通员工"/>
    <n v="10000.76"/>
    <n v="2020"/>
    <x v="2"/>
  </r>
  <r>
    <x v="79"/>
    <n v="1000000034"/>
    <s v="借呗6期"/>
    <n v="1"/>
    <n v="2148.2800000000002"/>
    <s v="借呗"/>
    <x v="1"/>
    <x v="0"/>
    <x v="1"/>
    <s v="一组"/>
    <s v="苏州一组"/>
    <s v="普通员工"/>
    <n v="2148.2800000000002"/>
    <n v="2020"/>
    <x v="2"/>
  </r>
  <r>
    <x v="79"/>
    <n v="1000000034"/>
    <s v="借呗12期"/>
    <n v="2"/>
    <n v="29000.21"/>
    <s v="借呗"/>
    <x v="0"/>
    <x v="0"/>
    <x v="1"/>
    <s v="一组"/>
    <s v="苏州一组"/>
    <s v="普通员工"/>
    <n v="14500.105"/>
    <n v="2020"/>
    <x v="2"/>
  </r>
  <r>
    <x v="79"/>
    <n v="1000000035"/>
    <s v="借呗6期"/>
    <n v="1"/>
    <n v="1500.2"/>
    <s v="借呗"/>
    <x v="1"/>
    <x v="0"/>
    <x v="1"/>
    <s v="三组"/>
    <s v="苏州三组"/>
    <s v="普通员工"/>
    <n v="1500.2"/>
    <n v="2020"/>
    <x v="2"/>
  </r>
  <r>
    <x v="79"/>
    <n v="1000000036"/>
    <s v="借呗6期"/>
    <n v="2"/>
    <n v="9701.07"/>
    <s v="借呗"/>
    <x v="1"/>
    <x v="2"/>
    <x v="6"/>
    <s v="三组"/>
    <s v="广州三组"/>
    <s v="管理人员"/>
    <n v="4850.5349999999999"/>
    <n v="2020"/>
    <x v="2"/>
  </r>
  <r>
    <x v="79"/>
    <n v="1000000039"/>
    <s v="借呗18期"/>
    <n v="1"/>
    <n v="25000"/>
    <s v="借呗"/>
    <x v="2"/>
    <x v="0"/>
    <x v="1"/>
    <s v="二组"/>
    <s v="苏州二组"/>
    <s v="管理人员"/>
    <n v="25000"/>
    <n v="2020"/>
    <x v="2"/>
  </r>
  <r>
    <x v="79"/>
    <n v="1000000040"/>
    <s v="借呗6期"/>
    <n v="2"/>
    <n v="16000.760000000002"/>
    <s v="借呗"/>
    <x v="1"/>
    <x v="1"/>
    <x v="2"/>
    <s v="四组"/>
    <s v="北京四组"/>
    <s v="管理人员"/>
    <n v="8000.380000000001"/>
    <n v="2020"/>
    <x v="2"/>
  </r>
  <r>
    <x v="79"/>
    <n v="1000000041"/>
    <s v="借呗6期"/>
    <n v="1"/>
    <n v="5000.17"/>
    <s v="借呗"/>
    <x v="1"/>
    <x v="1"/>
    <x v="2"/>
    <s v="四组"/>
    <s v="北京四组"/>
    <s v="普通员工"/>
    <n v="5000.17"/>
    <n v="2020"/>
    <x v="2"/>
  </r>
  <r>
    <x v="79"/>
    <n v="1000000041"/>
    <s v="借呗12期"/>
    <n v="1"/>
    <n v="16000.54"/>
    <s v="借呗"/>
    <x v="0"/>
    <x v="1"/>
    <x v="2"/>
    <s v="四组"/>
    <s v="北京四组"/>
    <s v="普通员工"/>
    <n v="16000.54"/>
    <n v="2020"/>
    <x v="2"/>
  </r>
  <r>
    <x v="79"/>
    <n v="1000000044"/>
    <s v="借呗6期"/>
    <n v="1"/>
    <n v="10000.36"/>
    <s v="借呗"/>
    <x v="1"/>
    <x v="1"/>
    <x v="2"/>
    <s v="三组"/>
    <s v="北京三组"/>
    <s v="管理人员"/>
    <n v="10000.36"/>
    <n v="2020"/>
    <x v="2"/>
  </r>
  <r>
    <x v="79"/>
    <n v="1000000044"/>
    <s v="借呗12期"/>
    <n v="1"/>
    <n v="6000.75"/>
    <s v="借呗"/>
    <x v="0"/>
    <x v="1"/>
    <x v="2"/>
    <s v="三组"/>
    <s v="北京三组"/>
    <s v="管理人员"/>
    <n v="6000.75"/>
    <n v="2020"/>
    <x v="2"/>
  </r>
  <r>
    <x v="79"/>
    <n v="1000000044"/>
    <s v="借呗18期"/>
    <n v="1"/>
    <n v="1300.06"/>
    <s v="借呗"/>
    <x v="2"/>
    <x v="1"/>
    <x v="2"/>
    <s v="三组"/>
    <s v="北京三组"/>
    <s v="管理人员"/>
    <n v="1300.06"/>
    <n v="2020"/>
    <x v="2"/>
  </r>
  <r>
    <x v="79"/>
    <n v="1000000046"/>
    <s v="借呗12期"/>
    <n v="1"/>
    <n v="1000.35"/>
    <s v="借呗"/>
    <x v="0"/>
    <x v="1"/>
    <x v="4"/>
    <s v="一组"/>
    <s v="成都一组"/>
    <s v="普通员工"/>
    <n v="1000.35"/>
    <n v="2020"/>
    <x v="2"/>
  </r>
  <r>
    <x v="79"/>
    <n v="1000000049"/>
    <s v="借呗18期"/>
    <n v="1"/>
    <n v="500.58"/>
    <s v="借呗"/>
    <x v="2"/>
    <x v="0"/>
    <x v="5"/>
    <s v="一组"/>
    <s v="合肥一组"/>
    <s v="普通员工"/>
    <n v="500.58"/>
    <n v="2020"/>
    <x v="2"/>
  </r>
  <r>
    <x v="79"/>
    <n v="1000000050"/>
    <s v="借呗6期"/>
    <n v="1"/>
    <n v="700.09"/>
    <s v="借呗"/>
    <x v="1"/>
    <x v="0"/>
    <x v="5"/>
    <s v="一组"/>
    <s v="合肥一组"/>
    <s v="普通员工"/>
    <n v="700.09"/>
    <n v="2020"/>
    <x v="2"/>
  </r>
  <r>
    <x v="79"/>
    <n v="1000000052"/>
    <s v="借呗6期"/>
    <n v="1"/>
    <n v="8000.56"/>
    <s v="借呗"/>
    <x v="1"/>
    <x v="0"/>
    <x v="3"/>
    <s v="二组"/>
    <s v="上海二组"/>
    <s v="普通员工"/>
    <n v="8000.56"/>
    <n v="2020"/>
    <x v="2"/>
  </r>
  <r>
    <x v="79"/>
    <n v="1000000054"/>
    <s v="借呗12期"/>
    <n v="2"/>
    <n v="37000.400000000001"/>
    <s v="借呗"/>
    <x v="0"/>
    <x v="0"/>
    <x v="3"/>
    <s v="一组"/>
    <s v="上海一组"/>
    <s v="普通员工"/>
    <n v="18500.2"/>
    <n v="2020"/>
    <x v="2"/>
  </r>
  <r>
    <x v="79"/>
    <n v="1000000056"/>
    <s v="借呗6期"/>
    <n v="3"/>
    <n v="18151.060000000001"/>
    <s v="借呗"/>
    <x v="1"/>
    <x v="0"/>
    <x v="3"/>
    <s v="一组"/>
    <s v="上海一组"/>
    <s v="管理人员"/>
    <n v="6050.3533333333335"/>
    <n v="2020"/>
    <x v="2"/>
  </r>
  <r>
    <x v="79"/>
    <n v="1000000067"/>
    <s v="借呗6期"/>
    <n v="1"/>
    <n v="14000.37"/>
    <s v="借呗"/>
    <x v="1"/>
    <x v="0"/>
    <x v="1"/>
    <s v="二组"/>
    <s v="苏州二组"/>
    <s v="普通员工"/>
    <n v="14000.37"/>
    <n v="2020"/>
    <x v="2"/>
  </r>
  <r>
    <x v="79"/>
    <n v="1000000068"/>
    <s v="借呗6期"/>
    <n v="2"/>
    <n v="25001.32"/>
    <s v="借呗"/>
    <x v="1"/>
    <x v="1"/>
    <x v="7"/>
    <s v="一组"/>
    <s v="重庆一组"/>
    <s v="管理人员"/>
    <n v="12500.66"/>
    <n v="2020"/>
    <x v="2"/>
  </r>
  <r>
    <x v="79"/>
    <n v="1000000104"/>
    <s v="借呗6期"/>
    <n v="1"/>
    <n v="5000.33"/>
    <s v="借呗"/>
    <x v="1"/>
    <x v="0"/>
    <x v="5"/>
    <s v="一组"/>
    <s v="合肥一组"/>
    <s v="普通员工"/>
    <n v="5000.33"/>
    <n v="2020"/>
    <x v="2"/>
  </r>
  <r>
    <x v="79"/>
    <n v="1000000237"/>
    <s v="借呗18期"/>
    <n v="1"/>
    <n v="1417.42"/>
    <s v="借呗"/>
    <x v="2"/>
    <x v="0"/>
    <x v="5"/>
    <s v="一组"/>
    <s v="合肥一组"/>
    <s v="普通员工"/>
    <n v="1417.42"/>
    <n v="2020"/>
    <x v="2"/>
  </r>
  <r>
    <x v="79"/>
    <n v="1000000566"/>
    <s v="借呗6期"/>
    <n v="1"/>
    <n v="500.54"/>
    <s v="借呗"/>
    <x v="1"/>
    <x v="2"/>
    <x v="6"/>
    <s v="三组"/>
    <s v="广州三组"/>
    <s v="普通员工"/>
    <n v="500.54"/>
    <n v="2020"/>
    <x v="2"/>
  </r>
  <r>
    <x v="79"/>
    <n v="1000000566"/>
    <s v="借呗12期"/>
    <n v="1"/>
    <n v="10000.209999999999"/>
    <s v="借呗"/>
    <x v="0"/>
    <x v="2"/>
    <x v="6"/>
    <s v="三组"/>
    <s v="广州三组"/>
    <s v="普通员工"/>
    <n v="10000.209999999999"/>
    <n v="2020"/>
    <x v="2"/>
  </r>
  <r>
    <x v="79"/>
    <n v="1000000566"/>
    <s v="借呗18期"/>
    <n v="1"/>
    <n v="8999.93"/>
    <s v="借呗"/>
    <x v="2"/>
    <x v="2"/>
    <x v="6"/>
    <s v="三组"/>
    <s v="广州三组"/>
    <s v="普通员工"/>
    <n v="8999.93"/>
    <n v="2020"/>
    <x v="2"/>
  </r>
  <r>
    <x v="79"/>
    <n v="1000000576"/>
    <s v="借呗12期"/>
    <n v="1"/>
    <n v="20000.650000000001"/>
    <s v="借呗"/>
    <x v="0"/>
    <x v="0"/>
    <x v="1"/>
    <s v="三组"/>
    <s v="苏州三组"/>
    <s v="普通员工"/>
    <n v="20000.650000000001"/>
    <n v="2020"/>
    <x v="2"/>
  </r>
  <r>
    <x v="79"/>
    <n v="1000000594"/>
    <s v="借呗12期"/>
    <n v="2"/>
    <n v="14000.99"/>
    <s v="借呗"/>
    <x v="0"/>
    <x v="0"/>
    <x v="1"/>
    <s v="二组"/>
    <s v="苏州二组"/>
    <s v="普通员工"/>
    <n v="7000.4949999999999"/>
    <n v="2020"/>
    <x v="2"/>
  </r>
  <r>
    <x v="79"/>
    <n v="1000000928"/>
    <s v="借呗6期"/>
    <n v="3"/>
    <n v="27501.11"/>
    <s v="借呗"/>
    <x v="1"/>
    <x v="1"/>
    <x v="8"/>
    <s v="一组"/>
    <s v="西安一组"/>
    <s v="普通员工"/>
    <n v="9167.0366666666669"/>
    <n v="2020"/>
    <x v="2"/>
  </r>
  <r>
    <x v="79"/>
    <n v="1000001524"/>
    <s v="借呗6期"/>
    <n v="1"/>
    <n v="12999.97"/>
    <s v="借呗"/>
    <x v="1"/>
    <x v="0"/>
    <x v="1"/>
    <s v="二组"/>
    <s v="苏州二组"/>
    <s v="普通员工"/>
    <n v="12999.97"/>
    <n v="2020"/>
    <x v="2"/>
  </r>
  <r>
    <x v="79"/>
    <n v="1000001524"/>
    <s v="借呗12期"/>
    <n v="1"/>
    <n v="20000.23"/>
    <s v="借呗"/>
    <x v="0"/>
    <x v="0"/>
    <x v="1"/>
    <s v="二组"/>
    <s v="苏州二组"/>
    <s v="普通员工"/>
    <n v="20000.23"/>
    <n v="2020"/>
    <x v="2"/>
  </r>
  <r>
    <x v="79"/>
    <n v="1000002861"/>
    <s v="借呗12期"/>
    <n v="1"/>
    <n v="17999.939999999999"/>
    <s v="借呗"/>
    <x v="0"/>
    <x v="2"/>
    <x v="6"/>
    <s v="三组"/>
    <s v="广州三组"/>
    <s v="普通员工"/>
    <n v="17999.939999999999"/>
    <n v="2020"/>
    <x v="2"/>
  </r>
  <r>
    <x v="79"/>
    <n v="1000003803"/>
    <s v="借呗6期"/>
    <n v="2"/>
    <n v="14000.79"/>
    <s v="借呗"/>
    <x v="1"/>
    <x v="1"/>
    <x v="2"/>
    <s v="三组"/>
    <s v="北京三组"/>
    <s v="普通员工"/>
    <n v="7000.3950000000004"/>
    <n v="2020"/>
    <x v="2"/>
  </r>
  <r>
    <x v="79"/>
    <n v="1000003926"/>
    <s v="借呗6期"/>
    <n v="4"/>
    <n v="42500.959999999999"/>
    <s v="借呗"/>
    <x v="1"/>
    <x v="2"/>
    <x v="6"/>
    <s v="一组"/>
    <s v="广州一组"/>
    <s v="管理人员"/>
    <n v="10625.24"/>
    <n v="2020"/>
    <x v="2"/>
  </r>
  <r>
    <x v="79"/>
    <n v="1000003926"/>
    <s v="借呗12期"/>
    <n v="1"/>
    <n v="5500.36"/>
    <s v="借呗"/>
    <x v="0"/>
    <x v="2"/>
    <x v="6"/>
    <s v="一组"/>
    <s v="广州一组"/>
    <s v="管理人员"/>
    <n v="5500.36"/>
    <n v="2020"/>
    <x v="2"/>
  </r>
  <r>
    <x v="79"/>
    <n v="1000003926"/>
    <s v="借呗18期"/>
    <n v="1"/>
    <n v="1000.54"/>
    <s v="借呗"/>
    <x v="2"/>
    <x v="2"/>
    <x v="6"/>
    <s v="一组"/>
    <s v="广州一组"/>
    <s v="管理人员"/>
    <n v="1000.54"/>
    <n v="2020"/>
    <x v="2"/>
  </r>
  <r>
    <x v="79"/>
    <n v="1000004170"/>
    <s v="借呗6期"/>
    <n v="1"/>
    <n v="6000.66"/>
    <s v="借呗"/>
    <x v="1"/>
    <x v="0"/>
    <x v="3"/>
    <s v="二组"/>
    <s v="上海二组"/>
    <s v="管理人员"/>
    <n v="6000.66"/>
    <n v="2020"/>
    <x v="2"/>
  </r>
  <r>
    <x v="79"/>
    <n v="1000004170"/>
    <s v="借呗18期"/>
    <n v="1"/>
    <n v="5000.51"/>
    <s v="借呗"/>
    <x v="2"/>
    <x v="0"/>
    <x v="3"/>
    <s v="二组"/>
    <s v="上海二组"/>
    <s v="管理人员"/>
    <n v="5000.51"/>
    <n v="2020"/>
    <x v="2"/>
  </r>
  <r>
    <x v="79"/>
    <n v="1000004256"/>
    <s v="借呗12期"/>
    <n v="2"/>
    <n v="8485.91"/>
    <s v="借呗"/>
    <x v="0"/>
    <x v="0"/>
    <x v="5"/>
    <s v="一组"/>
    <s v="合肥一组"/>
    <s v="普通员工"/>
    <n v="4242.9549999999999"/>
    <n v="2020"/>
    <x v="2"/>
  </r>
  <r>
    <x v="79"/>
    <n v="1000005873"/>
    <s v="借呗6期"/>
    <n v="1"/>
    <n v="8000.67"/>
    <s v="借呗"/>
    <x v="1"/>
    <x v="0"/>
    <x v="0"/>
    <s v="二组"/>
    <s v="杭州二组"/>
    <s v="管理人员"/>
    <n v="8000.67"/>
    <n v="2020"/>
    <x v="2"/>
  </r>
  <r>
    <x v="79"/>
    <n v="1000005873"/>
    <s v="借呗12期"/>
    <n v="1"/>
    <n v="10000.59"/>
    <s v="借呗"/>
    <x v="0"/>
    <x v="0"/>
    <x v="0"/>
    <s v="二组"/>
    <s v="杭州二组"/>
    <s v="管理人员"/>
    <n v="10000.59"/>
    <n v="2020"/>
    <x v="2"/>
  </r>
  <r>
    <x v="79"/>
    <n v="1000006867"/>
    <s v="借呗12期"/>
    <n v="1"/>
    <n v="10000.030000000001"/>
    <s v="借呗"/>
    <x v="0"/>
    <x v="0"/>
    <x v="10"/>
    <s v="一组"/>
    <s v="南京一组"/>
    <s v="普通员工"/>
    <n v="10000.030000000001"/>
    <n v="2020"/>
    <x v="2"/>
  </r>
  <r>
    <x v="79"/>
    <n v="1000007320"/>
    <s v="借呗18期"/>
    <n v="1"/>
    <n v="25000.49"/>
    <s v="借呗"/>
    <x v="2"/>
    <x v="0"/>
    <x v="3"/>
    <s v="一组"/>
    <s v="上海一组"/>
    <s v="普通员工"/>
    <n v="25000.49"/>
    <n v="2020"/>
    <x v="2"/>
  </r>
  <r>
    <x v="79"/>
    <n v="1000008228"/>
    <s v="借呗6期"/>
    <n v="1"/>
    <n v="20000.54"/>
    <s v="借呗"/>
    <x v="1"/>
    <x v="1"/>
    <x v="2"/>
    <s v="三组"/>
    <s v="北京三组"/>
    <s v="普通员工"/>
    <n v="20000.54"/>
    <n v="2020"/>
    <x v="2"/>
  </r>
  <r>
    <x v="79"/>
    <n v="1000008239"/>
    <s v="借呗6期"/>
    <n v="1"/>
    <n v="6000.17"/>
    <s v="借呗"/>
    <x v="1"/>
    <x v="0"/>
    <x v="10"/>
    <s v="一组"/>
    <s v="南京一组"/>
    <s v="管理人员"/>
    <n v="6000.17"/>
    <n v="2020"/>
    <x v="2"/>
  </r>
  <r>
    <x v="79"/>
    <n v="1000008239"/>
    <s v="借呗12期"/>
    <n v="1"/>
    <n v="11999.98"/>
    <s v="借呗"/>
    <x v="0"/>
    <x v="0"/>
    <x v="10"/>
    <s v="一组"/>
    <s v="南京一组"/>
    <s v="管理人员"/>
    <n v="11999.98"/>
    <n v="2020"/>
    <x v="2"/>
  </r>
  <r>
    <x v="79"/>
    <n v="1000008542"/>
    <s v="借呗6期"/>
    <n v="1"/>
    <n v="1000.42"/>
    <s v="借呗"/>
    <x v="1"/>
    <x v="0"/>
    <x v="5"/>
    <s v="一组"/>
    <s v="合肥一组"/>
    <s v="普通员工"/>
    <n v="1000.42"/>
    <n v="2020"/>
    <x v="2"/>
  </r>
  <r>
    <x v="79"/>
    <n v="1000008957"/>
    <s v="借呗6期"/>
    <n v="1"/>
    <n v="13000.03"/>
    <s v="借呗"/>
    <x v="1"/>
    <x v="0"/>
    <x v="3"/>
    <s v="二组"/>
    <s v="上海二组"/>
    <s v="普通员工"/>
    <n v="13000.03"/>
    <n v="2020"/>
    <x v="2"/>
  </r>
  <r>
    <x v="79"/>
    <n v="1000009288"/>
    <s v="借呗6期"/>
    <n v="3"/>
    <n v="26000.400000000001"/>
    <s v="借呗"/>
    <x v="1"/>
    <x v="0"/>
    <x v="1"/>
    <s v="二组"/>
    <s v="苏州二组"/>
    <s v="普通员工"/>
    <n v="8666.8000000000011"/>
    <n v="2020"/>
    <x v="2"/>
  </r>
  <r>
    <x v="79"/>
    <n v="1000010837"/>
    <s v="借呗18期"/>
    <n v="1"/>
    <n v="2000.16"/>
    <s v="借呗"/>
    <x v="2"/>
    <x v="0"/>
    <x v="10"/>
    <s v="一组"/>
    <s v="南京一组"/>
    <s v="普通员工"/>
    <n v="2000.16"/>
    <n v="2020"/>
    <x v="2"/>
  </r>
  <r>
    <x v="79"/>
    <n v="1000010881"/>
    <s v="借呗6期"/>
    <n v="2"/>
    <n v="11500.79"/>
    <s v="借呗"/>
    <x v="1"/>
    <x v="2"/>
    <x v="6"/>
    <s v="一组"/>
    <s v="广州一组"/>
    <s v="普通员工"/>
    <n v="5750.3950000000004"/>
    <n v="2020"/>
    <x v="2"/>
  </r>
  <r>
    <x v="79"/>
    <n v="1000011538"/>
    <s v="借呗6期"/>
    <n v="1"/>
    <n v="8000.04"/>
    <s v="借呗"/>
    <x v="1"/>
    <x v="0"/>
    <x v="5"/>
    <s v="二组"/>
    <s v="合肥二组"/>
    <s v="普通员工"/>
    <n v="8000.04"/>
    <n v="2020"/>
    <x v="2"/>
  </r>
  <r>
    <x v="79"/>
    <n v="1000011697"/>
    <s v="借呗6期"/>
    <n v="2"/>
    <n v="13001.08"/>
    <s v="借呗"/>
    <x v="1"/>
    <x v="0"/>
    <x v="3"/>
    <s v="二组"/>
    <s v="上海二组"/>
    <s v="普通员工"/>
    <n v="6500.54"/>
    <n v="2020"/>
    <x v="2"/>
  </r>
  <r>
    <x v="79"/>
    <n v="1000011698"/>
    <s v="借呗6期"/>
    <n v="5"/>
    <n v="26602.32"/>
    <s v="借呗"/>
    <x v="1"/>
    <x v="0"/>
    <x v="3"/>
    <s v="二组"/>
    <s v="上海二组"/>
    <s v="普通员工"/>
    <n v="5320.4639999999999"/>
    <n v="2020"/>
    <x v="2"/>
  </r>
  <r>
    <x v="79"/>
    <n v="1000011698"/>
    <s v="借呗12期"/>
    <n v="2"/>
    <n v="32000.71"/>
    <s v="借呗"/>
    <x v="0"/>
    <x v="0"/>
    <x v="3"/>
    <s v="二组"/>
    <s v="上海二组"/>
    <s v="普通员工"/>
    <n v="16000.355"/>
    <n v="2020"/>
    <x v="2"/>
  </r>
  <r>
    <x v="79"/>
    <n v="1000011828"/>
    <s v="借呗12期"/>
    <n v="1"/>
    <n v="13000.66"/>
    <s v="借呗"/>
    <x v="0"/>
    <x v="0"/>
    <x v="0"/>
    <s v="二组"/>
    <s v="杭州二组"/>
    <s v="普通员工"/>
    <n v="13000.66"/>
    <n v="2020"/>
    <x v="2"/>
  </r>
  <r>
    <x v="79"/>
    <n v="1000012096"/>
    <s v="借呗12期"/>
    <n v="1"/>
    <n v="10000.370000000001"/>
    <s v="借呗"/>
    <x v="0"/>
    <x v="0"/>
    <x v="0"/>
    <s v="一组"/>
    <s v="杭州一组"/>
    <s v="普通员工"/>
    <n v="10000.370000000001"/>
    <n v="2020"/>
    <x v="2"/>
  </r>
  <r>
    <x v="79"/>
    <n v="1000012099"/>
    <s v="借呗12期"/>
    <n v="1"/>
    <n v="22000.3"/>
    <s v="借呗"/>
    <x v="0"/>
    <x v="0"/>
    <x v="0"/>
    <s v="二组"/>
    <s v="杭州二组"/>
    <s v="普通员工"/>
    <n v="22000.3"/>
    <n v="2020"/>
    <x v="2"/>
  </r>
  <r>
    <x v="79"/>
    <n v="1000012099"/>
    <s v="借呗18期"/>
    <n v="1"/>
    <n v="25000.58"/>
    <s v="借呗"/>
    <x v="2"/>
    <x v="0"/>
    <x v="0"/>
    <s v="二组"/>
    <s v="杭州二组"/>
    <s v="普通员工"/>
    <n v="25000.58"/>
    <n v="2020"/>
    <x v="2"/>
  </r>
  <r>
    <x v="79"/>
    <n v="1000012112"/>
    <s v="借呗6期"/>
    <n v="1"/>
    <n v="2000.7"/>
    <s v="借呗"/>
    <x v="1"/>
    <x v="0"/>
    <x v="0"/>
    <s v="三组"/>
    <s v="杭州三组"/>
    <s v="管理人员"/>
    <n v="2000.7"/>
    <n v="2020"/>
    <x v="2"/>
  </r>
  <r>
    <x v="79"/>
    <n v="1000012112"/>
    <s v="借呗12期"/>
    <n v="1"/>
    <n v="17000.23"/>
    <s v="借呗"/>
    <x v="0"/>
    <x v="0"/>
    <x v="0"/>
    <s v="三组"/>
    <s v="杭州三组"/>
    <s v="管理人员"/>
    <n v="17000.23"/>
    <n v="2020"/>
    <x v="2"/>
  </r>
  <r>
    <x v="79"/>
    <n v="1000012124"/>
    <s v="借呗6期"/>
    <n v="1"/>
    <n v="10000.6"/>
    <s v="借呗"/>
    <x v="1"/>
    <x v="0"/>
    <x v="0"/>
    <s v="一组"/>
    <s v="杭州一组"/>
    <s v="普通员工"/>
    <n v="10000.6"/>
    <n v="2020"/>
    <x v="2"/>
  </r>
  <r>
    <x v="79"/>
    <n v="1000012126"/>
    <s v="借呗6期"/>
    <n v="1"/>
    <n v="6000.59"/>
    <s v="借呗"/>
    <x v="1"/>
    <x v="0"/>
    <x v="0"/>
    <s v="一组"/>
    <s v="杭州一组"/>
    <s v="普通员工"/>
    <n v="6000.59"/>
    <n v="2020"/>
    <x v="2"/>
  </r>
  <r>
    <x v="79"/>
    <n v="1000012234"/>
    <s v="借呗6期"/>
    <n v="1"/>
    <n v="25000.53"/>
    <s v="借呗"/>
    <x v="1"/>
    <x v="0"/>
    <x v="1"/>
    <s v="一组"/>
    <s v="苏州一组"/>
    <s v="普通员工"/>
    <n v="25000.53"/>
    <n v="2020"/>
    <x v="2"/>
  </r>
  <r>
    <x v="79"/>
    <n v="1000012234"/>
    <s v="借呗12期"/>
    <n v="1"/>
    <n v="5000.55"/>
    <s v="借呗"/>
    <x v="0"/>
    <x v="0"/>
    <x v="1"/>
    <s v="一组"/>
    <s v="苏州一组"/>
    <s v="普通员工"/>
    <n v="5000.55"/>
    <n v="2020"/>
    <x v="2"/>
  </r>
  <r>
    <x v="79"/>
    <n v="1000012313"/>
    <s v="借呗6期"/>
    <n v="3"/>
    <n v="47001.200000000004"/>
    <s v="借呗"/>
    <x v="1"/>
    <x v="2"/>
    <x v="11"/>
    <s v="一组"/>
    <s v="南宁一组"/>
    <s v="普通员工"/>
    <n v="15667.066666666668"/>
    <n v="2020"/>
    <x v="2"/>
  </r>
  <r>
    <x v="79"/>
    <n v="1000012446"/>
    <s v="借呗12期"/>
    <n v="1"/>
    <n v="10000.65"/>
    <s v="借呗"/>
    <x v="0"/>
    <x v="1"/>
    <x v="2"/>
    <s v="三组"/>
    <s v="北京三组"/>
    <s v="普通员工"/>
    <n v="10000.65"/>
    <n v="2020"/>
    <x v="2"/>
  </r>
  <r>
    <x v="79"/>
    <n v="1000013526"/>
    <s v="借呗6期"/>
    <n v="1"/>
    <n v="17999.939999999999"/>
    <s v="借呗"/>
    <x v="1"/>
    <x v="2"/>
    <x v="11"/>
    <s v="一组"/>
    <s v="南宁一组"/>
    <s v="普通员工"/>
    <n v="17999.939999999999"/>
    <n v="2020"/>
    <x v="2"/>
  </r>
  <r>
    <x v="79"/>
    <n v="1000013607"/>
    <s v="借呗12期"/>
    <n v="1"/>
    <n v="8000.06"/>
    <s v="借呗"/>
    <x v="0"/>
    <x v="0"/>
    <x v="1"/>
    <s v="一组"/>
    <s v="苏州一组"/>
    <s v="普通员工"/>
    <n v="8000.06"/>
    <n v="2020"/>
    <x v="2"/>
  </r>
  <r>
    <x v="79"/>
    <n v="1000014088"/>
    <s v="借呗12期"/>
    <n v="1"/>
    <n v="6500.2"/>
    <s v="借呗"/>
    <x v="0"/>
    <x v="1"/>
    <x v="2"/>
    <s v="一组"/>
    <s v="北京一组"/>
    <s v="普通员工"/>
    <n v="6500.2"/>
    <n v="2020"/>
    <x v="2"/>
  </r>
  <r>
    <x v="79"/>
    <n v="1000014273"/>
    <s v="借呗6期"/>
    <n v="1"/>
    <n v="10000.620000000001"/>
    <s v="借呗"/>
    <x v="1"/>
    <x v="0"/>
    <x v="0"/>
    <s v="二组"/>
    <s v="杭州二组"/>
    <s v="普通员工"/>
    <n v="10000.620000000001"/>
    <n v="2020"/>
    <x v="2"/>
  </r>
  <r>
    <x v="79"/>
    <n v="1000014291"/>
    <s v="借呗6期"/>
    <n v="1"/>
    <n v="10000.44"/>
    <s v="借呗"/>
    <x v="1"/>
    <x v="2"/>
    <x v="6"/>
    <s v="二组"/>
    <s v="广州二组"/>
    <s v="管理人员"/>
    <n v="10000.44"/>
    <n v="2020"/>
    <x v="2"/>
  </r>
  <r>
    <x v="79"/>
    <n v="1000014291"/>
    <s v="借呗12期"/>
    <n v="2"/>
    <n v="31000.35"/>
    <s v="借呗"/>
    <x v="0"/>
    <x v="2"/>
    <x v="6"/>
    <s v="二组"/>
    <s v="广州二组"/>
    <s v="管理人员"/>
    <n v="15500.174999999999"/>
    <n v="2020"/>
    <x v="2"/>
  </r>
  <r>
    <x v="79"/>
    <n v="1000014530"/>
    <s v="借呗12期"/>
    <n v="2"/>
    <n v="10000.73"/>
    <s v="借呗"/>
    <x v="0"/>
    <x v="2"/>
    <x v="11"/>
    <s v="一组"/>
    <s v="南宁一组"/>
    <s v="普通员工"/>
    <n v="5000.3649999999998"/>
    <n v="2020"/>
    <x v="2"/>
  </r>
  <r>
    <x v="79"/>
    <n v="1000014572"/>
    <s v="借呗6期"/>
    <n v="1"/>
    <n v="9000.2999999999993"/>
    <s v="借呗"/>
    <x v="1"/>
    <x v="0"/>
    <x v="3"/>
    <s v="一组"/>
    <s v="上海一组"/>
    <s v="普通员工"/>
    <n v="9000.2999999999993"/>
    <n v="2020"/>
    <x v="2"/>
  </r>
  <r>
    <x v="79"/>
    <n v="1000014879"/>
    <s v="借呗18期"/>
    <n v="1"/>
    <n v="7000.54"/>
    <s v="借呗"/>
    <x v="2"/>
    <x v="0"/>
    <x v="5"/>
    <s v="一组"/>
    <s v="合肥一组"/>
    <s v="普通员工"/>
    <n v="7000.54"/>
    <n v="2020"/>
    <x v="2"/>
  </r>
  <r>
    <x v="79"/>
    <n v="1000015015"/>
    <s v="借呗6期"/>
    <n v="1"/>
    <n v="12999.94"/>
    <s v="借呗"/>
    <x v="1"/>
    <x v="0"/>
    <x v="10"/>
    <s v="一组"/>
    <s v="南京一组"/>
    <s v="普通员工"/>
    <n v="12999.94"/>
    <n v="2020"/>
    <x v="2"/>
  </r>
  <r>
    <x v="79"/>
    <n v="1000015253"/>
    <s v="借呗18期"/>
    <n v="1"/>
    <n v="7000.4"/>
    <s v="借呗"/>
    <x v="2"/>
    <x v="1"/>
    <x v="2"/>
    <s v="一组"/>
    <s v="北京一组"/>
    <s v="普通员工"/>
    <n v="7000.4"/>
    <n v="2020"/>
    <x v="2"/>
  </r>
  <r>
    <x v="80"/>
    <n v="1000000028"/>
    <s v="借呗18期"/>
    <n v="1"/>
    <n v="1500.62"/>
    <s v="借呗"/>
    <x v="2"/>
    <x v="0"/>
    <x v="0"/>
    <s v="二组"/>
    <s v="杭州二组"/>
    <s v="普通员工"/>
    <n v="1500.62"/>
    <n v="2020"/>
    <x v="2"/>
  </r>
  <r>
    <x v="80"/>
    <n v="1000000029"/>
    <s v="借呗6期"/>
    <n v="1"/>
    <n v="2000.57"/>
    <s v="借呗"/>
    <x v="1"/>
    <x v="0"/>
    <x v="0"/>
    <s v="二组"/>
    <s v="杭州二组"/>
    <s v="普通员工"/>
    <n v="2000.57"/>
    <n v="2020"/>
    <x v="2"/>
  </r>
  <r>
    <x v="80"/>
    <n v="1000000030"/>
    <s v="借呗6期"/>
    <n v="2"/>
    <n v="25000.49"/>
    <s v="借呗"/>
    <x v="1"/>
    <x v="2"/>
    <x v="6"/>
    <s v="三组"/>
    <s v="广州三组"/>
    <s v="普通员工"/>
    <n v="12500.245000000001"/>
    <n v="2020"/>
    <x v="2"/>
  </r>
  <r>
    <x v="80"/>
    <n v="1000000030"/>
    <s v="借呗18期"/>
    <n v="1"/>
    <n v="11000.36"/>
    <s v="借呗"/>
    <x v="2"/>
    <x v="2"/>
    <x v="6"/>
    <s v="三组"/>
    <s v="广州三组"/>
    <s v="普通员工"/>
    <n v="11000.36"/>
    <n v="2020"/>
    <x v="2"/>
  </r>
  <r>
    <x v="80"/>
    <n v="1000000031"/>
    <s v="借呗6期"/>
    <n v="2"/>
    <n v="15001.130000000001"/>
    <s v="借呗"/>
    <x v="1"/>
    <x v="0"/>
    <x v="0"/>
    <s v="一组"/>
    <s v="杭州一组"/>
    <s v="管理人员"/>
    <n v="7500.5650000000005"/>
    <n v="2020"/>
    <x v="2"/>
  </r>
  <r>
    <x v="80"/>
    <n v="1000000031"/>
    <s v="借呗12期"/>
    <n v="1"/>
    <n v="15000.17"/>
    <s v="借呗"/>
    <x v="0"/>
    <x v="0"/>
    <x v="0"/>
    <s v="一组"/>
    <s v="杭州一组"/>
    <s v="管理人员"/>
    <n v="15000.17"/>
    <n v="2020"/>
    <x v="2"/>
  </r>
  <r>
    <x v="80"/>
    <n v="1000000034"/>
    <s v="借呗12期"/>
    <n v="1"/>
    <n v="17000.05"/>
    <s v="借呗"/>
    <x v="0"/>
    <x v="0"/>
    <x v="1"/>
    <s v="一组"/>
    <s v="苏州一组"/>
    <s v="普通员工"/>
    <n v="17000.05"/>
    <n v="2020"/>
    <x v="2"/>
  </r>
  <r>
    <x v="80"/>
    <n v="1000000036"/>
    <s v="借呗6期"/>
    <n v="2"/>
    <n v="17000.54"/>
    <s v="借呗"/>
    <x v="1"/>
    <x v="2"/>
    <x v="6"/>
    <s v="三组"/>
    <s v="广州三组"/>
    <s v="管理人员"/>
    <n v="8500.27"/>
    <n v="2020"/>
    <x v="2"/>
  </r>
  <r>
    <x v="80"/>
    <n v="1000000036"/>
    <s v="借呗12期"/>
    <n v="1"/>
    <n v="5500.22"/>
    <s v="借呗"/>
    <x v="0"/>
    <x v="2"/>
    <x v="6"/>
    <s v="三组"/>
    <s v="广州三组"/>
    <s v="管理人员"/>
    <n v="5500.22"/>
    <n v="2020"/>
    <x v="2"/>
  </r>
  <r>
    <x v="80"/>
    <n v="1000000037"/>
    <s v="借呗6期"/>
    <n v="1"/>
    <n v="2000.68"/>
    <s v="借呗"/>
    <x v="1"/>
    <x v="0"/>
    <x v="0"/>
    <s v="二组"/>
    <s v="杭州二组"/>
    <s v="普通员工"/>
    <n v="2000.68"/>
    <n v="2020"/>
    <x v="2"/>
  </r>
  <r>
    <x v="80"/>
    <n v="1000000039"/>
    <s v="借呗6期"/>
    <n v="2"/>
    <n v="2186.6"/>
    <s v="借呗"/>
    <x v="1"/>
    <x v="0"/>
    <x v="1"/>
    <s v="二组"/>
    <s v="苏州二组"/>
    <s v="管理人员"/>
    <n v="1093.3"/>
    <n v="2020"/>
    <x v="2"/>
  </r>
  <r>
    <x v="80"/>
    <n v="1000000039"/>
    <s v="借呗18期"/>
    <n v="1"/>
    <n v="1000.02"/>
    <s v="借呗"/>
    <x v="2"/>
    <x v="0"/>
    <x v="1"/>
    <s v="二组"/>
    <s v="苏州二组"/>
    <s v="管理人员"/>
    <n v="1000.02"/>
    <n v="2020"/>
    <x v="2"/>
  </r>
  <r>
    <x v="80"/>
    <n v="1000000041"/>
    <s v="借呗6期"/>
    <n v="1"/>
    <n v="1026.6199999999999"/>
    <s v="借呗"/>
    <x v="1"/>
    <x v="1"/>
    <x v="2"/>
    <s v="四组"/>
    <s v="北京四组"/>
    <s v="普通员工"/>
    <n v="1026.6199999999999"/>
    <n v="2020"/>
    <x v="2"/>
  </r>
  <r>
    <x v="80"/>
    <n v="1000000041"/>
    <s v="借呗12期"/>
    <n v="5"/>
    <n v="29101.809999999998"/>
    <s v="借呗"/>
    <x v="0"/>
    <x v="1"/>
    <x v="2"/>
    <s v="四组"/>
    <s v="北京四组"/>
    <s v="普通员工"/>
    <n v="5820.3619999999992"/>
    <n v="2020"/>
    <x v="2"/>
  </r>
  <r>
    <x v="80"/>
    <n v="1000000043"/>
    <s v="借呗6期"/>
    <n v="2"/>
    <n v="5500.71"/>
    <s v="借呗"/>
    <x v="1"/>
    <x v="1"/>
    <x v="4"/>
    <s v="一组"/>
    <s v="成都一组"/>
    <s v="普通员工"/>
    <n v="2750.355"/>
    <n v="2020"/>
    <x v="2"/>
  </r>
  <r>
    <x v="80"/>
    <n v="1000000044"/>
    <s v="借呗6期"/>
    <n v="2"/>
    <n v="11580.93"/>
    <s v="借呗"/>
    <x v="1"/>
    <x v="1"/>
    <x v="2"/>
    <s v="三组"/>
    <s v="北京三组"/>
    <s v="管理人员"/>
    <n v="5790.4650000000001"/>
    <n v="2020"/>
    <x v="2"/>
  </r>
  <r>
    <x v="80"/>
    <n v="1000000045"/>
    <s v="借呗6期"/>
    <n v="2"/>
    <n v="17702.650000000001"/>
    <s v="借呗"/>
    <x v="1"/>
    <x v="2"/>
    <x v="9"/>
    <s v="一组"/>
    <s v="深圳一组"/>
    <s v="普通员工"/>
    <n v="8851.3250000000007"/>
    <n v="2020"/>
    <x v="2"/>
  </r>
  <r>
    <x v="80"/>
    <n v="1000000045"/>
    <s v="借呗12期"/>
    <n v="1"/>
    <n v="7000.65"/>
    <s v="借呗"/>
    <x v="0"/>
    <x v="2"/>
    <x v="9"/>
    <s v="一组"/>
    <s v="深圳一组"/>
    <s v="普通员工"/>
    <n v="7000.65"/>
    <n v="2020"/>
    <x v="2"/>
  </r>
  <r>
    <x v="80"/>
    <n v="1000000045"/>
    <s v="借呗18期"/>
    <n v="1"/>
    <n v="1000.53"/>
    <s v="借呗"/>
    <x v="2"/>
    <x v="2"/>
    <x v="9"/>
    <s v="一组"/>
    <s v="深圳一组"/>
    <s v="普通员工"/>
    <n v="1000.53"/>
    <n v="2020"/>
    <x v="2"/>
  </r>
  <r>
    <x v="80"/>
    <n v="1000000049"/>
    <s v="借呗6期"/>
    <n v="1"/>
    <n v="2034.96"/>
    <s v="借呗"/>
    <x v="1"/>
    <x v="0"/>
    <x v="5"/>
    <s v="一组"/>
    <s v="合肥一组"/>
    <s v="普通员工"/>
    <n v="2034.96"/>
    <n v="2020"/>
    <x v="2"/>
  </r>
  <r>
    <x v="80"/>
    <n v="1000000054"/>
    <s v="借呗6期"/>
    <n v="3"/>
    <n v="12000.789999999999"/>
    <s v="借呗"/>
    <x v="1"/>
    <x v="0"/>
    <x v="3"/>
    <s v="一组"/>
    <s v="上海一组"/>
    <s v="普通员工"/>
    <n v="4000.2633333333329"/>
    <n v="2020"/>
    <x v="2"/>
  </r>
  <r>
    <x v="80"/>
    <n v="1000000054"/>
    <s v="借呗12期"/>
    <n v="3"/>
    <n v="7539.82"/>
    <s v="借呗"/>
    <x v="0"/>
    <x v="0"/>
    <x v="3"/>
    <s v="一组"/>
    <s v="上海一组"/>
    <s v="普通员工"/>
    <n v="2513.2733333333331"/>
    <n v="2020"/>
    <x v="2"/>
  </r>
  <r>
    <x v="80"/>
    <n v="1000000056"/>
    <s v="借呗6期"/>
    <n v="1"/>
    <n v="10000.02"/>
    <s v="借呗"/>
    <x v="1"/>
    <x v="0"/>
    <x v="3"/>
    <s v="一组"/>
    <s v="上海一组"/>
    <s v="管理人员"/>
    <n v="10000.02"/>
    <n v="2020"/>
    <x v="2"/>
  </r>
  <r>
    <x v="80"/>
    <n v="1000000057"/>
    <s v="借呗18期"/>
    <n v="1"/>
    <n v="1572.17"/>
    <s v="借呗"/>
    <x v="2"/>
    <x v="0"/>
    <x v="3"/>
    <s v="二组"/>
    <s v="上海二组"/>
    <s v="普通员工"/>
    <n v="1572.17"/>
    <n v="2020"/>
    <x v="2"/>
  </r>
  <r>
    <x v="80"/>
    <n v="1000000060"/>
    <s v="借呗18期"/>
    <n v="1"/>
    <n v="1500.5"/>
    <s v="借呗"/>
    <x v="2"/>
    <x v="0"/>
    <x v="5"/>
    <s v="一组"/>
    <s v="合肥一组"/>
    <s v="普通员工"/>
    <n v="1500.5"/>
    <n v="2020"/>
    <x v="2"/>
  </r>
  <r>
    <x v="80"/>
    <n v="1000000067"/>
    <s v="借呗6期"/>
    <n v="3"/>
    <n v="3873.04"/>
    <s v="借呗"/>
    <x v="1"/>
    <x v="0"/>
    <x v="1"/>
    <s v="二组"/>
    <s v="苏州二组"/>
    <s v="普通员工"/>
    <n v="1291.0133333333333"/>
    <n v="2020"/>
    <x v="2"/>
  </r>
  <r>
    <x v="80"/>
    <n v="1000000104"/>
    <s v="借呗18期"/>
    <n v="1"/>
    <n v="18000.7"/>
    <s v="借呗"/>
    <x v="2"/>
    <x v="0"/>
    <x v="5"/>
    <s v="一组"/>
    <s v="合肥一组"/>
    <s v="普通员工"/>
    <n v="18000.7"/>
    <n v="2020"/>
    <x v="2"/>
  </r>
  <r>
    <x v="80"/>
    <n v="1000000237"/>
    <s v="借呗18期"/>
    <n v="1"/>
    <n v="800.06"/>
    <s v="借呗"/>
    <x v="2"/>
    <x v="0"/>
    <x v="5"/>
    <s v="一组"/>
    <s v="合肥一组"/>
    <s v="普通员工"/>
    <n v="800.06"/>
    <n v="2020"/>
    <x v="2"/>
  </r>
  <r>
    <x v="80"/>
    <n v="1000000566"/>
    <s v="借呗6期"/>
    <n v="2"/>
    <n v="2957.59"/>
    <s v="借呗"/>
    <x v="1"/>
    <x v="2"/>
    <x v="6"/>
    <s v="三组"/>
    <s v="广州三组"/>
    <s v="普通员工"/>
    <n v="1478.7950000000001"/>
    <n v="2020"/>
    <x v="2"/>
  </r>
  <r>
    <x v="80"/>
    <n v="1000000566"/>
    <s v="借呗12期"/>
    <n v="2"/>
    <n v="24000.53"/>
    <s v="借呗"/>
    <x v="0"/>
    <x v="2"/>
    <x v="6"/>
    <s v="三组"/>
    <s v="广州三组"/>
    <s v="普通员工"/>
    <n v="12000.264999999999"/>
    <n v="2020"/>
    <x v="2"/>
  </r>
  <r>
    <x v="80"/>
    <n v="1000000576"/>
    <s v="借呗6期"/>
    <n v="1"/>
    <n v="3430.44"/>
    <s v="借呗"/>
    <x v="1"/>
    <x v="0"/>
    <x v="1"/>
    <s v="三组"/>
    <s v="苏州三组"/>
    <s v="普通员工"/>
    <n v="3430.44"/>
    <n v="2020"/>
    <x v="2"/>
  </r>
  <r>
    <x v="80"/>
    <n v="1000000928"/>
    <s v="借呗6期"/>
    <n v="2"/>
    <n v="34000.369999999995"/>
    <s v="借呗"/>
    <x v="1"/>
    <x v="1"/>
    <x v="8"/>
    <s v="一组"/>
    <s v="西安一组"/>
    <s v="普通员工"/>
    <n v="17000.184999999998"/>
    <n v="2020"/>
    <x v="2"/>
  </r>
  <r>
    <x v="80"/>
    <n v="1000002861"/>
    <s v="借呗6期"/>
    <n v="1"/>
    <n v="12000.19"/>
    <s v="借呗"/>
    <x v="1"/>
    <x v="2"/>
    <x v="6"/>
    <s v="三组"/>
    <s v="广州三组"/>
    <s v="普通员工"/>
    <n v="12000.19"/>
    <n v="2020"/>
    <x v="2"/>
  </r>
  <r>
    <x v="80"/>
    <n v="1000003489"/>
    <s v="借呗6期"/>
    <n v="1"/>
    <n v="1261.1400000000001"/>
    <s v="借呗"/>
    <x v="1"/>
    <x v="2"/>
    <x v="6"/>
    <s v="一组"/>
    <s v="广州一组"/>
    <s v="普通员工"/>
    <n v="1261.1400000000001"/>
    <n v="2020"/>
    <x v="2"/>
  </r>
  <r>
    <x v="80"/>
    <n v="1000003803"/>
    <s v="借呗6期"/>
    <n v="1"/>
    <n v="6500.49"/>
    <s v="借呗"/>
    <x v="1"/>
    <x v="1"/>
    <x v="2"/>
    <s v="三组"/>
    <s v="北京三组"/>
    <s v="普通员工"/>
    <n v="6500.49"/>
    <n v="2020"/>
    <x v="2"/>
  </r>
  <r>
    <x v="80"/>
    <n v="1000003926"/>
    <s v="借呗6期"/>
    <n v="3"/>
    <n v="21600.559999999998"/>
    <s v="借呗"/>
    <x v="1"/>
    <x v="2"/>
    <x v="6"/>
    <s v="一组"/>
    <s v="广州一组"/>
    <s v="管理人员"/>
    <n v="7200.1866666666656"/>
    <n v="2020"/>
    <x v="2"/>
  </r>
  <r>
    <x v="80"/>
    <n v="1000004170"/>
    <s v="借呗6期"/>
    <n v="4"/>
    <n v="26140.869999999995"/>
    <s v="借呗"/>
    <x v="1"/>
    <x v="0"/>
    <x v="3"/>
    <s v="二组"/>
    <s v="上海二组"/>
    <s v="管理人员"/>
    <n v="6535.2174999999988"/>
    <n v="2020"/>
    <x v="2"/>
  </r>
  <r>
    <x v="80"/>
    <n v="1000004256"/>
    <s v="借呗18期"/>
    <n v="1"/>
    <n v="19000.27"/>
    <s v="借呗"/>
    <x v="2"/>
    <x v="0"/>
    <x v="5"/>
    <s v="一组"/>
    <s v="合肥一组"/>
    <s v="普通员工"/>
    <n v="19000.27"/>
    <n v="2020"/>
    <x v="2"/>
  </r>
  <r>
    <x v="80"/>
    <n v="1000005873"/>
    <s v="借呗12期"/>
    <n v="1"/>
    <n v="6000.07"/>
    <s v="借呗"/>
    <x v="0"/>
    <x v="0"/>
    <x v="0"/>
    <s v="二组"/>
    <s v="杭州二组"/>
    <s v="管理人员"/>
    <n v="6000.07"/>
    <n v="2020"/>
    <x v="2"/>
  </r>
  <r>
    <x v="80"/>
    <n v="1000006698"/>
    <s v="借呗6期"/>
    <n v="1"/>
    <n v="7999.94"/>
    <s v="借呗"/>
    <x v="1"/>
    <x v="1"/>
    <x v="4"/>
    <s v="一组"/>
    <s v="成都一组"/>
    <s v="管理人员"/>
    <n v="7999.94"/>
    <n v="2020"/>
    <x v="2"/>
  </r>
  <r>
    <x v="80"/>
    <n v="1000006859"/>
    <s v="借呗12期"/>
    <n v="1"/>
    <n v="2000.43"/>
    <s v="借呗"/>
    <x v="0"/>
    <x v="0"/>
    <x v="10"/>
    <s v="一组"/>
    <s v="南京一组"/>
    <s v="普通员工"/>
    <n v="2000.43"/>
    <n v="2020"/>
    <x v="2"/>
  </r>
  <r>
    <x v="80"/>
    <n v="1000006859"/>
    <s v="借呗18期"/>
    <n v="1"/>
    <n v="8000.18"/>
    <s v="借呗"/>
    <x v="2"/>
    <x v="0"/>
    <x v="10"/>
    <s v="一组"/>
    <s v="南京一组"/>
    <s v="普通员工"/>
    <n v="8000.18"/>
    <n v="2020"/>
    <x v="2"/>
  </r>
  <r>
    <x v="80"/>
    <n v="1000006867"/>
    <s v="借呗12期"/>
    <n v="1"/>
    <n v="10000.48"/>
    <s v="借呗"/>
    <x v="0"/>
    <x v="0"/>
    <x v="10"/>
    <s v="一组"/>
    <s v="南京一组"/>
    <s v="普通员工"/>
    <n v="10000.48"/>
    <n v="2020"/>
    <x v="2"/>
  </r>
  <r>
    <x v="80"/>
    <n v="1000006869"/>
    <s v="借呗12期"/>
    <n v="2"/>
    <n v="32000.79"/>
    <s v="借呗"/>
    <x v="0"/>
    <x v="0"/>
    <x v="10"/>
    <s v="一组"/>
    <s v="南京一组"/>
    <s v="普通员工"/>
    <n v="16000.395"/>
    <n v="2020"/>
    <x v="2"/>
  </r>
  <r>
    <x v="80"/>
    <n v="1000007320"/>
    <s v="借呗6期"/>
    <n v="1"/>
    <n v="7500.31"/>
    <s v="借呗"/>
    <x v="1"/>
    <x v="0"/>
    <x v="3"/>
    <s v="一组"/>
    <s v="上海一组"/>
    <s v="普通员工"/>
    <n v="7500.31"/>
    <n v="2020"/>
    <x v="2"/>
  </r>
  <r>
    <x v="80"/>
    <n v="1000007320"/>
    <s v="借呗12期"/>
    <n v="1"/>
    <n v="5500.4"/>
    <s v="借呗"/>
    <x v="0"/>
    <x v="0"/>
    <x v="3"/>
    <s v="一组"/>
    <s v="上海一组"/>
    <s v="普通员工"/>
    <n v="5500.4"/>
    <n v="2020"/>
    <x v="2"/>
  </r>
  <r>
    <x v="80"/>
    <n v="1000008228"/>
    <s v="借呗6期"/>
    <n v="1"/>
    <n v="11000.11"/>
    <s v="借呗"/>
    <x v="1"/>
    <x v="1"/>
    <x v="2"/>
    <s v="三组"/>
    <s v="北京三组"/>
    <s v="普通员工"/>
    <n v="11000.11"/>
    <n v="2020"/>
    <x v="2"/>
  </r>
  <r>
    <x v="80"/>
    <n v="1000008239"/>
    <s v="借呗6期"/>
    <n v="1"/>
    <n v="5000.51"/>
    <s v="借呗"/>
    <x v="1"/>
    <x v="0"/>
    <x v="10"/>
    <s v="一组"/>
    <s v="南京一组"/>
    <s v="管理人员"/>
    <n v="5000.51"/>
    <n v="2020"/>
    <x v="2"/>
  </r>
  <r>
    <x v="80"/>
    <n v="1000008542"/>
    <s v="借呗18期"/>
    <n v="1"/>
    <n v="11000.69"/>
    <s v="借呗"/>
    <x v="2"/>
    <x v="0"/>
    <x v="5"/>
    <s v="一组"/>
    <s v="合肥一组"/>
    <s v="普通员工"/>
    <n v="11000.69"/>
    <n v="2020"/>
    <x v="2"/>
  </r>
  <r>
    <x v="80"/>
    <n v="1000008957"/>
    <s v="借呗12期"/>
    <n v="1"/>
    <n v="10000.76"/>
    <s v="借呗"/>
    <x v="0"/>
    <x v="0"/>
    <x v="3"/>
    <s v="二组"/>
    <s v="上海二组"/>
    <s v="普通员工"/>
    <n v="10000.76"/>
    <n v="2020"/>
    <x v="2"/>
  </r>
  <r>
    <x v="80"/>
    <n v="1000008957"/>
    <s v="借呗18期"/>
    <n v="1"/>
    <n v="17000.62"/>
    <s v="借呗"/>
    <x v="2"/>
    <x v="0"/>
    <x v="3"/>
    <s v="二组"/>
    <s v="上海二组"/>
    <s v="普通员工"/>
    <n v="17000.62"/>
    <n v="2020"/>
    <x v="2"/>
  </r>
  <r>
    <x v="80"/>
    <n v="1000010814"/>
    <s v="借呗12期"/>
    <n v="1"/>
    <n v="7000.76"/>
    <s v="借呗"/>
    <x v="0"/>
    <x v="0"/>
    <x v="10"/>
    <s v="四组"/>
    <s v="南京四组"/>
    <s v="普通员工"/>
    <n v="7000.76"/>
    <n v="2020"/>
    <x v="2"/>
  </r>
  <r>
    <x v="80"/>
    <n v="1000011538"/>
    <s v="借呗6期"/>
    <n v="1"/>
    <n v="11000.7"/>
    <s v="借呗"/>
    <x v="1"/>
    <x v="0"/>
    <x v="5"/>
    <s v="二组"/>
    <s v="合肥二组"/>
    <s v="普通员工"/>
    <n v="11000.7"/>
    <n v="2020"/>
    <x v="2"/>
  </r>
  <r>
    <x v="80"/>
    <n v="1000011538"/>
    <s v="借呗12期"/>
    <n v="2"/>
    <n v="45000.86"/>
    <s v="借呗"/>
    <x v="0"/>
    <x v="0"/>
    <x v="5"/>
    <s v="二组"/>
    <s v="合肥二组"/>
    <s v="普通员工"/>
    <n v="22500.43"/>
    <n v="2020"/>
    <x v="2"/>
  </r>
  <r>
    <x v="80"/>
    <n v="1000011697"/>
    <s v="借呗6期"/>
    <n v="1"/>
    <n v="5000.03"/>
    <s v="借呗"/>
    <x v="1"/>
    <x v="0"/>
    <x v="3"/>
    <s v="二组"/>
    <s v="上海二组"/>
    <s v="普通员工"/>
    <n v="5000.03"/>
    <n v="2020"/>
    <x v="2"/>
  </r>
  <r>
    <x v="80"/>
    <n v="1000011698"/>
    <s v="借呗6期"/>
    <n v="1"/>
    <n v="4300.54"/>
    <s v="借呗"/>
    <x v="1"/>
    <x v="0"/>
    <x v="3"/>
    <s v="二组"/>
    <s v="上海二组"/>
    <s v="普通员工"/>
    <n v="4300.54"/>
    <n v="2020"/>
    <x v="2"/>
  </r>
  <r>
    <x v="80"/>
    <n v="1000011828"/>
    <s v="借呗18期"/>
    <n v="1"/>
    <n v="16000.44"/>
    <s v="借呗"/>
    <x v="2"/>
    <x v="0"/>
    <x v="0"/>
    <s v="二组"/>
    <s v="杭州二组"/>
    <s v="普通员工"/>
    <n v="16000.44"/>
    <n v="2020"/>
    <x v="2"/>
  </r>
  <r>
    <x v="80"/>
    <n v="1000012096"/>
    <s v="借呗12期"/>
    <n v="1"/>
    <n v="5000.62"/>
    <s v="借呗"/>
    <x v="0"/>
    <x v="0"/>
    <x v="0"/>
    <s v="一组"/>
    <s v="杭州一组"/>
    <s v="普通员工"/>
    <n v="5000.62"/>
    <n v="2020"/>
    <x v="2"/>
  </r>
  <r>
    <x v="80"/>
    <n v="1000012099"/>
    <s v="借呗12期"/>
    <n v="2"/>
    <n v="24000.260000000002"/>
    <s v="借呗"/>
    <x v="0"/>
    <x v="0"/>
    <x v="0"/>
    <s v="二组"/>
    <s v="杭州二组"/>
    <s v="普通员工"/>
    <n v="12000.130000000001"/>
    <n v="2020"/>
    <x v="2"/>
  </r>
  <r>
    <x v="80"/>
    <n v="1000012112"/>
    <s v="借呗6期"/>
    <n v="1"/>
    <n v="6000.49"/>
    <s v="借呗"/>
    <x v="1"/>
    <x v="0"/>
    <x v="0"/>
    <s v="三组"/>
    <s v="杭州三组"/>
    <s v="管理人员"/>
    <n v="6000.49"/>
    <n v="2020"/>
    <x v="2"/>
  </r>
  <r>
    <x v="80"/>
    <n v="1000012126"/>
    <s v="借呗6期"/>
    <n v="1"/>
    <n v="4999.96"/>
    <s v="借呗"/>
    <x v="1"/>
    <x v="0"/>
    <x v="0"/>
    <s v="一组"/>
    <s v="杭州一组"/>
    <s v="普通员工"/>
    <n v="4999.96"/>
    <n v="2020"/>
    <x v="2"/>
  </r>
  <r>
    <x v="80"/>
    <n v="1000012234"/>
    <s v="借呗6期"/>
    <n v="3"/>
    <n v="6900.74"/>
    <s v="借呗"/>
    <x v="1"/>
    <x v="0"/>
    <x v="1"/>
    <s v="一组"/>
    <s v="苏州一组"/>
    <s v="普通员工"/>
    <n v="2300.2466666666664"/>
    <n v="2020"/>
    <x v="2"/>
  </r>
  <r>
    <x v="80"/>
    <n v="1000012313"/>
    <s v="借呗6期"/>
    <n v="1"/>
    <n v="15000.66"/>
    <s v="借呗"/>
    <x v="1"/>
    <x v="2"/>
    <x v="11"/>
    <s v="一组"/>
    <s v="南宁一组"/>
    <s v="普通员工"/>
    <n v="15000.66"/>
    <n v="2020"/>
    <x v="2"/>
  </r>
  <r>
    <x v="80"/>
    <n v="1000012394"/>
    <s v="借呗6期"/>
    <n v="1"/>
    <n v="1400.25"/>
    <s v="借呗"/>
    <x v="1"/>
    <x v="0"/>
    <x v="10"/>
    <s v="一组"/>
    <s v="南京一组"/>
    <s v="普通员工"/>
    <n v="1400.25"/>
    <n v="2020"/>
    <x v="2"/>
  </r>
  <r>
    <x v="80"/>
    <n v="1000013526"/>
    <s v="借呗12期"/>
    <n v="1"/>
    <n v="8000.45"/>
    <s v="借呗"/>
    <x v="0"/>
    <x v="2"/>
    <x v="11"/>
    <s v="一组"/>
    <s v="南宁一组"/>
    <s v="普通员工"/>
    <n v="8000.45"/>
    <n v="2020"/>
    <x v="2"/>
  </r>
  <r>
    <x v="80"/>
    <n v="1000013607"/>
    <s v="借呗6期"/>
    <n v="1"/>
    <n v="6000.72"/>
    <s v="借呗"/>
    <x v="1"/>
    <x v="0"/>
    <x v="1"/>
    <s v="一组"/>
    <s v="苏州一组"/>
    <s v="普通员工"/>
    <n v="6000.72"/>
    <n v="2020"/>
    <x v="2"/>
  </r>
  <r>
    <x v="80"/>
    <n v="1000013607"/>
    <s v="借呗12期"/>
    <n v="3"/>
    <n v="46000.630000000005"/>
    <s v="借呗"/>
    <x v="0"/>
    <x v="0"/>
    <x v="1"/>
    <s v="一组"/>
    <s v="苏州一组"/>
    <s v="普通员工"/>
    <n v="15333.543333333335"/>
    <n v="2020"/>
    <x v="2"/>
  </r>
  <r>
    <x v="80"/>
    <n v="1000014037"/>
    <s v="借呗6期"/>
    <n v="1"/>
    <n v="7000.33"/>
    <s v="借呗"/>
    <x v="1"/>
    <x v="0"/>
    <x v="1"/>
    <s v="三组"/>
    <s v="苏州三组"/>
    <s v="普通员工"/>
    <n v="7000.33"/>
    <n v="2020"/>
    <x v="2"/>
  </r>
  <r>
    <x v="80"/>
    <n v="1000014037"/>
    <s v="借呗12期"/>
    <n v="1"/>
    <n v="6000.28"/>
    <s v="借呗"/>
    <x v="0"/>
    <x v="0"/>
    <x v="1"/>
    <s v="三组"/>
    <s v="苏州三组"/>
    <s v="普通员工"/>
    <n v="6000.28"/>
    <n v="2020"/>
    <x v="2"/>
  </r>
  <r>
    <x v="80"/>
    <n v="1000014072"/>
    <s v="借呗6期"/>
    <n v="1"/>
    <n v="13000.62"/>
    <s v="借呗"/>
    <x v="1"/>
    <x v="2"/>
    <x v="11"/>
    <s v="一组"/>
    <s v="南宁一组"/>
    <s v="普通员工"/>
    <n v="13000.62"/>
    <n v="2020"/>
    <x v="2"/>
  </r>
  <r>
    <x v="80"/>
    <n v="1000014291"/>
    <s v="借呗6期"/>
    <n v="1"/>
    <n v="9000.1299999999992"/>
    <s v="借呗"/>
    <x v="1"/>
    <x v="2"/>
    <x v="6"/>
    <s v="二组"/>
    <s v="广州二组"/>
    <s v="管理人员"/>
    <n v="9000.1299999999992"/>
    <n v="2020"/>
    <x v="2"/>
  </r>
  <r>
    <x v="80"/>
    <n v="1000014291"/>
    <s v="借呗12期"/>
    <n v="1"/>
    <n v="8000.19"/>
    <s v="借呗"/>
    <x v="0"/>
    <x v="2"/>
    <x v="6"/>
    <s v="二组"/>
    <s v="广州二组"/>
    <s v="管理人员"/>
    <n v="8000.19"/>
    <n v="2020"/>
    <x v="2"/>
  </r>
  <r>
    <x v="80"/>
    <n v="1000014452"/>
    <s v="借呗12期"/>
    <n v="1"/>
    <n v="9000.32"/>
    <s v="借呗"/>
    <x v="0"/>
    <x v="0"/>
    <x v="3"/>
    <s v="三组"/>
    <s v="上海三组"/>
    <s v="普通员工"/>
    <n v="9000.32"/>
    <n v="2020"/>
    <x v="2"/>
  </r>
  <r>
    <x v="80"/>
    <n v="1000014572"/>
    <s v="借呗6期"/>
    <n v="2"/>
    <n v="14999.95"/>
    <s v="借呗"/>
    <x v="1"/>
    <x v="0"/>
    <x v="3"/>
    <s v="一组"/>
    <s v="上海一组"/>
    <s v="普通员工"/>
    <n v="7499.9750000000004"/>
    <n v="2020"/>
    <x v="2"/>
  </r>
  <r>
    <x v="80"/>
    <n v="1000014572"/>
    <s v="借呗12期"/>
    <n v="2"/>
    <n v="16000.27"/>
    <s v="借呗"/>
    <x v="0"/>
    <x v="0"/>
    <x v="3"/>
    <s v="一组"/>
    <s v="上海一组"/>
    <s v="普通员工"/>
    <n v="8000.1350000000002"/>
    <n v="2020"/>
    <x v="2"/>
  </r>
  <r>
    <x v="80"/>
    <n v="1000014879"/>
    <s v="借呗6期"/>
    <n v="2"/>
    <n v="43000.88"/>
    <s v="借呗"/>
    <x v="1"/>
    <x v="0"/>
    <x v="5"/>
    <s v="一组"/>
    <s v="合肥一组"/>
    <s v="普通员工"/>
    <n v="21500.44"/>
    <n v="2020"/>
    <x v="2"/>
  </r>
  <r>
    <x v="80"/>
    <n v="1000014996"/>
    <s v="借呗12期"/>
    <n v="1"/>
    <n v="22000.3"/>
    <s v="借呗"/>
    <x v="0"/>
    <x v="1"/>
    <x v="8"/>
    <s v="一组"/>
    <s v="西安一组"/>
    <s v="普通员工"/>
    <n v="22000.3"/>
    <n v="2020"/>
    <x v="2"/>
  </r>
  <r>
    <x v="80"/>
    <n v="1000015013"/>
    <s v="借呗12期"/>
    <n v="1"/>
    <n v="9000.7000000000007"/>
    <s v="借呗"/>
    <x v="0"/>
    <x v="0"/>
    <x v="0"/>
    <s v="一组"/>
    <s v="杭州一组"/>
    <s v="普通员工"/>
    <n v="9000.7000000000007"/>
    <n v="2020"/>
    <x v="2"/>
  </r>
  <r>
    <x v="80"/>
    <n v="1000015015"/>
    <s v="借呗12期"/>
    <n v="2"/>
    <n v="35000.370000000003"/>
    <s v="借呗"/>
    <x v="0"/>
    <x v="0"/>
    <x v="10"/>
    <s v="一组"/>
    <s v="南京一组"/>
    <s v="普通员工"/>
    <n v="17500.185000000001"/>
    <n v="2020"/>
    <x v="2"/>
  </r>
  <r>
    <x v="80"/>
    <n v="1000015203"/>
    <s v="借呗6期"/>
    <n v="1"/>
    <n v="6000.72"/>
    <s v="借呗"/>
    <x v="1"/>
    <x v="2"/>
    <x v="11"/>
    <s v="一组"/>
    <s v="南宁一组"/>
    <s v="普通员工"/>
    <n v="6000.72"/>
    <n v="2020"/>
    <x v="2"/>
  </r>
  <r>
    <x v="80"/>
    <n v="1000015203"/>
    <s v="借呗18期"/>
    <n v="2"/>
    <n v="42001.08"/>
    <s v="借呗"/>
    <x v="2"/>
    <x v="2"/>
    <x v="11"/>
    <s v="一组"/>
    <s v="南宁一组"/>
    <s v="普通员工"/>
    <n v="21000.54"/>
    <n v="2020"/>
    <x v="2"/>
  </r>
  <r>
    <x v="80"/>
    <n v="1000017576"/>
    <s v="借呗6期"/>
    <n v="1"/>
    <n v="2000.55"/>
    <s v="借呗"/>
    <x v="1"/>
    <x v="0"/>
    <x v="0"/>
    <s v="三组"/>
    <s v="杭州三组"/>
    <s v="普通员工"/>
    <n v="2000.55"/>
    <n v="2020"/>
    <x v="2"/>
  </r>
  <r>
    <x v="80"/>
    <n v="1000017688"/>
    <s v="借呗6期"/>
    <n v="1"/>
    <n v="7500.15"/>
    <s v="借呗"/>
    <x v="1"/>
    <x v="2"/>
    <x v="6"/>
    <s v="三组"/>
    <s v="广州三组"/>
    <s v="普通员工"/>
    <n v="7500.15"/>
    <n v="2020"/>
    <x v="2"/>
  </r>
  <r>
    <x v="80"/>
    <n v="1000017688"/>
    <s v="借呗12期"/>
    <n v="1"/>
    <n v="6500.06"/>
    <s v="借呗"/>
    <x v="0"/>
    <x v="2"/>
    <x v="6"/>
    <s v="三组"/>
    <s v="广州三组"/>
    <s v="普通员工"/>
    <n v="6500.06"/>
    <n v="2020"/>
    <x v="2"/>
  </r>
  <r>
    <x v="80"/>
    <n v="1000017700"/>
    <s v="借呗18期"/>
    <n v="1"/>
    <n v="10000.6"/>
    <s v="借呗"/>
    <x v="2"/>
    <x v="2"/>
    <x v="11"/>
    <s v="一组"/>
    <s v="南宁一组"/>
    <s v="普通员工"/>
    <n v="10000.6"/>
    <n v="2020"/>
    <x v="2"/>
  </r>
  <r>
    <x v="81"/>
    <n v="1000000028"/>
    <s v="借呗6期"/>
    <n v="1"/>
    <n v="1848.22"/>
    <s v="借呗"/>
    <x v="1"/>
    <x v="0"/>
    <x v="0"/>
    <s v="二组"/>
    <s v="杭州二组"/>
    <s v="普通员工"/>
    <n v="1848.22"/>
    <n v="2020"/>
    <x v="2"/>
  </r>
  <r>
    <x v="81"/>
    <n v="1000000030"/>
    <s v="借呗12期"/>
    <n v="3"/>
    <n v="35000.78"/>
    <s v="借呗"/>
    <x v="0"/>
    <x v="2"/>
    <x v="6"/>
    <s v="三组"/>
    <s v="广州三组"/>
    <s v="普通员工"/>
    <n v="11666.926666666666"/>
    <n v="2020"/>
    <x v="2"/>
  </r>
  <r>
    <x v="81"/>
    <n v="1000000031"/>
    <s v="借呗6期"/>
    <n v="2"/>
    <n v="20000.849999999999"/>
    <s v="借呗"/>
    <x v="1"/>
    <x v="0"/>
    <x v="0"/>
    <s v="一组"/>
    <s v="杭州一组"/>
    <s v="管理人员"/>
    <n v="10000.424999999999"/>
    <n v="2020"/>
    <x v="2"/>
  </r>
  <r>
    <x v="81"/>
    <n v="1000000031"/>
    <s v="借呗12期"/>
    <n v="1"/>
    <n v="20000.09"/>
    <s v="借呗"/>
    <x v="0"/>
    <x v="0"/>
    <x v="0"/>
    <s v="一组"/>
    <s v="杭州一组"/>
    <s v="管理人员"/>
    <n v="20000.09"/>
    <n v="2020"/>
    <x v="2"/>
  </r>
  <r>
    <x v="81"/>
    <n v="1000000031"/>
    <s v="借呗18期"/>
    <n v="1"/>
    <n v="1200.19"/>
    <s v="借呗"/>
    <x v="2"/>
    <x v="0"/>
    <x v="0"/>
    <s v="一组"/>
    <s v="杭州一组"/>
    <s v="管理人员"/>
    <n v="1200.19"/>
    <n v="2020"/>
    <x v="2"/>
  </r>
  <r>
    <x v="81"/>
    <n v="1000000032"/>
    <s v="借呗6期"/>
    <n v="1"/>
    <n v="562.5"/>
    <s v="借呗"/>
    <x v="1"/>
    <x v="0"/>
    <x v="1"/>
    <s v="一组"/>
    <s v="苏州一组"/>
    <s v="管理人员"/>
    <n v="562.5"/>
    <n v="2020"/>
    <x v="2"/>
  </r>
  <r>
    <x v="81"/>
    <n v="1000000032"/>
    <s v="借呗18期"/>
    <n v="1"/>
    <n v="12000.86"/>
    <s v="借呗"/>
    <x v="2"/>
    <x v="0"/>
    <x v="1"/>
    <s v="一组"/>
    <s v="苏州一组"/>
    <s v="管理人员"/>
    <n v="12000.86"/>
    <n v="2020"/>
    <x v="2"/>
  </r>
  <r>
    <x v="81"/>
    <n v="1000000033"/>
    <s v="借呗6期"/>
    <n v="1"/>
    <n v="17000.509999999998"/>
    <s v="借呗"/>
    <x v="1"/>
    <x v="0"/>
    <x v="1"/>
    <s v="一组"/>
    <s v="苏州一组"/>
    <s v="普通员工"/>
    <n v="17000.509999999998"/>
    <n v="2020"/>
    <x v="2"/>
  </r>
  <r>
    <x v="81"/>
    <n v="1000000034"/>
    <s v="借呗6期"/>
    <n v="1"/>
    <n v="6500.68"/>
    <s v="借呗"/>
    <x v="1"/>
    <x v="0"/>
    <x v="1"/>
    <s v="一组"/>
    <s v="苏州一组"/>
    <s v="普通员工"/>
    <n v="6500.68"/>
    <n v="2020"/>
    <x v="2"/>
  </r>
  <r>
    <x v="81"/>
    <n v="1000000034"/>
    <s v="借呗18期"/>
    <n v="1"/>
    <n v="694.69"/>
    <s v="借呗"/>
    <x v="2"/>
    <x v="0"/>
    <x v="1"/>
    <s v="一组"/>
    <s v="苏州一组"/>
    <s v="普通员工"/>
    <n v="694.69"/>
    <n v="2020"/>
    <x v="2"/>
  </r>
  <r>
    <x v="81"/>
    <n v="1000000036"/>
    <s v="借呗6期"/>
    <n v="3"/>
    <n v="32894.82"/>
    <s v="借呗"/>
    <x v="1"/>
    <x v="2"/>
    <x v="6"/>
    <s v="三组"/>
    <s v="广州三组"/>
    <s v="管理人员"/>
    <n v="10964.94"/>
    <n v="2020"/>
    <x v="2"/>
  </r>
  <r>
    <x v="81"/>
    <n v="1000000037"/>
    <s v="借呗6期"/>
    <n v="1"/>
    <n v="3000.09"/>
    <s v="借呗"/>
    <x v="1"/>
    <x v="0"/>
    <x v="0"/>
    <s v="二组"/>
    <s v="杭州二组"/>
    <s v="普通员工"/>
    <n v="3000.09"/>
    <n v="2020"/>
    <x v="2"/>
  </r>
  <r>
    <x v="81"/>
    <n v="1000000039"/>
    <s v="借呗12期"/>
    <n v="1"/>
    <n v="10000.69"/>
    <s v="借呗"/>
    <x v="0"/>
    <x v="0"/>
    <x v="1"/>
    <s v="二组"/>
    <s v="苏州二组"/>
    <s v="管理人员"/>
    <n v="10000.69"/>
    <n v="2020"/>
    <x v="2"/>
  </r>
  <r>
    <x v="81"/>
    <n v="1000000040"/>
    <s v="借呗6期"/>
    <n v="2"/>
    <n v="30698.29"/>
    <s v="借呗"/>
    <x v="1"/>
    <x v="1"/>
    <x v="2"/>
    <s v="四组"/>
    <s v="北京四组"/>
    <s v="管理人员"/>
    <n v="15349.145"/>
    <n v="2020"/>
    <x v="2"/>
  </r>
  <r>
    <x v="81"/>
    <n v="1000000040"/>
    <s v="借呗12期"/>
    <n v="1"/>
    <n v="6500.74"/>
    <s v="借呗"/>
    <x v="0"/>
    <x v="1"/>
    <x v="2"/>
    <s v="四组"/>
    <s v="北京四组"/>
    <s v="管理人员"/>
    <n v="6500.74"/>
    <n v="2020"/>
    <x v="2"/>
  </r>
  <r>
    <x v="81"/>
    <n v="1000000041"/>
    <s v="借呗6期"/>
    <n v="1"/>
    <n v="8000.12"/>
    <s v="借呗"/>
    <x v="1"/>
    <x v="1"/>
    <x v="2"/>
    <s v="四组"/>
    <s v="北京四组"/>
    <s v="普通员工"/>
    <n v="8000.12"/>
    <n v="2020"/>
    <x v="2"/>
  </r>
  <r>
    <x v="81"/>
    <n v="1000000041"/>
    <s v="借呗12期"/>
    <n v="1"/>
    <n v="9500.1200000000008"/>
    <s v="借呗"/>
    <x v="0"/>
    <x v="1"/>
    <x v="2"/>
    <s v="四组"/>
    <s v="北京四组"/>
    <s v="普通员工"/>
    <n v="9500.1200000000008"/>
    <n v="2020"/>
    <x v="2"/>
  </r>
  <r>
    <x v="81"/>
    <n v="1000000043"/>
    <s v="借呗6期"/>
    <n v="3"/>
    <n v="19000.62"/>
    <s v="借呗"/>
    <x v="1"/>
    <x v="1"/>
    <x v="4"/>
    <s v="一组"/>
    <s v="成都一组"/>
    <s v="普通员工"/>
    <n v="6333.54"/>
    <n v="2020"/>
    <x v="2"/>
  </r>
  <r>
    <x v="81"/>
    <n v="1000000043"/>
    <s v="借呗12期"/>
    <n v="1"/>
    <n v="7000.15"/>
    <s v="借呗"/>
    <x v="0"/>
    <x v="1"/>
    <x v="4"/>
    <s v="一组"/>
    <s v="成都一组"/>
    <s v="普通员工"/>
    <n v="7000.15"/>
    <n v="2020"/>
    <x v="2"/>
  </r>
  <r>
    <x v="81"/>
    <n v="1000000044"/>
    <s v="借呗6期"/>
    <n v="1"/>
    <n v="18000.32"/>
    <s v="借呗"/>
    <x v="1"/>
    <x v="1"/>
    <x v="2"/>
    <s v="三组"/>
    <s v="北京三组"/>
    <s v="管理人员"/>
    <n v="18000.32"/>
    <n v="2020"/>
    <x v="2"/>
  </r>
  <r>
    <x v="81"/>
    <n v="1000000045"/>
    <s v="借呗6期"/>
    <n v="2"/>
    <n v="6142.88"/>
    <s v="借呗"/>
    <x v="1"/>
    <x v="2"/>
    <x v="9"/>
    <s v="一组"/>
    <s v="深圳一组"/>
    <s v="普通员工"/>
    <n v="3071.44"/>
    <n v="2020"/>
    <x v="2"/>
  </r>
  <r>
    <x v="81"/>
    <n v="1000000046"/>
    <s v="借呗6期"/>
    <n v="1"/>
    <n v="16000.08"/>
    <s v="借呗"/>
    <x v="1"/>
    <x v="1"/>
    <x v="4"/>
    <s v="一组"/>
    <s v="成都一组"/>
    <s v="普通员工"/>
    <n v="16000.08"/>
    <n v="2020"/>
    <x v="2"/>
  </r>
  <r>
    <x v="81"/>
    <n v="1000000050"/>
    <s v="借呗6期"/>
    <n v="1"/>
    <n v="833.95"/>
    <s v="借呗"/>
    <x v="1"/>
    <x v="0"/>
    <x v="5"/>
    <s v="一组"/>
    <s v="合肥一组"/>
    <s v="普通员工"/>
    <n v="833.95"/>
    <n v="2020"/>
    <x v="2"/>
  </r>
  <r>
    <x v="81"/>
    <n v="1000000054"/>
    <s v="借呗6期"/>
    <n v="3"/>
    <n v="18000.34"/>
    <s v="借呗"/>
    <x v="1"/>
    <x v="0"/>
    <x v="3"/>
    <s v="一组"/>
    <s v="上海一组"/>
    <s v="普通员工"/>
    <n v="6000.1133333333337"/>
    <n v="2020"/>
    <x v="2"/>
  </r>
  <r>
    <x v="81"/>
    <n v="1000000056"/>
    <s v="借呗6期"/>
    <n v="4"/>
    <n v="26001.18"/>
    <s v="借呗"/>
    <x v="1"/>
    <x v="0"/>
    <x v="3"/>
    <s v="一组"/>
    <s v="上海一组"/>
    <s v="管理人员"/>
    <n v="6500.2950000000001"/>
    <n v="2020"/>
    <x v="2"/>
  </r>
  <r>
    <x v="81"/>
    <n v="1000000056"/>
    <s v="借呗12期"/>
    <n v="1"/>
    <n v="10999.95"/>
    <s v="借呗"/>
    <x v="0"/>
    <x v="0"/>
    <x v="3"/>
    <s v="一组"/>
    <s v="上海一组"/>
    <s v="管理人员"/>
    <n v="10999.95"/>
    <n v="2020"/>
    <x v="2"/>
  </r>
  <r>
    <x v="81"/>
    <n v="1000000058"/>
    <s v="借呗6期"/>
    <n v="1"/>
    <n v="3000.26"/>
    <s v="借呗"/>
    <x v="1"/>
    <x v="0"/>
    <x v="3"/>
    <s v="二组"/>
    <s v="上海二组"/>
    <s v="普通员工"/>
    <n v="3000.26"/>
    <n v="2020"/>
    <x v="2"/>
  </r>
  <r>
    <x v="81"/>
    <n v="1000000067"/>
    <s v="借呗6期"/>
    <n v="1"/>
    <n v="5000.29"/>
    <s v="借呗"/>
    <x v="1"/>
    <x v="0"/>
    <x v="1"/>
    <s v="二组"/>
    <s v="苏州二组"/>
    <s v="普通员工"/>
    <n v="5000.29"/>
    <n v="2020"/>
    <x v="2"/>
  </r>
  <r>
    <x v="81"/>
    <n v="1000000068"/>
    <s v="借呗6期"/>
    <n v="1"/>
    <n v="10000.35"/>
    <s v="借呗"/>
    <x v="1"/>
    <x v="1"/>
    <x v="7"/>
    <s v="一组"/>
    <s v="重庆一组"/>
    <s v="管理人员"/>
    <n v="10000.35"/>
    <n v="2020"/>
    <x v="2"/>
  </r>
  <r>
    <x v="81"/>
    <n v="1000000068"/>
    <s v="借呗12期"/>
    <n v="1"/>
    <n v="1500.34"/>
    <s v="借呗"/>
    <x v="0"/>
    <x v="1"/>
    <x v="7"/>
    <s v="一组"/>
    <s v="重庆一组"/>
    <s v="管理人员"/>
    <n v="1500.34"/>
    <n v="2020"/>
    <x v="2"/>
  </r>
  <r>
    <x v="81"/>
    <n v="1000000237"/>
    <s v="借呗6期"/>
    <n v="1"/>
    <n v="18000.7"/>
    <s v="借呗"/>
    <x v="1"/>
    <x v="0"/>
    <x v="5"/>
    <s v="一组"/>
    <s v="合肥一组"/>
    <s v="普通员工"/>
    <n v="18000.7"/>
    <n v="2020"/>
    <x v="2"/>
  </r>
  <r>
    <x v="81"/>
    <n v="1000000566"/>
    <s v="借呗12期"/>
    <n v="1"/>
    <n v="21000.5"/>
    <s v="借呗"/>
    <x v="0"/>
    <x v="2"/>
    <x v="6"/>
    <s v="三组"/>
    <s v="广州三组"/>
    <s v="普通员工"/>
    <n v="21000.5"/>
    <n v="2020"/>
    <x v="2"/>
  </r>
  <r>
    <x v="81"/>
    <n v="1000000581"/>
    <s v="借呗18期"/>
    <n v="1"/>
    <n v="705.76"/>
    <s v="借呗"/>
    <x v="2"/>
    <x v="2"/>
    <x v="6"/>
    <s v="三组"/>
    <s v="广州三组"/>
    <s v="普通员工"/>
    <n v="705.76"/>
    <n v="2020"/>
    <x v="2"/>
  </r>
  <r>
    <x v="81"/>
    <n v="1000000594"/>
    <s v="借呗12期"/>
    <n v="1"/>
    <n v="20000.47"/>
    <s v="借呗"/>
    <x v="0"/>
    <x v="0"/>
    <x v="1"/>
    <s v="二组"/>
    <s v="苏州二组"/>
    <s v="普通员工"/>
    <n v="20000.47"/>
    <n v="2020"/>
    <x v="2"/>
  </r>
  <r>
    <x v="81"/>
    <n v="1000000928"/>
    <s v="借呗6期"/>
    <n v="1"/>
    <n v="22000.09"/>
    <s v="借呗"/>
    <x v="1"/>
    <x v="1"/>
    <x v="8"/>
    <s v="一组"/>
    <s v="西安一组"/>
    <s v="普通员工"/>
    <n v="22000.09"/>
    <n v="2020"/>
    <x v="2"/>
  </r>
  <r>
    <x v="81"/>
    <n v="1000000928"/>
    <s v="借呗12期"/>
    <n v="2"/>
    <n v="42000.509999999995"/>
    <s v="借呗"/>
    <x v="0"/>
    <x v="1"/>
    <x v="8"/>
    <s v="一组"/>
    <s v="西安一组"/>
    <s v="普通员工"/>
    <n v="21000.254999999997"/>
    <n v="2020"/>
    <x v="2"/>
  </r>
  <r>
    <x v="81"/>
    <n v="1000001524"/>
    <s v="借呗12期"/>
    <n v="1"/>
    <n v="9000.25"/>
    <s v="借呗"/>
    <x v="0"/>
    <x v="0"/>
    <x v="1"/>
    <s v="二组"/>
    <s v="苏州二组"/>
    <s v="普通员工"/>
    <n v="9000.25"/>
    <n v="2020"/>
    <x v="2"/>
  </r>
  <r>
    <x v="81"/>
    <n v="1000003926"/>
    <s v="借呗6期"/>
    <n v="5"/>
    <n v="61501.120000000003"/>
    <s v="借呗"/>
    <x v="1"/>
    <x v="2"/>
    <x v="6"/>
    <s v="一组"/>
    <s v="广州一组"/>
    <s v="管理人员"/>
    <n v="12300.224"/>
    <n v="2020"/>
    <x v="2"/>
  </r>
  <r>
    <x v="81"/>
    <n v="1000003989"/>
    <s v="借呗18期"/>
    <n v="1"/>
    <n v="14000.44"/>
    <s v="借呗"/>
    <x v="2"/>
    <x v="1"/>
    <x v="2"/>
    <s v="三组"/>
    <s v="北京三组"/>
    <s v="普通员工"/>
    <n v="14000.44"/>
    <n v="2020"/>
    <x v="2"/>
  </r>
  <r>
    <x v="81"/>
    <n v="1000004170"/>
    <s v="借呗6期"/>
    <n v="5"/>
    <n v="56887.15"/>
    <s v="借呗"/>
    <x v="1"/>
    <x v="0"/>
    <x v="3"/>
    <s v="二组"/>
    <s v="上海二组"/>
    <s v="管理人员"/>
    <n v="11377.43"/>
    <n v="2020"/>
    <x v="2"/>
  </r>
  <r>
    <x v="81"/>
    <n v="1000005873"/>
    <s v="借呗6期"/>
    <n v="1"/>
    <n v="7000.45"/>
    <s v="借呗"/>
    <x v="1"/>
    <x v="0"/>
    <x v="0"/>
    <s v="二组"/>
    <s v="杭州二组"/>
    <s v="管理人员"/>
    <n v="7000.45"/>
    <n v="2020"/>
    <x v="2"/>
  </r>
  <r>
    <x v="81"/>
    <n v="1000005873"/>
    <s v="借呗18期"/>
    <n v="1"/>
    <n v="7500.75"/>
    <s v="借呗"/>
    <x v="2"/>
    <x v="0"/>
    <x v="0"/>
    <s v="二组"/>
    <s v="杭州二组"/>
    <s v="管理人员"/>
    <n v="7500.75"/>
    <n v="2020"/>
    <x v="2"/>
  </r>
  <r>
    <x v="81"/>
    <n v="1000006698"/>
    <s v="借呗12期"/>
    <n v="1"/>
    <n v="17000.02"/>
    <s v="借呗"/>
    <x v="0"/>
    <x v="1"/>
    <x v="4"/>
    <s v="一组"/>
    <s v="成都一组"/>
    <s v="管理人员"/>
    <n v="17000.02"/>
    <n v="2020"/>
    <x v="2"/>
  </r>
  <r>
    <x v="81"/>
    <n v="1000006859"/>
    <s v="借呗6期"/>
    <n v="1"/>
    <n v="2500.19"/>
    <s v="借呗"/>
    <x v="1"/>
    <x v="0"/>
    <x v="10"/>
    <s v="一组"/>
    <s v="南京一组"/>
    <s v="普通员工"/>
    <n v="2500.19"/>
    <n v="2020"/>
    <x v="2"/>
  </r>
  <r>
    <x v="81"/>
    <n v="1000006867"/>
    <s v="借呗12期"/>
    <n v="1"/>
    <n v="19999.95"/>
    <s v="借呗"/>
    <x v="0"/>
    <x v="0"/>
    <x v="10"/>
    <s v="一组"/>
    <s v="南京一组"/>
    <s v="普通员工"/>
    <n v="19999.95"/>
    <n v="2020"/>
    <x v="2"/>
  </r>
  <r>
    <x v="81"/>
    <n v="1000006869"/>
    <s v="借呗6期"/>
    <n v="1"/>
    <n v="5000.18"/>
    <s v="借呗"/>
    <x v="1"/>
    <x v="0"/>
    <x v="10"/>
    <s v="一组"/>
    <s v="南京一组"/>
    <s v="普通员工"/>
    <n v="5000.18"/>
    <n v="2020"/>
    <x v="2"/>
  </r>
  <r>
    <x v="81"/>
    <n v="1000007320"/>
    <s v="借呗18期"/>
    <n v="2"/>
    <n v="10000.290000000001"/>
    <s v="借呗"/>
    <x v="2"/>
    <x v="0"/>
    <x v="3"/>
    <s v="一组"/>
    <s v="上海一组"/>
    <s v="普通员工"/>
    <n v="5000.1450000000004"/>
    <n v="2020"/>
    <x v="2"/>
  </r>
  <r>
    <x v="81"/>
    <n v="1000008228"/>
    <s v="借呗6期"/>
    <n v="1"/>
    <n v="10000.6"/>
    <s v="借呗"/>
    <x v="1"/>
    <x v="1"/>
    <x v="2"/>
    <s v="三组"/>
    <s v="北京三组"/>
    <s v="普通员工"/>
    <n v="10000.6"/>
    <n v="2020"/>
    <x v="2"/>
  </r>
  <r>
    <x v="81"/>
    <n v="1000008239"/>
    <s v="借呗6期"/>
    <n v="1"/>
    <n v="16000.56"/>
    <s v="借呗"/>
    <x v="1"/>
    <x v="0"/>
    <x v="10"/>
    <s v="一组"/>
    <s v="南京一组"/>
    <s v="管理人员"/>
    <n v="16000.56"/>
    <n v="2020"/>
    <x v="2"/>
  </r>
  <r>
    <x v="81"/>
    <n v="1000008239"/>
    <s v="借呗12期"/>
    <n v="2"/>
    <n v="30000.77"/>
    <s v="借呗"/>
    <x v="0"/>
    <x v="0"/>
    <x v="10"/>
    <s v="一组"/>
    <s v="南京一组"/>
    <s v="管理人员"/>
    <n v="15000.385"/>
    <n v="2020"/>
    <x v="2"/>
  </r>
  <r>
    <x v="81"/>
    <n v="1000008542"/>
    <s v="借呗18期"/>
    <n v="3"/>
    <n v="39501.350000000006"/>
    <s v="借呗"/>
    <x v="2"/>
    <x v="0"/>
    <x v="5"/>
    <s v="一组"/>
    <s v="合肥一组"/>
    <s v="普通员工"/>
    <n v="13167.116666666669"/>
    <n v="2020"/>
    <x v="2"/>
  </r>
  <r>
    <x v="81"/>
    <n v="1000010814"/>
    <s v="借呗12期"/>
    <n v="2"/>
    <n v="20000.61"/>
    <s v="借呗"/>
    <x v="0"/>
    <x v="0"/>
    <x v="10"/>
    <s v="四组"/>
    <s v="南京四组"/>
    <s v="普通员工"/>
    <n v="10000.305"/>
    <n v="2020"/>
    <x v="2"/>
  </r>
  <r>
    <x v="81"/>
    <n v="1000010815"/>
    <s v="借呗6期"/>
    <n v="1"/>
    <n v="5000.0600000000004"/>
    <s v="借呗"/>
    <x v="1"/>
    <x v="0"/>
    <x v="10"/>
    <s v="一组"/>
    <s v="南京一组"/>
    <s v="普通员工"/>
    <n v="5000.0600000000004"/>
    <n v="2020"/>
    <x v="2"/>
  </r>
  <r>
    <x v="81"/>
    <n v="1000010837"/>
    <s v="借呗6期"/>
    <n v="1"/>
    <n v="6000.65"/>
    <s v="借呗"/>
    <x v="1"/>
    <x v="0"/>
    <x v="10"/>
    <s v="一组"/>
    <s v="南京一组"/>
    <s v="普通员工"/>
    <n v="6000.65"/>
    <n v="2020"/>
    <x v="2"/>
  </r>
  <r>
    <x v="81"/>
    <n v="1000010837"/>
    <s v="借呗18期"/>
    <n v="1"/>
    <n v="2000.26"/>
    <s v="借呗"/>
    <x v="2"/>
    <x v="0"/>
    <x v="10"/>
    <s v="一组"/>
    <s v="南京一组"/>
    <s v="普通员工"/>
    <n v="2000.26"/>
    <n v="2020"/>
    <x v="2"/>
  </r>
  <r>
    <x v="81"/>
    <n v="1000010881"/>
    <s v="借呗12期"/>
    <n v="1"/>
    <n v="8000.53"/>
    <s v="借呗"/>
    <x v="0"/>
    <x v="2"/>
    <x v="6"/>
    <s v="一组"/>
    <s v="广州一组"/>
    <s v="普通员工"/>
    <n v="8000.53"/>
    <n v="2020"/>
    <x v="2"/>
  </r>
  <r>
    <x v="81"/>
    <n v="1000011538"/>
    <s v="借呗6期"/>
    <n v="1"/>
    <n v="12000.5"/>
    <s v="借呗"/>
    <x v="1"/>
    <x v="0"/>
    <x v="5"/>
    <s v="二组"/>
    <s v="合肥二组"/>
    <s v="普通员工"/>
    <n v="12000.5"/>
    <n v="2020"/>
    <x v="2"/>
  </r>
  <r>
    <x v="81"/>
    <n v="1000011698"/>
    <s v="借呗6期"/>
    <n v="1"/>
    <n v="2500.27"/>
    <s v="借呗"/>
    <x v="1"/>
    <x v="0"/>
    <x v="3"/>
    <s v="二组"/>
    <s v="上海二组"/>
    <s v="普通员工"/>
    <n v="2500.27"/>
    <n v="2020"/>
    <x v="2"/>
  </r>
  <r>
    <x v="81"/>
    <n v="1000012099"/>
    <s v="借呗12期"/>
    <n v="4"/>
    <n v="88002.240000000005"/>
    <s v="借呗"/>
    <x v="0"/>
    <x v="0"/>
    <x v="0"/>
    <s v="二组"/>
    <s v="杭州二组"/>
    <s v="普通员工"/>
    <n v="22000.560000000001"/>
    <n v="2020"/>
    <x v="2"/>
  </r>
  <r>
    <x v="81"/>
    <n v="1000012112"/>
    <s v="借呗6期"/>
    <n v="2"/>
    <n v="35000.81"/>
    <s v="借呗"/>
    <x v="1"/>
    <x v="0"/>
    <x v="0"/>
    <s v="三组"/>
    <s v="杭州三组"/>
    <s v="管理人员"/>
    <n v="17500.404999999999"/>
    <n v="2020"/>
    <x v="2"/>
  </r>
  <r>
    <x v="81"/>
    <n v="1000012112"/>
    <s v="借呗12期"/>
    <n v="2"/>
    <n v="31000.829999999998"/>
    <s v="借呗"/>
    <x v="0"/>
    <x v="0"/>
    <x v="0"/>
    <s v="三组"/>
    <s v="杭州三组"/>
    <s v="管理人员"/>
    <n v="15500.414999999999"/>
    <n v="2020"/>
    <x v="2"/>
  </r>
  <r>
    <x v="81"/>
    <n v="1000012112"/>
    <s v="借呗18期"/>
    <n v="1"/>
    <n v="10000.030000000001"/>
    <s v="借呗"/>
    <x v="2"/>
    <x v="0"/>
    <x v="0"/>
    <s v="三组"/>
    <s v="杭州三组"/>
    <s v="管理人员"/>
    <n v="10000.030000000001"/>
    <n v="2020"/>
    <x v="2"/>
  </r>
  <r>
    <x v="81"/>
    <n v="1000012126"/>
    <s v="借呗6期"/>
    <n v="2"/>
    <n v="14000.94"/>
    <s v="借呗"/>
    <x v="1"/>
    <x v="0"/>
    <x v="0"/>
    <s v="一组"/>
    <s v="杭州一组"/>
    <s v="普通员工"/>
    <n v="7000.47"/>
    <n v="2020"/>
    <x v="2"/>
  </r>
  <r>
    <x v="81"/>
    <n v="1000012234"/>
    <s v="借呗12期"/>
    <n v="2"/>
    <n v="29000.43"/>
    <s v="借呗"/>
    <x v="0"/>
    <x v="0"/>
    <x v="1"/>
    <s v="一组"/>
    <s v="苏州一组"/>
    <s v="普通员工"/>
    <n v="14500.215"/>
    <n v="2020"/>
    <x v="2"/>
  </r>
  <r>
    <x v="81"/>
    <n v="1000012234"/>
    <s v="借呗18期"/>
    <n v="1"/>
    <n v="18000.12"/>
    <s v="借呗"/>
    <x v="2"/>
    <x v="0"/>
    <x v="1"/>
    <s v="一组"/>
    <s v="苏州一组"/>
    <s v="普通员工"/>
    <n v="18000.12"/>
    <n v="2020"/>
    <x v="2"/>
  </r>
  <r>
    <x v="81"/>
    <n v="1000012313"/>
    <s v="借呗6期"/>
    <n v="1"/>
    <n v="17000.349999999999"/>
    <s v="借呗"/>
    <x v="1"/>
    <x v="2"/>
    <x v="11"/>
    <s v="一组"/>
    <s v="南宁一组"/>
    <s v="普通员工"/>
    <n v="17000.349999999999"/>
    <n v="2020"/>
    <x v="2"/>
  </r>
  <r>
    <x v="81"/>
    <n v="1000012675"/>
    <s v="借呗6期"/>
    <n v="1"/>
    <n v="7500.39"/>
    <s v="借呗"/>
    <x v="1"/>
    <x v="0"/>
    <x v="3"/>
    <s v="一组"/>
    <s v="上海一组"/>
    <s v="普通员工"/>
    <n v="7500.39"/>
    <n v="2020"/>
    <x v="2"/>
  </r>
  <r>
    <x v="81"/>
    <n v="1000012675"/>
    <s v="借呗12期"/>
    <n v="1"/>
    <n v="13000.12"/>
    <s v="借呗"/>
    <x v="0"/>
    <x v="0"/>
    <x v="3"/>
    <s v="一组"/>
    <s v="上海一组"/>
    <s v="普通员工"/>
    <n v="13000.12"/>
    <n v="2020"/>
    <x v="2"/>
  </r>
  <r>
    <x v="81"/>
    <n v="1000013526"/>
    <s v="借呗6期"/>
    <n v="2"/>
    <n v="28500.21"/>
    <s v="借呗"/>
    <x v="1"/>
    <x v="2"/>
    <x v="11"/>
    <s v="一组"/>
    <s v="南宁一组"/>
    <s v="普通员工"/>
    <n v="14250.105"/>
    <n v="2020"/>
    <x v="2"/>
  </r>
  <r>
    <x v="81"/>
    <n v="1000013607"/>
    <s v="借呗12期"/>
    <n v="1"/>
    <n v="10500.47"/>
    <s v="借呗"/>
    <x v="0"/>
    <x v="0"/>
    <x v="1"/>
    <s v="一组"/>
    <s v="苏州一组"/>
    <s v="普通员工"/>
    <n v="10500.47"/>
    <n v="2020"/>
    <x v="2"/>
  </r>
  <r>
    <x v="81"/>
    <n v="1000014072"/>
    <s v="借呗12期"/>
    <n v="1"/>
    <n v="17000.34"/>
    <s v="借呗"/>
    <x v="0"/>
    <x v="2"/>
    <x v="11"/>
    <s v="一组"/>
    <s v="南宁一组"/>
    <s v="普通员工"/>
    <n v="17000.34"/>
    <n v="2020"/>
    <x v="2"/>
  </r>
  <r>
    <x v="81"/>
    <n v="1000014273"/>
    <s v="借呗6期"/>
    <n v="2"/>
    <n v="14001.099999999999"/>
    <s v="借呗"/>
    <x v="1"/>
    <x v="0"/>
    <x v="0"/>
    <s v="二组"/>
    <s v="杭州二组"/>
    <s v="普通员工"/>
    <n v="7000.5499999999993"/>
    <n v="2020"/>
    <x v="2"/>
  </r>
  <r>
    <x v="81"/>
    <n v="1000014291"/>
    <s v="借呗18期"/>
    <n v="2"/>
    <n v="31000.68"/>
    <s v="借呗"/>
    <x v="2"/>
    <x v="2"/>
    <x v="6"/>
    <s v="二组"/>
    <s v="广州二组"/>
    <s v="管理人员"/>
    <n v="15500.34"/>
    <n v="2020"/>
    <x v="2"/>
  </r>
  <r>
    <x v="81"/>
    <n v="1000014452"/>
    <s v="借呗12期"/>
    <n v="1"/>
    <n v="19999.95"/>
    <s v="借呗"/>
    <x v="0"/>
    <x v="0"/>
    <x v="3"/>
    <s v="三组"/>
    <s v="上海三组"/>
    <s v="普通员工"/>
    <n v="19999.95"/>
    <n v="2020"/>
    <x v="2"/>
  </r>
  <r>
    <x v="81"/>
    <n v="1000014530"/>
    <s v="借呗12期"/>
    <n v="1"/>
    <n v="25000.16"/>
    <s v="借呗"/>
    <x v="0"/>
    <x v="2"/>
    <x v="11"/>
    <s v="一组"/>
    <s v="南宁一组"/>
    <s v="普通员工"/>
    <n v="25000.16"/>
    <n v="2020"/>
    <x v="2"/>
  </r>
  <r>
    <x v="81"/>
    <n v="1000014572"/>
    <s v="借呗6期"/>
    <n v="2"/>
    <n v="36000.78"/>
    <s v="借呗"/>
    <x v="1"/>
    <x v="0"/>
    <x v="3"/>
    <s v="一组"/>
    <s v="上海一组"/>
    <s v="普通员工"/>
    <n v="18000.39"/>
    <n v="2020"/>
    <x v="2"/>
  </r>
  <r>
    <x v="81"/>
    <n v="1000014588"/>
    <s v="借呗18期"/>
    <n v="1"/>
    <n v="8000.75"/>
    <s v="借呗"/>
    <x v="2"/>
    <x v="0"/>
    <x v="5"/>
    <s v="二组"/>
    <s v="合肥二组"/>
    <s v="普通员工"/>
    <n v="8000.75"/>
    <n v="2020"/>
    <x v="2"/>
  </r>
  <r>
    <x v="81"/>
    <n v="1000014879"/>
    <s v="借呗6期"/>
    <n v="1"/>
    <n v="8000.71"/>
    <s v="借呗"/>
    <x v="1"/>
    <x v="0"/>
    <x v="5"/>
    <s v="一组"/>
    <s v="合肥一组"/>
    <s v="普通员工"/>
    <n v="8000.71"/>
    <n v="2020"/>
    <x v="2"/>
  </r>
  <r>
    <x v="81"/>
    <n v="1000014996"/>
    <s v="借呗12期"/>
    <n v="1"/>
    <n v="16000.75"/>
    <s v="借呗"/>
    <x v="0"/>
    <x v="1"/>
    <x v="8"/>
    <s v="一组"/>
    <s v="西安一组"/>
    <s v="普通员工"/>
    <n v="16000.75"/>
    <n v="2020"/>
    <x v="2"/>
  </r>
  <r>
    <x v="81"/>
    <n v="1000015015"/>
    <s v="借呗12期"/>
    <n v="1"/>
    <n v="20000.07"/>
    <s v="借呗"/>
    <x v="0"/>
    <x v="0"/>
    <x v="10"/>
    <s v="一组"/>
    <s v="南京一组"/>
    <s v="普通员工"/>
    <n v="20000.07"/>
    <n v="2020"/>
    <x v="2"/>
  </r>
  <r>
    <x v="81"/>
    <n v="1000015133"/>
    <s v="借呗12期"/>
    <n v="1"/>
    <n v="10000.48"/>
    <s v="借呗"/>
    <x v="0"/>
    <x v="1"/>
    <x v="2"/>
    <s v="三组"/>
    <s v="北京三组"/>
    <s v="普通员工"/>
    <n v="10000.48"/>
    <n v="2020"/>
    <x v="2"/>
  </r>
  <r>
    <x v="81"/>
    <n v="1000017576"/>
    <s v="借呗18期"/>
    <n v="1"/>
    <n v="15000.17"/>
    <s v="借呗"/>
    <x v="2"/>
    <x v="0"/>
    <x v="0"/>
    <s v="三组"/>
    <s v="杭州三组"/>
    <s v="普通员工"/>
    <n v="15000.17"/>
    <n v="2020"/>
    <x v="2"/>
  </r>
  <r>
    <x v="81"/>
    <n v="1000017700"/>
    <s v="借呗12期"/>
    <n v="1"/>
    <n v="5500.29"/>
    <s v="借呗"/>
    <x v="0"/>
    <x v="2"/>
    <x v="11"/>
    <s v="一组"/>
    <s v="南宁一组"/>
    <s v="普通员工"/>
    <n v="5500.29"/>
    <n v="2020"/>
    <x v="2"/>
  </r>
  <r>
    <x v="82"/>
    <n v="1000000029"/>
    <s v="借呗6期"/>
    <n v="2"/>
    <n v="1701.4699999999998"/>
    <s v="借呗"/>
    <x v="1"/>
    <x v="0"/>
    <x v="0"/>
    <s v="二组"/>
    <s v="杭州二组"/>
    <s v="普通员工"/>
    <n v="850.7349999999999"/>
    <n v="2020"/>
    <x v="2"/>
  </r>
  <r>
    <x v="82"/>
    <n v="1000000029"/>
    <s v="借呗12期"/>
    <n v="3"/>
    <n v="19335.600000000002"/>
    <s v="借呗"/>
    <x v="0"/>
    <x v="0"/>
    <x v="0"/>
    <s v="二组"/>
    <s v="杭州二组"/>
    <s v="普通员工"/>
    <n v="6445.2000000000007"/>
    <n v="2020"/>
    <x v="2"/>
  </r>
  <r>
    <x v="82"/>
    <n v="1000000030"/>
    <s v="借呗6期"/>
    <n v="2"/>
    <n v="17001.170000000002"/>
    <s v="借呗"/>
    <x v="1"/>
    <x v="2"/>
    <x v="6"/>
    <s v="三组"/>
    <s v="广州三组"/>
    <s v="普通员工"/>
    <n v="8500.5850000000009"/>
    <n v="2020"/>
    <x v="2"/>
  </r>
  <r>
    <x v="82"/>
    <n v="1000000031"/>
    <s v="借呗12期"/>
    <n v="1"/>
    <n v="22000.07"/>
    <s v="借呗"/>
    <x v="0"/>
    <x v="0"/>
    <x v="0"/>
    <s v="一组"/>
    <s v="杭州一组"/>
    <s v="管理人员"/>
    <n v="22000.07"/>
    <n v="2020"/>
    <x v="2"/>
  </r>
  <r>
    <x v="82"/>
    <n v="1000000032"/>
    <s v="借呗12期"/>
    <n v="2"/>
    <n v="30000.910000000003"/>
    <s v="借呗"/>
    <x v="0"/>
    <x v="0"/>
    <x v="1"/>
    <s v="一组"/>
    <s v="苏州一组"/>
    <s v="管理人员"/>
    <n v="15000.455000000002"/>
    <n v="2020"/>
    <x v="2"/>
  </r>
  <r>
    <x v="82"/>
    <n v="1000000033"/>
    <s v="借呗6期"/>
    <n v="1"/>
    <n v="4000"/>
    <s v="借呗"/>
    <x v="1"/>
    <x v="0"/>
    <x v="1"/>
    <s v="一组"/>
    <s v="苏州一组"/>
    <s v="普通员工"/>
    <n v="4000"/>
    <n v="2020"/>
    <x v="2"/>
  </r>
  <r>
    <x v="82"/>
    <n v="1000000033"/>
    <s v="借呗12期"/>
    <n v="1"/>
    <n v="5500.07"/>
    <s v="借呗"/>
    <x v="0"/>
    <x v="0"/>
    <x v="1"/>
    <s v="一组"/>
    <s v="苏州一组"/>
    <s v="普通员工"/>
    <n v="5500.07"/>
    <n v="2020"/>
    <x v="2"/>
  </r>
  <r>
    <x v="82"/>
    <n v="1000000034"/>
    <s v="借呗12期"/>
    <n v="2"/>
    <n v="50000.38"/>
    <s v="借呗"/>
    <x v="0"/>
    <x v="0"/>
    <x v="1"/>
    <s v="一组"/>
    <s v="苏州一组"/>
    <s v="普通员工"/>
    <n v="25000.19"/>
    <n v="2020"/>
    <x v="2"/>
  </r>
  <r>
    <x v="82"/>
    <n v="1000000035"/>
    <s v="借呗12期"/>
    <n v="1"/>
    <n v="1038.53"/>
    <s v="借呗"/>
    <x v="0"/>
    <x v="0"/>
    <x v="1"/>
    <s v="三组"/>
    <s v="苏州三组"/>
    <s v="普通员工"/>
    <n v="1038.53"/>
    <n v="2020"/>
    <x v="2"/>
  </r>
  <r>
    <x v="82"/>
    <n v="1000000036"/>
    <s v="借呗6期"/>
    <n v="2"/>
    <n v="14877.98"/>
    <s v="借呗"/>
    <x v="1"/>
    <x v="2"/>
    <x v="6"/>
    <s v="三组"/>
    <s v="广州三组"/>
    <s v="管理人员"/>
    <n v="7438.99"/>
    <n v="2020"/>
    <x v="2"/>
  </r>
  <r>
    <x v="82"/>
    <n v="1000000043"/>
    <s v="借呗6期"/>
    <n v="1"/>
    <n v="12000.29"/>
    <s v="借呗"/>
    <x v="1"/>
    <x v="1"/>
    <x v="4"/>
    <s v="一组"/>
    <s v="成都一组"/>
    <s v="普通员工"/>
    <n v="12000.29"/>
    <n v="2020"/>
    <x v="2"/>
  </r>
  <r>
    <x v="82"/>
    <n v="1000000043"/>
    <s v="借呗12期"/>
    <n v="1"/>
    <n v="774.21"/>
    <s v="借呗"/>
    <x v="0"/>
    <x v="1"/>
    <x v="4"/>
    <s v="一组"/>
    <s v="成都一组"/>
    <s v="普通员工"/>
    <n v="774.21"/>
    <n v="2020"/>
    <x v="2"/>
  </r>
  <r>
    <x v="82"/>
    <n v="1000000044"/>
    <s v="借呗12期"/>
    <n v="1"/>
    <n v="500.22"/>
    <s v="借呗"/>
    <x v="0"/>
    <x v="1"/>
    <x v="2"/>
    <s v="三组"/>
    <s v="北京三组"/>
    <s v="管理人员"/>
    <n v="500.22"/>
    <n v="2020"/>
    <x v="2"/>
  </r>
  <r>
    <x v="82"/>
    <n v="1000000045"/>
    <s v="借呗6期"/>
    <n v="2"/>
    <n v="27000.79"/>
    <s v="借呗"/>
    <x v="1"/>
    <x v="2"/>
    <x v="9"/>
    <s v="一组"/>
    <s v="深圳一组"/>
    <s v="普通员工"/>
    <n v="13500.395"/>
    <n v="2020"/>
    <x v="2"/>
  </r>
  <r>
    <x v="82"/>
    <n v="1000000045"/>
    <s v="借呗12期"/>
    <n v="1"/>
    <n v="9000.2800000000007"/>
    <s v="借呗"/>
    <x v="0"/>
    <x v="2"/>
    <x v="9"/>
    <s v="一组"/>
    <s v="深圳一组"/>
    <s v="普通员工"/>
    <n v="9000.2800000000007"/>
    <n v="2020"/>
    <x v="2"/>
  </r>
  <r>
    <x v="82"/>
    <n v="1000000046"/>
    <s v="借呗6期"/>
    <n v="2"/>
    <n v="10500.380000000001"/>
    <s v="借呗"/>
    <x v="1"/>
    <x v="1"/>
    <x v="4"/>
    <s v="一组"/>
    <s v="成都一组"/>
    <s v="普通员工"/>
    <n v="5250.1900000000005"/>
    <n v="2020"/>
    <x v="2"/>
  </r>
  <r>
    <x v="82"/>
    <n v="1000000049"/>
    <s v="借呗18期"/>
    <n v="1"/>
    <n v="558.51"/>
    <s v="借呗"/>
    <x v="2"/>
    <x v="0"/>
    <x v="5"/>
    <s v="一组"/>
    <s v="合肥一组"/>
    <s v="普通员工"/>
    <n v="558.51"/>
    <n v="2020"/>
    <x v="2"/>
  </r>
  <r>
    <x v="82"/>
    <n v="1000000051"/>
    <s v="借呗18期"/>
    <n v="1"/>
    <n v="5000.0200000000004"/>
    <s v="借呗"/>
    <x v="2"/>
    <x v="0"/>
    <x v="3"/>
    <s v="二组"/>
    <s v="上海二组"/>
    <s v="普通员工"/>
    <n v="5000.0200000000004"/>
    <n v="2020"/>
    <x v="2"/>
  </r>
  <r>
    <x v="82"/>
    <n v="1000000054"/>
    <s v="借呗6期"/>
    <n v="3"/>
    <n v="34000.42"/>
    <s v="借呗"/>
    <x v="1"/>
    <x v="0"/>
    <x v="3"/>
    <s v="一组"/>
    <s v="上海一组"/>
    <s v="普通员工"/>
    <n v="11333.473333333333"/>
    <n v="2020"/>
    <x v="2"/>
  </r>
  <r>
    <x v="82"/>
    <n v="1000000056"/>
    <s v="借呗6期"/>
    <n v="1"/>
    <n v="13000.72"/>
    <s v="借呗"/>
    <x v="1"/>
    <x v="0"/>
    <x v="3"/>
    <s v="一组"/>
    <s v="上海一组"/>
    <s v="管理人员"/>
    <n v="13000.72"/>
    <n v="2020"/>
    <x v="2"/>
  </r>
  <r>
    <x v="82"/>
    <n v="1000000056"/>
    <s v="借呗12期"/>
    <n v="2"/>
    <n v="22001.32"/>
    <s v="借呗"/>
    <x v="0"/>
    <x v="0"/>
    <x v="3"/>
    <s v="一组"/>
    <s v="上海一组"/>
    <s v="管理人员"/>
    <n v="11000.66"/>
    <n v="2020"/>
    <x v="2"/>
  </r>
  <r>
    <x v="82"/>
    <n v="1000000067"/>
    <s v="借呗6期"/>
    <n v="2"/>
    <n v="18847.580000000002"/>
    <s v="借呗"/>
    <x v="1"/>
    <x v="0"/>
    <x v="1"/>
    <s v="二组"/>
    <s v="苏州二组"/>
    <s v="普通员工"/>
    <n v="9423.7900000000009"/>
    <n v="2020"/>
    <x v="2"/>
  </r>
  <r>
    <x v="82"/>
    <n v="1000000067"/>
    <s v="借呗12期"/>
    <n v="1"/>
    <n v="16000.72"/>
    <s v="借呗"/>
    <x v="0"/>
    <x v="0"/>
    <x v="1"/>
    <s v="二组"/>
    <s v="苏州二组"/>
    <s v="普通员工"/>
    <n v="16000.72"/>
    <n v="2020"/>
    <x v="2"/>
  </r>
  <r>
    <x v="82"/>
    <n v="1000000068"/>
    <s v="借呗12期"/>
    <n v="1"/>
    <n v="1113.18"/>
    <s v="借呗"/>
    <x v="0"/>
    <x v="1"/>
    <x v="7"/>
    <s v="一组"/>
    <s v="重庆一组"/>
    <s v="管理人员"/>
    <n v="1113.18"/>
    <n v="2020"/>
    <x v="2"/>
  </r>
  <r>
    <x v="82"/>
    <n v="1000000237"/>
    <s v="借呗18期"/>
    <n v="1"/>
    <n v="14000.77"/>
    <s v="借呗"/>
    <x v="2"/>
    <x v="0"/>
    <x v="5"/>
    <s v="一组"/>
    <s v="合肥一组"/>
    <s v="普通员工"/>
    <n v="14000.77"/>
    <n v="2020"/>
    <x v="2"/>
  </r>
  <r>
    <x v="82"/>
    <n v="1000000566"/>
    <s v="借呗6期"/>
    <n v="2"/>
    <n v="22500.47"/>
    <s v="借呗"/>
    <x v="1"/>
    <x v="2"/>
    <x v="6"/>
    <s v="三组"/>
    <s v="广州三组"/>
    <s v="普通员工"/>
    <n v="11250.235000000001"/>
    <n v="2020"/>
    <x v="2"/>
  </r>
  <r>
    <x v="82"/>
    <n v="1000000576"/>
    <s v="借呗18期"/>
    <n v="1"/>
    <n v="782.26"/>
    <s v="借呗"/>
    <x v="2"/>
    <x v="0"/>
    <x v="1"/>
    <s v="三组"/>
    <s v="苏州三组"/>
    <s v="普通员工"/>
    <n v="782.26"/>
    <n v="2020"/>
    <x v="2"/>
  </r>
  <r>
    <x v="82"/>
    <n v="1000000594"/>
    <s v="借呗12期"/>
    <n v="2"/>
    <n v="32000.59"/>
    <s v="借呗"/>
    <x v="0"/>
    <x v="0"/>
    <x v="1"/>
    <s v="二组"/>
    <s v="苏州二组"/>
    <s v="普通员工"/>
    <n v="16000.295"/>
    <n v="2020"/>
    <x v="2"/>
  </r>
  <r>
    <x v="82"/>
    <n v="1000001524"/>
    <s v="借呗12期"/>
    <n v="1"/>
    <n v="15000.34"/>
    <s v="借呗"/>
    <x v="0"/>
    <x v="0"/>
    <x v="1"/>
    <s v="二组"/>
    <s v="苏州二组"/>
    <s v="普通员工"/>
    <n v="15000.34"/>
    <n v="2020"/>
    <x v="2"/>
  </r>
  <r>
    <x v="82"/>
    <n v="1000003489"/>
    <s v="借呗6期"/>
    <n v="1"/>
    <n v="18000.28"/>
    <s v="借呗"/>
    <x v="1"/>
    <x v="2"/>
    <x v="6"/>
    <s v="一组"/>
    <s v="广州一组"/>
    <s v="普通员工"/>
    <n v="18000.28"/>
    <n v="2020"/>
    <x v="2"/>
  </r>
  <r>
    <x v="82"/>
    <n v="1000003803"/>
    <s v="借呗6期"/>
    <n v="1"/>
    <n v="1657.69"/>
    <s v="借呗"/>
    <x v="1"/>
    <x v="1"/>
    <x v="2"/>
    <s v="三组"/>
    <s v="北京三组"/>
    <s v="普通员工"/>
    <n v="1657.69"/>
    <n v="2020"/>
    <x v="2"/>
  </r>
  <r>
    <x v="82"/>
    <n v="1000003926"/>
    <s v="借呗6期"/>
    <n v="5"/>
    <n v="42015.19"/>
    <s v="借呗"/>
    <x v="1"/>
    <x v="2"/>
    <x v="6"/>
    <s v="一组"/>
    <s v="广州一组"/>
    <s v="管理人员"/>
    <n v="8403.0380000000005"/>
    <n v="2020"/>
    <x v="2"/>
  </r>
  <r>
    <x v="82"/>
    <n v="1000003926"/>
    <s v="借呗12期"/>
    <n v="1"/>
    <n v="10000.56"/>
    <s v="借呗"/>
    <x v="0"/>
    <x v="2"/>
    <x v="6"/>
    <s v="一组"/>
    <s v="广州一组"/>
    <s v="管理人员"/>
    <n v="10000.56"/>
    <n v="2020"/>
    <x v="2"/>
  </r>
  <r>
    <x v="82"/>
    <n v="1000003989"/>
    <s v="借呗6期"/>
    <n v="1"/>
    <n v="7000.62"/>
    <s v="借呗"/>
    <x v="1"/>
    <x v="1"/>
    <x v="2"/>
    <s v="三组"/>
    <s v="北京三组"/>
    <s v="普通员工"/>
    <n v="7000.62"/>
    <n v="2020"/>
    <x v="2"/>
  </r>
  <r>
    <x v="82"/>
    <n v="1000004170"/>
    <s v="借呗6期"/>
    <n v="3"/>
    <n v="40000.97"/>
    <s v="借呗"/>
    <x v="1"/>
    <x v="0"/>
    <x v="3"/>
    <s v="二组"/>
    <s v="上海二组"/>
    <s v="管理人员"/>
    <n v="13333.656666666668"/>
    <n v="2020"/>
    <x v="2"/>
  </r>
  <r>
    <x v="82"/>
    <n v="1000004256"/>
    <s v="借呗6期"/>
    <n v="1"/>
    <n v="1034.08"/>
    <s v="借呗"/>
    <x v="1"/>
    <x v="0"/>
    <x v="5"/>
    <s v="一组"/>
    <s v="合肥一组"/>
    <s v="普通员工"/>
    <n v="1034.08"/>
    <n v="2020"/>
    <x v="2"/>
  </r>
  <r>
    <x v="82"/>
    <n v="1000004256"/>
    <s v="借呗18期"/>
    <n v="2"/>
    <n v="17000.46"/>
    <s v="借呗"/>
    <x v="2"/>
    <x v="0"/>
    <x v="5"/>
    <s v="一组"/>
    <s v="合肥一组"/>
    <s v="普通员工"/>
    <n v="8500.23"/>
    <n v="2020"/>
    <x v="2"/>
  </r>
  <r>
    <x v="82"/>
    <n v="1000005873"/>
    <s v="借呗6期"/>
    <n v="1"/>
    <n v="14000.06"/>
    <s v="借呗"/>
    <x v="1"/>
    <x v="0"/>
    <x v="0"/>
    <s v="二组"/>
    <s v="杭州二组"/>
    <s v="管理人员"/>
    <n v="14000.06"/>
    <n v="2020"/>
    <x v="2"/>
  </r>
  <r>
    <x v="82"/>
    <n v="1000005873"/>
    <s v="借呗12期"/>
    <n v="2"/>
    <n v="21600.54"/>
    <s v="借呗"/>
    <x v="0"/>
    <x v="0"/>
    <x v="0"/>
    <s v="二组"/>
    <s v="杭州二组"/>
    <s v="管理人员"/>
    <n v="10800.27"/>
    <n v="2020"/>
    <x v="2"/>
  </r>
  <r>
    <x v="82"/>
    <n v="1000006698"/>
    <s v="借呗12期"/>
    <n v="1"/>
    <n v="11999.97"/>
    <s v="借呗"/>
    <x v="0"/>
    <x v="1"/>
    <x v="4"/>
    <s v="一组"/>
    <s v="成都一组"/>
    <s v="管理人员"/>
    <n v="11999.97"/>
    <n v="2020"/>
    <x v="2"/>
  </r>
  <r>
    <x v="82"/>
    <n v="1000007320"/>
    <s v="借呗12期"/>
    <n v="1"/>
    <n v="25000.09"/>
    <s v="借呗"/>
    <x v="0"/>
    <x v="0"/>
    <x v="3"/>
    <s v="一组"/>
    <s v="上海一组"/>
    <s v="普通员工"/>
    <n v="25000.09"/>
    <n v="2020"/>
    <x v="2"/>
  </r>
  <r>
    <x v="82"/>
    <n v="1000008228"/>
    <s v="借呗6期"/>
    <n v="1"/>
    <n v="8000.48"/>
    <s v="借呗"/>
    <x v="1"/>
    <x v="1"/>
    <x v="2"/>
    <s v="三组"/>
    <s v="北京三组"/>
    <s v="普通员工"/>
    <n v="8000.48"/>
    <n v="2020"/>
    <x v="2"/>
  </r>
  <r>
    <x v="82"/>
    <n v="1000008542"/>
    <s v="借呗18期"/>
    <n v="1"/>
    <n v="8000.09"/>
    <s v="借呗"/>
    <x v="2"/>
    <x v="0"/>
    <x v="5"/>
    <s v="一组"/>
    <s v="合肥一组"/>
    <s v="普通员工"/>
    <n v="8000.09"/>
    <n v="2020"/>
    <x v="2"/>
  </r>
  <r>
    <x v="82"/>
    <n v="1000008957"/>
    <s v="借呗6期"/>
    <n v="1"/>
    <n v="3000.15"/>
    <s v="借呗"/>
    <x v="1"/>
    <x v="0"/>
    <x v="3"/>
    <s v="二组"/>
    <s v="上海二组"/>
    <s v="普通员工"/>
    <n v="3000.15"/>
    <n v="2020"/>
    <x v="2"/>
  </r>
  <r>
    <x v="82"/>
    <n v="1000010814"/>
    <s v="借呗18期"/>
    <n v="1"/>
    <n v="13000.39"/>
    <s v="借呗"/>
    <x v="2"/>
    <x v="0"/>
    <x v="10"/>
    <s v="四组"/>
    <s v="南京四组"/>
    <s v="普通员工"/>
    <n v="13000.39"/>
    <n v="2020"/>
    <x v="2"/>
  </r>
  <r>
    <x v="82"/>
    <n v="1000010881"/>
    <s v="借呗6期"/>
    <n v="1"/>
    <n v="5500.71"/>
    <s v="借呗"/>
    <x v="1"/>
    <x v="2"/>
    <x v="6"/>
    <s v="一组"/>
    <s v="广州一组"/>
    <s v="普通员工"/>
    <n v="5500.71"/>
    <n v="2020"/>
    <x v="2"/>
  </r>
  <r>
    <x v="82"/>
    <n v="1000011538"/>
    <s v="借呗12期"/>
    <n v="1"/>
    <n v="16000.15"/>
    <s v="借呗"/>
    <x v="0"/>
    <x v="0"/>
    <x v="5"/>
    <s v="二组"/>
    <s v="合肥二组"/>
    <s v="普通员工"/>
    <n v="16000.15"/>
    <n v="2020"/>
    <x v="2"/>
  </r>
  <r>
    <x v="82"/>
    <n v="1000011697"/>
    <s v="借呗6期"/>
    <n v="2"/>
    <n v="20000.760000000002"/>
    <s v="借呗"/>
    <x v="1"/>
    <x v="0"/>
    <x v="3"/>
    <s v="二组"/>
    <s v="上海二组"/>
    <s v="普通员工"/>
    <n v="10000.380000000001"/>
    <n v="2020"/>
    <x v="2"/>
  </r>
  <r>
    <x v="82"/>
    <n v="1000011828"/>
    <s v="借呗6期"/>
    <n v="1"/>
    <n v="5000.04"/>
    <s v="借呗"/>
    <x v="1"/>
    <x v="0"/>
    <x v="0"/>
    <s v="二组"/>
    <s v="杭州二组"/>
    <s v="普通员工"/>
    <n v="5000.04"/>
    <n v="2020"/>
    <x v="2"/>
  </r>
  <r>
    <x v="82"/>
    <n v="1000012096"/>
    <s v="借呗6期"/>
    <n v="1"/>
    <n v="6500.07"/>
    <s v="借呗"/>
    <x v="1"/>
    <x v="0"/>
    <x v="0"/>
    <s v="一组"/>
    <s v="杭州一组"/>
    <s v="普通员工"/>
    <n v="6500.07"/>
    <n v="2020"/>
    <x v="2"/>
  </r>
  <r>
    <x v="82"/>
    <n v="1000012096"/>
    <s v="借呗12期"/>
    <n v="1"/>
    <n v="5000.67"/>
    <s v="借呗"/>
    <x v="0"/>
    <x v="0"/>
    <x v="0"/>
    <s v="一组"/>
    <s v="杭州一组"/>
    <s v="普通员工"/>
    <n v="5000.67"/>
    <n v="2020"/>
    <x v="2"/>
  </r>
  <r>
    <x v="82"/>
    <n v="1000012096"/>
    <s v="借呗18期"/>
    <n v="1"/>
    <n v="13000.77"/>
    <s v="借呗"/>
    <x v="2"/>
    <x v="0"/>
    <x v="0"/>
    <s v="一组"/>
    <s v="杭州一组"/>
    <s v="普通员工"/>
    <n v="13000.77"/>
    <n v="2020"/>
    <x v="2"/>
  </r>
  <r>
    <x v="82"/>
    <n v="1000012099"/>
    <s v="借呗6期"/>
    <n v="2"/>
    <n v="45000.69"/>
    <s v="借呗"/>
    <x v="1"/>
    <x v="0"/>
    <x v="0"/>
    <s v="二组"/>
    <s v="杭州二组"/>
    <s v="普通员工"/>
    <n v="22500.345000000001"/>
    <n v="2020"/>
    <x v="2"/>
  </r>
  <r>
    <x v="82"/>
    <n v="1000012099"/>
    <s v="借呗12期"/>
    <n v="2"/>
    <n v="49000.44"/>
    <s v="借呗"/>
    <x v="0"/>
    <x v="0"/>
    <x v="0"/>
    <s v="二组"/>
    <s v="杭州二组"/>
    <s v="普通员工"/>
    <n v="24500.22"/>
    <n v="2020"/>
    <x v="2"/>
  </r>
  <r>
    <x v="82"/>
    <n v="1000012112"/>
    <s v="借呗6期"/>
    <n v="1"/>
    <n v="7500.51"/>
    <s v="借呗"/>
    <x v="1"/>
    <x v="0"/>
    <x v="0"/>
    <s v="三组"/>
    <s v="杭州三组"/>
    <s v="管理人员"/>
    <n v="7500.51"/>
    <n v="2020"/>
    <x v="2"/>
  </r>
  <r>
    <x v="82"/>
    <n v="1000012124"/>
    <s v="借呗12期"/>
    <n v="1"/>
    <n v="9999.93"/>
    <s v="借呗"/>
    <x v="0"/>
    <x v="0"/>
    <x v="0"/>
    <s v="一组"/>
    <s v="杭州一组"/>
    <s v="普通员工"/>
    <n v="9999.93"/>
    <n v="2020"/>
    <x v="2"/>
  </r>
  <r>
    <x v="82"/>
    <n v="1000012126"/>
    <s v="借呗12期"/>
    <n v="2"/>
    <n v="35001.149999999994"/>
    <s v="借呗"/>
    <x v="0"/>
    <x v="0"/>
    <x v="0"/>
    <s v="一组"/>
    <s v="杭州一组"/>
    <s v="普通员工"/>
    <n v="17500.574999999997"/>
    <n v="2020"/>
    <x v="2"/>
  </r>
  <r>
    <x v="82"/>
    <n v="1000012234"/>
    <s v="借呗6期"/>
    <n v="1"/>
    <n v="5000.51"/>
    <s v="借呗"/>
    <x v="1"/>
    <x v="0"/>
    <x v="1"/>
    <s v="一组"/>
    <s v="苏州一组"/>
    <s v="普通员工"/>
    <n v="5000.51"/>
    <n v="2020"/>
    <x v="2"/>
  </r>
  <r>
    <x v="82"/>
    <n v="1000012313"/>
    <s v="借呗6期"/>
    <n v="1"/>
    <n v="8000.02"/>
    <s v="借呗"/>
    <x v="1"/>
    <x v="2"/>
    <x v="11"/>
    <s v="一组"/>
    <s v="南宁一组"/>
    <s v="普通员工"/>
    <n v="8000.02"/>
    <n v="2020"/>
    <x v="2"/>
  </r>
  <r>
    <x v="82"/>
    <n v="1000012446"/>
    <s v="借呗6期"/>
    <n v="1"/>
    <n v="604.30999999999995"/>
    <s v="借呗"/>
    <x v="1"/>
    <x v="1"/>
    <x v="2"/>
    <s v="三组"/>
    <s v="北京三组"/>
    <s v="普通员工"/>
    <n v="604.30999999999995"/>
    <n v="2020"/>
    <x v="2"/>
  </r>
  <r>
    <x v="82"/>
    <n v="1000012446"/>
    <s v="借呗12期"/>
    <n v="1"/>
    <n v="10000.66"/>
    <s v="借呗"/>
    <x v="0"/>
    <x v="1"/>
    <x v="2"/>
    <s v="三组"/>
    <s v="北京三组"/>
    <s v="普通员工"/>
    <n v="10000.66"/>
    <n v="2020"/>
    <x v="2"/>
  </r>
  <r>
    <x v="82"/>
    <n v="1000012675"/>
    <s v="借呗12期"/>
    <n v="1"/>
    <n v="20000.14"/>
    <s v="借呗"/>
    <x v="0"/>
    <x v="0"/>
    <x v="3"/>
    <s v="一组"/>
    <s v="上海一组"/>
    <s v="普通员工"/>
    <n v="20000.14"/>
    <n v="2020"/>
    <x v="2"/>
  </r>
  <r>
    <x v="82"/>
    <n v="1000013607"/>
    <s v="借呗6期"/>
    <n v="2"/>
    <n v="32500.15"/>
    <s v="借呗"/>
    <x v="1"/>
    <x v="0"/>
    <x v="1"/>
    <s v="一组"/>
    <s v="苏州一组"/>
    <s v="普通员工"/>
    <n v="16250.075000000001"/>
    <n v="2020"/>
    <x v="2"/>
  </r>
  <r>
    <x v="82"/>
    <n v="1000014037"/>
    <s v="借呗12期"/>
    <n v="1"/>
    <n v="12000.56"/>
    <s v="借呗"/>
    <x v="0"/>
    <x v="0"/>
    <x v="1"/>
    <s v="三组"/>
    <s v="苏州三组"/>
    <s v="普通员工"/>
    <n v="12000.56"/>
    <n v="2020"/>
    <x v="2"/>
  </r>
  <r>
    <x v="82"/>
    <n v="1000014072"/>
    <s v="借呗12期"/>
    <n v="1"/>
    <n v="27000.27"/>
    <s v="借呗"/>
    <x v="0"/>
    <x v="2"/>
    <x v="11"/>
    <s v="一组"/>
    <s v="南宁一组"/>
    <s v="普通员工"/>
    <n v="27000.27"/>
    <n v="2020"/>
    <x v="2"/>
  </r>
  <r>
    <x v="82"/>
    <n v="1000014273"/>
    <s v="借呗6期"/>
    <n v="2"/>
    <n v="21500.9"/>
    <s v="借呗"/>
    <x v="1"/>
    <x v="0"/>
    <x v="0"/>
    <s v="二组"/>
    <s v="杭州二组"/>
    <s v="普通员工"/>
    <n v="10750.45"/>
    <n v="2020"/>
    <x v="2"/>
  </r>
  <r>
    <x v="82"/>
    <n v="1000014291"/>
    <s v="借呗6期"/>
    <n v="2"/>
    <n v="23000.5"/>
    <s v="借呗"/>
    <x v="1"/>
    <x v="2"/>
    <x v="6"/>
    <s v="二组"/>
    <s v="广州二组"/>
    <s v="管理人员"/>
    <n v="11500.25"/>
    <n v="2020"/>
    <x v="2"/>
  </r>
  <r>
    <x v="82"/>
    <n v="1000014291"/>
    <s v="借呗12期"/>
    <n v="1"/>
    <n v="1000.49"/>
    <s v="借呗"/>
    <x v="0"/>
    <x v="2"/>
    <x v="6"/>
    <s v="二组"/>
    <s v="广州二组"/>
    <s v="管理人员"/>
    <n v="1000.49"/>
    <n v="2020"/>
    <x v="2"/>
  </r>
  <r>
    <x v="82"/>
    <n v="1000014291"/>
    <s v="借呗18期"/>
    <n v="1"/>
    <n v="11000.06"/>
    <s v="借呗"/>
    <x v="2"/>
    <x v="2"/>
    <x v="6"/>
    <s v="二组"/>
    <s v="广州二组"/>
    <s v="管理人员"/>
    <n v="11000.06"/>
    <n v="2020"/>
    <x v="2"/>
  </r>
  <r>
    <x v="82"/>
    <n v="1000014452"/>
    <s v="借呗6期"/>
    <n v="1"/>
    <n v="14000.29"/>
    <s v="借呗"/>
    <x v="1"/>
    <x v="0"/>
    <x v="3"/>
    <s v="三组"/>
    <s v="上海三组"/>
    <s v="普通员工"/>
    <n v="14000.29"/>
    <n v="2020"/>
    <x v="2"/>
  </r>
  <r>
    <x v="82"/>
    <n v="1000014572"/>
    <s v="借呗6期"/>
    <n v="1"/>
    <n v="21000.26"/>
    <s v="借呗"/>
    <x v="1"/>
    <x v="0"/>
    <x v="3"/>
    <s v="一组"/>
    <s v="上海一组"/>
    <s v="普通员工"/>
    <n v="21000.26"/>
    <n v="2020"/>
    <x v="2"/>
  </r>
  <r>
    <x v="82"/>
    <n v="1000014572"/>
    <s v="借呗12期"/>
    <n v="2"/>
    <n v="35000.89"/>
    <s v="借呗"/>
    <x v="0"/>
    <x v="0"/>
    <x v="3"/>
    <s v="一组"/>
    <s v="上海一组"/>
    <s v="普通员工"/>
    <n v="17500.445"/>
    <n v="2020"/>
    <x v="2"/>
  </r>
  <r>
    <x v="82"/>
    <n v="1000014572"/>
    <s v="借呗18期"/>
    <n v="1"/>
    <n v="7000.18"/>
    <s v="借呗"/>
    <x v="2"/>
    <x v="0"/>
    <x v="3"/>
    <s v="一组"/>
    <s v="上海一组"/>
    <s v="普通员工"/>
    <n v="7000.18"/>
    <n v="2020"/>
    <x v="2"/>
  </r>
  <r>
    <x v="82"/>
    <n v="1000014588"/>
    <s v="借呗6期"/>
    <n v="1"/>
    <n v="6500.38"/>
    <s v="借呗"/>
    <x v="1"/>
    <x v="0"/>
    <x v="5"/>
    <s v="二组"/>
    <s v="合肥二组"/>
    <s v="普通员工"/>
    <n v="6500.38"/>
    <n v="2020"/>
    <x v="2"/>
  </r>
  <r>
    <x v="82"/>
    <n v="1000014588"/>
    <s v="借呗18期"/>
    <n v="1"/>
    <n v="21000.14"/>
    <s v="借呗"/>
    <x v="2"/>
    <x v="0"/>
    <x v="5"/>
    <s v="二组"/>
    <s v="合肥二组"/>
    <s v="普通员工"/>
    <n v="21000.14"/>
    <n v="2020"/>
    <x v="2"/>
  </r>
  <r>
    <x v="82"/>
    <n v="1000014879"/>
    <s v="借呗6期"/>
    <n v="2"/>
    <n v="34000.639999999999"/>
    <s v="借呗"/>
    <x v="1"/>
    <x v="0"/>
    <x v="5"/>
    <s v="一组"/>
    <s v="合肥一组"/>
    <s v="普通员工"/>
    <n v="17000.32"/>
    <n v="2020"/>
    <x v="2"/>
  </r>
  <r>
    <x v="82"/>
    <n v="1000014996"/>
    <s v="借呗6期"/>
    <n v="1"/>
    <n v="7000.09"/>
    <s v="借呗"/>
    <x v="1"/>
    <x v="1"/>
    <x v="8"/>
    <s v="一组"/>
    <s v="西安一组"/>
    <s v="普通员工"/>
    <n v="7000.09"/>
    <n v="2020"/>
    <x v="2"/>
  </r>
  <r>
    <x v="82"/>
    <n v="1000015015"/>
    <s v="借呗12期"/>
    <n v="1"/>
    <n v="5000.6099999999997"/>
    <s v="借呗"/>
    <x v="0"/>
    <x v="0"/>
    <x v="10"/>
    <s v="一组"/>
    <s v="南京一组"/>
    <s v="普通员工"/>
    <n v="5000.6099999999997"/>
    <n v="2020"/>
    <x v="2"/>
  </r>
  <r>
    <x v="82"/>
    <n v="1000015015"/>
    <s v="借呗18期"/>
    <n v="1"/>
    <n v="6999.96"/>
    <s v="借呗"/>
    <x v="2"/>
    <x v="0"/>
    <x v="10"/>
    <s v="一组"/>
    <s v="南京一组"/>
    <s v="普通员工"/>
    <n v="6999.96"/>
    <n v="2020"/>
    <x v="2"/>
  </r>
  <r>
    <x v="82"/>
    <n v="1000015203"/>
    <s v="借呗18期"/>
    <n v="1"/>
    <n v="22000.12"/>
    <s v="借呗"/>
    <x v="2"/>
    <x v="2"/>
    <x v="11"/>
    <s v="一组"/>
    <s v="南宁一组"/>
    <s v="普通员工"/>
    <n v="22000.12"/>
    <n v="2020"/>
    <x v="2"/>
  </r>
  <r>
    <x v="82"/>
    <n v="1000015788"/>
    <s v="借呗12期"/>
    <n v="1"/>
    <n v="11000.11"/>
    <s v="借呗"/>
    <x v="0"/>
    <x v="1"/>
    <x v="2"/>
    <s v="三组"/>
    <s v="北京三组"/>
    <s v="普通员工"/>
    <n v="11000.11"/>
    <n v="2020"/>
    <x v="2"/>
  </r>
  <r>
    <x v="82"/>
    <n v="1000017576"/>
    <s v="借呗12期"/>
    <n v="1"/>
    <n v="25000.55"/>
    <s v="借呗"/>
    <x v="0"/>
    <x v="0"/>
    <x v="0"/>
    <s v="三组"/>
    <s v="杭州三组"/>
    <s v="普通员工"/>
    <n v="25000.55"/>
    <n v="2020"/>
    <x v="2"/>
  </r>
  <r>
    <x v="82"/>
    <n v="1000017700"/>
    <s v="借呗12期"/>
    <n v="3"/>
    <n v="33001.03"/>
    <s v="借呗"/>
    <x v="0"/>
    <x v="2"/>
    <x v="11"/>
    <s v="一组"/>
    <s v="南宁一组"/>
    <s v="普通员工"/>
    <n v="11000.343333333332"/>
    <n v="2020"/>
    <x v="2"/>
  </r>
  <r>
    <x v="82"/>
    <n v="1000017700"/>
    <s v="借呗18期"/>
    <n v="2"/>
    <n v="36001.229999999996"/>
    <s v="借呗"/>
    <x v="2"/>
    <x v="2"/>
    <x v="11"/>
    <s v="一组"/>
    <s v="南宁一组"/>
    <s v="普通员工"/>
    <n v="18000.614999999998"/>
    <n v="2020"/>
    <x v="2"/>
  </r>
  <r>
    <x v="82"/>
    <n v="1000018132"/>
    <s v="借呗6期"/>
    <n v="2"/>
    <n v="28000.74"/>
    <s v="借呗"/>
    <x v="1"/>
    <x v="2"/>
    <x v="11"/>
    <s v="一组"/>
    <s v="南宁一组"/>
    <s v="普通员工"/>
    <n v="14000.37"/>
    <n v="2020"/>
    <x v="2"/>
  </r>
  <r>
    <x v="82"/>
    <n v="1000018134"/>
    <s v="借呗12期"/>
    <n v="1"/>
    <n v="10500.26"/>
    <s v="借呗"/>
    <x v="0"/>
    <x v="0"/>
    <x v="5"/>
    <s v="一组"/>
    <s v="合肥一组"/>
    <s v="普通员工"/>
    <n v="10500.26"/>
    <n v="2020"/>
    <x v="2"/>
  </r>
  <r>
    <x v="83"/>
    <n v="1000000029"/>
    <s v="借呗6期"/>
    <n v="1"/>
    <n v="500.48"/>
    <s v="借呗"/>
    <x v="1"/>
    <x v="0"/>
    <x v="0"/>
    <s v="二组"/>
    <s v="杭州二组"/>
    <s v="普通员工"/>
    <n v="500.48"/>
    <n v="2020"/>
    <x v="2"/>
  </r>
  <r>
    <x v="83"/>
    <n v="1000000029"/>
    <s v="借呗18期"/>
    <n v="1"/>
    <n v="2999.98"/>
    <s v="借呗"/>
    <x v="2"/>
    <x v="0"/>
    <x v="0"/>
    <s v="二组"/>
    <s v="杭州二组"/>
    <s v="普通员工"/>
    <n v="2999.98"/>
    <n v="2020"/>
    <x v="2"/>
  </r>
  <r>
    <x v="83"/>
    <n v="1000000030"/>
    <s v="借呗6期"/>
    <n v="2"/>
    <n v="16500.46"/>
    <s v="借呗"/>
    <x v="1"/>
    <x v="2"/>
    <x v="6"/>
    <s v="三组"/>
    <s v="广州三组"/>
    <s v="普通员工"/>
    <n v="8250.23"/>
    <n v="2020"/>
    <x v="2"/>
  </r>
  <r>
    <x v="83"/>
    <n v="1000000031"/>
    <s v="借呗6期"/>
    <n v="1"/>
    <n v="4000.4"/>
    <s v="借呗"/>
    <x v="1"/>
    <x v="0"/>
    <x v="0"/>
    <s v="一组"/>
    <s v="杭州一组"/>
    <s v="管理人员"/>
    <n v="4000.4"/>
    <n v="2020"/>
    <x v="2"/>
  </r>
  <r>
    <x v="83"/>
    <n v="1000000032"/>
    <s v="借呗6期"/>
    <n v="2"/>
    <n v="25143.530000000002"/>
    <s v="借呗"/>
    <x v="1"/>
    <x v="0"/>
    <x v="1"/>
    <s v="一组"/>
    <s v="苏州一组"/>
    <s v="管理人员"/>
    <n v="12571.765000000001"/>
    <n v="2020"/>
    <x v="2"/>
  </r>
  <r>
    <x v="83"/>
    <n v="1000000032"/>
    <s v="借呗18期"/>
    <n v="1"/>
    <n v="557.14"/>
    <s v="借呗"/>
    <x v="2"/>
    <x v="0"/>
    <x v="1"/>
    <s v="一组"/>
    <s v="苏州一组"/>
    <s v="管理人员"/>
    <n v="557.14"/>
    <n v="2020"/>
    <x v="2"/>
  </r>
  <r>
    <x v="83"/>
    <n v="1000000033"/>
    <s v="借呗18期"/>
    <n v="1"/>
    <n v="3000.44"/>
    <s v="借呗"/>
    <x v="2"/>
    <x v="0"/>
    <x v="1"/>
    <s v="一组"/>
    <s v="苏州一组"/>
    <s v="普通员工"/>
    <n v="3000.44"/>
    <n v="2020"/>
    <x v="2"/>
  </r>
  <r>
    <x v="83"/>
    <n v="1000000034"/>
    <s v="借呗12期"/>
    <n v="2"/>
    <n v="31001.1"/>
    <s v="借呗"/>
    <x v="0"/>
    <x v="0"/>
    <x v="1"/>
    <s v="一组"/>
    <s v="苏州一组"/>
    <s v="普通员工"/>
    <n v="15500.55"/>
    <n v="2020"/>
    <x v="2"/>
  </r>
  <r>
    <x v="83"/>
    <n v="1000000035"/>
    <s v="借呗6期"/>
    <n v="1"/>
    <n v="1235.18"/>
    <s v="借呗"/>
    <x v="1"/>
    <x v="0"/>
    <x v="1"/>
    <s v="三组"/>
    <s v="苏州三组"/>
    <s v="普通员工"/>
    <n v="1235.18"/>
    <n v="2020"/>
    <x v="2"/>
  </r>
  <r>
    <x v="83"/>
    <n v="1000000036"/>
    <s v="借呗12期"/>
    <n v="1"/>
    <n v="5000.6400000000003"/>
    <s v="借呗"/>
    <x v="0"/>
    <x v="2"/>
    <x v="6"/>
    <s v="三组"/>
    <s v="广州三组"/>
    <s v="管理人员"/>
    <n v="5000.6400000000003"/>
    <n v="2020"/>
    <x v="2"/>
  </r>
  <r>
    <x v="83"/>
    <n v="1000000036"/>
    <s v="借呗18期"/>
    <n v="2"/>
    <n v="2958.13"/>
    <s v="借呗"/>
    <x v="2"/>
    <x v="2"/>
    <x v="6"/>
    <s v="三组"/>
    <s v="广州三组"/>
    <s v="管理人员"/>
    <n v="1479.0650000000001"/>
    <n v="2020"/>
    <x v="2"/>
  </r>
  <r>
    <x v="83"/>
    <n v="1000000037"/>
    <s v="借呗18期"/>
    <n v="1"/>
    <n v="512.12"/>
    <s v="借呗"/>
    <x v="2"/>
    <x v="0"/>
    <x v="0"/>
    <s v="二组"/>
    <s v="杭州二组"/>
    <s v="普通员工"/>
    <n v="512.12"/>
    <n v="2020"/>
    <x v="2"/>
  </r>
  <r>
    <x v="83"/>
    <n v="1000000039"/>
    <s v="借呗6期"/>
    <n v="1"/>
    <n v="6000.35"/>
    <s v="借呗"/>
    <x v="1"/>
    <x v="0"/>
    <x v="1"/>
    <s v="二组"/>
    <s v="苏州二组"/>
    <s v="管理人员"/>
    <n v="6000.35"/>
    <n v="2020"/>
    <x v="2"/>
  </r>
  <r>
    <x v="83"/>
    <n v="1000000039"/>
    <s v="借呗12期"/>
    <n v="1"/>
    <n v="7000.64"/>
    <s v="借呗"/>
    <x v="0"/>
    <x v="0"/>
    <x v="1"/>
    <s v="二组"/>
    <s v="苏州二组"/>
    <s v="管理人员"/>
    <n v="7000.64"/>
    <n v="2020"/>
    <x v="2"/>
  </r>
  <r>
    <x v="83"/>
    <n v="1000000040"/>
    <s v="借呗12期"/>
    <n v="1"/>
    <n v="16999.93"/>
    <s v="借呗"/>
    <x v="0"/>
    <x v="1"/>
    <x v="2"/>
    <s v="四组"/>
    <s v="北京四组"/>
    <s v="管理人员"/>
    <n v="16999.93"/>
    <n v="2020"/>
    <x v="2"/>
  </r>
  <r>
    <x v="83"/>
    <n v="1000000041"/>
    <s v="借呗12期"/>
    <n v="1"/>
    <n v="15000.38"/>
    <s v="借呗"/>
    <x v="0"/>
    <x v="1"/>
    <x v="2"/>
    <s v="四组"/>
    <s v="北京四组"/>
    <s v="普通员工"/>
    <n v="15000.38"/>
    <n v="2020"/>
    <x v="2"/>
  </r>
  <r>
    <x v="83"/>
    <n v="1000000044"/>
    <s v="借呗6期"/>
    <n v="5"/>
    <n v="39501.509999999995"/>
    <s v="借呗"/>
    <x v="1"/>
    <x v="1"/>
    <x v="2"/>
    <s v="三组"/>
    <s v="北京三组"/>
    <s v="管理人员"/>
    <n v="7900.3019999999988"/>
    <n v="2020"/>
    <x v="2"/>
  </r>
  <r>
    <x v="83"/>
    <n v="1000000044"/>
    <s v="借呗12期"/>
    <n v="1"/>
    <n v="16000.29"/>
    <s v="借呗"/>
    <x v="0"/>
    <x v="1"/>
    <x v="2"/>
    <s v="三组"/>
    <s v="北京三组"/>
    <s v="管理人员"/>
    <n v="16000.29"/>
    <n v="2020"/>
    <x v="2"/>
  </r>
  <r>
    <x v="83"/>
    <n v="1000000045"/>
    <s v="借呗6期"/>
    <n v="3"/>
    <n v="45500.859999999993"/>
    <s v="借呗"/>
    <x v="1"/>
    <x v="2"/>
    <x v="9"/>
    <s v="一组"/>
    <s v="深圳一组"/>
    <s v="普通员工"/>
    <n v="15166.953333333331"/>
    <n v="2020"/>
    <x v="2"/>
  </r>
  <r>
    <x v="83"/>
    <n v="1000000046"/>
    <s v="借呗6期"/>
    <n v="3"/>
    <n v="40091"/>
    <s v="借呗"/>
    <x v="1"/>
    <x v="1"/>
    <x v="4"/>
    <s v="一组"/>
    <s v="成都一组"/>
    <s v="普通员工"/>
    <n v="13363.666666666666"/>
    <n v="2020"/>
    <x v="2"/>
  </r>
  <r>
    <x v="83"/>
    <n v="1000000046"/>
    <s v="借呗12期"/>
    <n v="1"/>
    <n v="18000.62"/>
    <s v="借呗"/>
    <x v="0"/>
    <x v="1"/>
    <x v="4"/>
    <s v="一组"/>
    <s v="成都一组"/>
    <s v="普通员工"/>
    <n v="18000.62"/>
    <n v="2020"/>
    <x v="2"/>
  </r>
  <r>
    <x v="83"/>
    <n v="1000000054"/>
    <s v="借呗12期"/>
    <n v="2"/>
    <n v="22501.08"/>
    <s v="借呗"/>
    <x v="0"/>
    <x v="0"/>
    <x v="3"/>
    <s v="一组"/>
    <s v="上海一组"/>
    <s v="普通员工"/>
    <n v="11250.54"/>
    <n v="2020"/>
    <x v="2"/>
  </r>
  <r>
    <x v="83"/>
    <n v="1000000056"/>
    <s v="借呗6期"/>
    <n v="1"/>
    <n v="5000.13"/>
    <s v="借呗"/>
    <x v="1"/>
    <x v="0"/>
    <x v="3"/>
    <s v="一组"/>
    <s v="上海一组"/>
    <s v="管理人员"/>
    <n v="5000.13"/>
    <n v="2020"/>
    <x v="2"/>
  </r>
  <r>
    <x v="83"/>
    <n v="1000000056"/>
    <s v="借呗12期"/>
    <n v="2"/>
    <n v="24500.54"/>
    <s v="借呗"/>
    <x v="0"/>
    <x v="0"/>
    <x v="3"/>
    <s v="一组"/>
    <s v="上海一组"/>
    <s v="管理人员"/>
    <n v="12250.27"/>
    <n v="2020"/>
    <x v="2"/>
  </r>
  <r>
    <x v="83"/>
    <n v="1000000057"/>
    <s v="借呗6期"/>
    <n v="1"/>
    <n v="3480.71"/>
    <s v="借呗"/>
    <x v="1"/>
    <x v="0"/>
    <x v="3"/>
    <s v="二组"/>
    <s v="上海二组"/>
    <s v="普通员工"/>
    <n v="3480.71"/>
    <n v="2020"/>
    <x v="2"/>
  </r>
  <r>
    <x v="83"/>
    <n v="1000000068"/>
    <s v="借呗6期"/>
    <n v="1"/>
    <n v="3252.41"/>
    <s v="借呗"/>
    <x v="1"/>
    <x v="1"/>
    <x v="7"/>
    <s v="一组"/>
    <s v="重庆一组"/>
    <s v="管理人员"/>
    <n v="3252.41"/>
    <n v="2020"/>
    <x v="2"/>
  </r>
  <r>
    <x v="83"/>
    <n v="1000000104"/>
    <s v="借呗18期"/>
    <n v="1"/>
    <n v="6000.12"/>
    <s v="借呗"/>
    <x v="2"/>
    <x v="0"/>
    <x v="5"/>
    <s v="一组"/>
    <s v="合肥一组"/>
    <s v="普通员工"/>
    <n v="6000.12"/>
    <n v="2020"/>
    <x v="2"/>
  </r>
  <r>
    <x v="83"/>
    <n v="1000000237"/>
    <s v="借呗6期"/>
    <n v="1"/>
    <n v="5000.1000000000004"/>
    <s v="借呗"/>
    <x v="1"/>
    <x v="0"/>
    <x v="5"/>
    <s v="一组"/>
    <s v="合肥一组"/>
    <s v="普通员工"/>
    <n v="5000.1000000000004"/>
    <n v="2020"/>
    <x v="2"/>
  </r>
  <r>
    <x v="83"/>
    <n v="1000000237"/>
    <s v="借呗18期"/>
    <n v="1"/>
    <n v="1323.02"/>
    <s v="借呗"/>
    <x v="2"/>
    <x v="0"/>
    <x v="5"/>
    <s v="一组"/>
    <s v="合肥一组"/>
    <s v="普通员工"/>
    <n v="1323.02"/>
    <n v="2020"/>
    <x v="2"/>
  </r>
  <r>
    <x v="83"/>
    <n v="1000000266"/>
    <s v="借呗6期"/>
    <n v="1"/>
    <n v="18000.080000000002"/>
    <s v="借呗"/>
    <x v="1"/>
    <x v="1"/>
    <x v="7"/>
    <s v="一组"/>
    <s v="重庆一组"/>
    <s v="普通员工"/>
    <n v="18000.080000000002"/>
    <n v="2020"/>
    <x v="2"/>
  </r>
  <r>
    <x v="83"/>
    <n v="1000000566"/>
    <s v="借呗6期"/>
    <n v="4"/>
    <n v="20000.97"/>
    <s v="借呗"/>
    <x v="1"/>
    <x v="2"/>
    <x v="6"/>
    <s v="三组"/>
    <s v="广州三组"/>
    <s v="普通员工"/>
    <n v="5000.2425000000003"/>
    <n v="2020"/>
    <x v="2"/>
  </r>
  <r>
    <x v="83"/>
    <n v="1000000566"/>
    <s v="借呗18期"/>
    <n v="1"/>
    <n v="1680.01"/>
    <s v="借呗"/>
    <x v="2"/>
    <x v="2"/>
    <x v="6"/>
    <s v="三组"/>
    <s v="广州三组"/>
    <s v="普通员工"/>
    <n v="1680.01"/>
    <n v="2020"/>
    <x v="2"/>
  </r>
  <r>
    <x v="83"/>
    <n v="1000000576"/>
    <s v="借呗12期"/>
    <n v="1"/>
    <n v="20000.71"/>
    <s v="借呗"/>
    <x v="0"/>
    <x v="0"/>
    <x v="1"/>
    <s v="三组"/>
    <s v="苏州三组"/>
    <s v="普通员工"/>
    <n v="20000.71"/>
    <n v="2020"/>
    <x v="2"/>
  </r>
  <r>
    <x v="83"/>
    <n v="1000000594"/>
    <s v="借呗12期"/>
    <n v="2"/>
    <n v="38000.82"/>
    <s v="借呗"/>
    <x v="0"/>
    <x v="0"/>
    <x v="1"/>
    <s v="二组"/>
    <s v="苏州二组"/>
    <s v="普通员工"/>
    <n v="19000.41"/>
    <n v="2020"/>
    <x v="2"/>
  </r>
  <r>
    <x v="83"/>
    <n v="1000000928"/>
    <s v="借呗18期"/>
    <n v="1"/>
    <n v="1698.38"/>
    <s v="借呗"/>
    <x v="2"/>
    <x v="1"/>
    <x v="8"/>
    <s v="一组"/>
    <s v="西安一组"/>
    <s v="普通员工"/>
    <n v="1698.38"/>
    <n v="2020"/>
    <x v="2"/>
  </r>
  <r>
    <x v="83"/>
    <n v="1000003926"/>
    <s v="借呗6期"/>
    <n v="4"/>
    <n v="73001.760000000009"/>
    <s v="借呗"/>
    <x v="1"/>
    <x v="2"/>
    <x v="6"/>
    <s v="一组"/>
    <s v="广州一组"/>
    <s v="管理人员"/>
    <n v="18250.440000000002"/>
    <n v="2020"/>
    <x v="2"/>
  </r>
  <r>
    <x v="83"/>
    <n v="1000003926"/>
    <s v="借呗12期"/>
    <n v="1"/>
    <n v="12000.21"/>
    <s v="借呗"/>
    <x v="0"/>
    <x v="2"/>
    <x v="6"/>
    <s v="一组"/>
    <s v="广州一组"/>
    <s v="管理人员"/>
    <n v="12000.21"/>
    <n v="2020"/>
    <x v="2"/>
  </r>
  <r>
    <x v="83"/>
    <n v="1000004170"/>
    <s v="借呗6期"/>
    <n v="3"/>
    <n v="24000.84"/>
    <s v="借呗"/>
    <x v="1"/>
    <x v="0"/>
    <x v="3"/>
    <s v="二组"/>
    <s v="上海二组"/>
    <s v="管理人员"/>
    <n v="8000.28"/>
    <n v="2020"/>
    <x v="2"/>
  </r>
  <r>
    <x v="83"/>
    <n v="1000004170"/>
    <s v="借呗12期"/>
    <n v="1"/>
    <n v="25000.53"/>
    <s v="借呗"/>
    <x v="0"/>
    <x v="0"/>
    <x v="3"/>
    <s v="二组"/>
    <s v="上海二组"/>
    <s v="管理人员"/>
    <n v="25000.53"/>
    <n v="2020"/>
    <x v="2"/>
  </r>
  <r>
    <x v="83"/>
    <n v="1000005873"/>
    <s v="借呗6期"/>
    <n v="1"/>
    <n v="7000.06"/>
    <s v="借呗"/>
    <x v="1"/>
    <x v="0"/>
    <x v="0"/>
    <s v="二组"/>
    <s v="杭州二组"/>
    <s v="管理人员"/>
    <n v="7000.06"/>
    <n v="2020"/>
    <x v="2"/>
  </r>
  <r>
    <x v="83"/>
    <n v="1000005873"/>
    <s v="借呗12期"/>
    <n v="1"/>
    <n v="11000.08"/>
    <s v="借呗"/>
    <x v="0"/>
    <x v="0"/>
    <x v="0"/>
    <s v="二组"/>
    <s v="杭州二组"/>
    <s v="管理人员"/>
    <n v="11000.08"/>
    <n v="2020"/>
    <x v="2"/>
  </r>
  <r>
    <x v="83"/>
    <n v="1000006698"/>
    <s v="借呗12期"/>
    <n v="1"/>
    <n v="20000.36"/>
    <s v="借呗"/>
    <x v="0"/>
    <x v="1"/>
    <x v="4"/>
    <s v="一组"/>
    <s v="成都一组"/>
    <s v="管理人员"/>
    <n v="20000.36"/>
    <n v="2020"/>
    <x v="2"/>
  </r>
  <r>
    <x v="83"/>
    <n v="1000006867"/>
    <s v="借呗6期"/>
    <n v="1"/>
    <n v="5000.0600000000004"/>
    <s v="借呗"/>
    <x v="1"/>
    <x v="0"/>
    <x v="10"/>
    <s v="一组"/>
    <s v="南京一组"/>
    <s v="普通员工"/>
    <n v="5000.0600000000004"/>
    <n v="2020"/>
    <x v="2"/>
  </r>
  <r>
    <x v="83"/>
    <n v="1000008228"/>
    <s v="借呗6期"/>
    <n v="2"/>
    <n v="12000.599999999999"/>
    <s v="借呗"/>
    <x v="1"/>
    <x v="1"/>
    <x v="2"/>
    <s v="三组"/>
    <s v="北京三组"/>
    <s v="普通员工"/>
    <n v="6000.2999999999993"/>
    <n v="2020"/>
    <x v="2"/>
  </r>
  <r>
    <x v="83"/>
    <n v="1000008228"/>
    <s v="借呗12期"/>
    <n v="1"/>
    <n v="18000.37"/>
    <s v="借呗"/>
    <x v="0"/>
    <x v="1"/>
    <x v="2"/>
    <s v="三组"/>
    <s v="北京三组"/>
    <s v="普通员工"/>
    <n v="18000.37"/>
    <n v="2020"/>
    <x v="2"/>
  </r>
  <r>
    <x v="83"/>
    <n v="1000008239"/>
    <s v="借呗6期"/>
    <n v="1"/>
    <n v="10000"/>
    <s v="借呗"/>
    <x v="1"/>
    <x v="0"/>
    <x v="10"/>
    <s v="一组"/>
    <s v="南京一组"/>
    <s v="管理人员"/>
    <n v="10000"/>
    <n v="2020"/>
    <x v="2"/>
  </r>
  <r>
    <x v="83"/>
    <n v="1000008957"/>
    <s v="借呗18期"/>
    <n v="1"/>
    <n v="11000.34"/>
    <s v="借呗"/>
    <x v="2"/>
    <x v="0"/>
    <x v="3"/>
    <s v="二组"/>
    <s v="上海二组"/>
    <s v="普通员工"/>
    <n v="11000.34"/>
    <n v="2020"/>
    <x v="2"/>
  </r>
  <r>
    <x v="83"/>
    <n v="1000009288"/>
    <s v="借呗12期"/>
    <n v="1"/>
    <n v="15000.2"/>
    <s v="借呗"/>
    <x v="0"/>
    <x v="0"/>
    <x v="1"/>
    <s v="二组"/>
    <s v="苏州二组"/>
    <s v="普通员工"/>
    <n v="15000.2"/>
    <n v="2020"/>
    <x v="2"/>
  </r>
  <r>
    <x v="83"/>
    <n v="1000011538"/>
    <s v="借呗6期"/>
    <n v="1"/>
    <n v="5000.59"/>
    <s v="借呗"/>
    <x v="1"/>
    <x v="0"/>
    <x v="5"/>
    <s v="二组"/>
    <s v="合肥二组"/>
    <s v="普通员工"/>
    <n v="5000.59"/>
    <n v="2020"/>
    <x v="2"/>
  </r>
  <r>
    <x v="83"/>
    <n v="1000011697"/>
    <s v="借呗6期"/>
    <n v="2"/>
    <n v="24000.52"/>
    <s v="借呗"/>
    <x v="1"/>
    <x v="0"/>
    <x v="3"/>
    <s v="二组"/>
    <s v="上海二组"/>
    <s v="普通员工"/>
    <n v="12000.26"/>
    <n v="2020"/>
    <x v="2"/>
  </r>
  <r>
    <x v="83"/>
    <n v="1000011828"/>
    <s v="借呗12期"/>
    <n v="1"/>
    <n v="25000.23"/>
    <s v="借呗"/>
    <x v="0"/>
    <x v="0"/>
    <x v="0"/>
    <s v="二组"/>
    <s v="杭州二组"/>
    <s v="普通员工"/>
    <n v="25000.23"/>
    <n v="2020"/>
    <x v="2"/>
  </r>
  <r>
    <x v="83"/>
    <n v="1000012099"/>
    <s v="借呗6期"/>
    <n v="1"/>
    <n v="25000.42"/>
    <s v="借呗"/>
    <x v="1"/>
    <x v="0"/>
    <x v="0"/>
    <s v="二组"/>
    <s v="杭州二组"/>
    <s v="普通员工"/>
    <n v="25000.42"/>
    <n v="2020"/>
    <x v="2"/>
  </r>
  <r>
    <x v="83"/>
    <n v="1000012099"/>
    <s v="借呗12期"/>
    <n v="1"/>
    <n v="7000.11"/>
    <s v="借呗"/>
    <x v="0"/>
    <x v="0"/>
    <x v="0"/>
    <s v="二组"/>
    <s v="杭州二组"/>
    <s v="普通员工"/>
    <n v="7000.11"/>
    <n v="2020"/>
    <x v="2"/>
  </r>
  <r>
    <x v="83"/>
    <n v="1000012112"/>
    <s v="借呗6期"/>
    <n v="1"/>
    <n v="15000.11"/>
    <s v="借呗"/>
    <x v="1"/>
    <x v="0"/>
    <x v="0"/>
    <s v="三组"/>
    <s v="杭州三组"/>
    <s v="管理人员"/>
    <n v="15000.11"/>
    <n v="2020"/>
    <x v="2"/>
  </r>
  <r>
    <x v="83"/>
    <n v="1000012112"/>
    <s v="借呗12期"/>
    <n v="2"/>
    <n v="14501.03"/>
    <s v="借呗"/>
    <x v="0"/>
    <x v="0"/>
    <x v="0"/>
    <s v="三组"/>
    <s v="杭州三组"/>
    <s v="管理人员"/>
    <n v="7250.5150000000003"/>
    <n v="2020"/>
    <x v="2"/>
  </r>
  <r>
    <x v="83"/>
    <n v="1000012124"/>
    <s v="借呗12期"/>
    <n v="1"/>
    <n v="22000.57"/>
    <s v="借呗"/>
    <x v="0"/>
    <x v="0"/>
    <x v="0"/>
    <s v="一组"/>
    <s v="杭州一组"/>
    <s v="普通员工"/>
    <n v="22000.57"/>
    <n v="2020"/>
    <x v="2"/>
  </r>
  <r>
    <x v="83"/>
    <n v="1000012126"/>
    <s v="借呗18期"/>
    <n v="2"/>
    <n v="26000.67"/>
    <s v="借呗"/>
    <x v="2"/>
    <x v="0"/>
    <x v="0"/>
    <s v="一组"/>
    <s v="杭州一组"/>
    <s v="普通员工"/>
    <n v="13000.334999999999"/>
    <n v="2020"/>
    <x v="2"/>
  </r>
  <r>
    <x v="83"/>
    <n v="1000012234"/>
    <s v="借呗18期"/>
    <n v="1"/>
    <n v="17000.21"/>
    <s v="借呗"/>
    <x v="2"/>
    <x v="0"/>
    <x v="1"/>
    <s v="一组"/>
    <s v="苏州一组"/>
    <s v="普通员工"/>
    <n v="17000.21"/>
    <n v="2020"/>
    <x v="2"/>
  </r>
  <r>
    <x v="83"/>
    <n v="1000012394"/>
    <s v="借呗12期"/>
    <n v="1"/>
    <n v="6999.99"/>
    <s v="借呗"/>
    <x v="0"/>
    <x v="0"/>
    <x v="10"/>
    <s v="一组"/>
    <s v="南京一组"/>
    <s v="普通员工"/>
    <n v="6999.99"/>
    <n v="2020"/>
    <x v="2"/>
  </r>
  <r>
    <x v="83"/>
    <n v="1000012446"/>
    <s v="借呗6期"/>
    <n v="1"/>
    <n v="4999.96"/>
    <s v="借呗"/>
    <x v="1"/>
    <x v="1"/>
    <x v="2"/>
    <s v="三组"/>
    <s v="北京三组"/>
    <s v="普通员工"/>
    <n v="4999.96"/>
    <n v="2020"/>
    <x v="2"/>
  </r>
  <r>
    <x v="83"/>
    <n v="1000012675"/>
    <s v="借呗6期"/>
    <n v="1"/>
    <n v="14000.62"/>
    <s v="借呗"/>
    <x v="1"/>
    <x v="0"/>
    <x v="3"/>
    <s v="一组"/>
    <s v="上海一组"/>
    <s v="普通员工"/>
    <n v="14000.62"/>
    <n v="2020"/>
    <x v="2"/>
  </r>
  <r>
    <x v="83"/>
    <n v="1000013526"/>
    <s v="借呗6期"/>
    <n v="1"/>
    <n v="6000.61"/>
    <s v="借呗"/>
    <x v="1"/>
    <x v="2"/>
    <x v="11"/>
    <s v="一组"/>
    <s v="南宁一组"/>
    <s v="普通员工"/>
    <n v="6000.61"/>
    <n v="2020"/>
    <x v="2"/>
  </r>
  <r>
    <x v="83"/>
    <n v="1000014037"/>
    <s v="借呗12期"/>
    <n v="1"/>
    <n v="25000.3"/>
    <s v="借呗"/>
    <x v="0"/>
    <x v="0"/>
    <x v="1"/>
    <s v="三组"/>
    <s v="苏州三组"/>
    <s v="普通员工"/>
    <n v="25000.3"/>
    <n v="2020"/>
    <x v="2"/>
  </r>
  <r>
    <x v="83"/>
    <n v="1000014273"/>
    <s v="借呗6期"/>
    <n v="1"/>
    <n v="17000.11"/>
    <s v="借呗"/>
    <x v="1"/>
    <x v="0"/>
    <x v="0"/>
    <s v="二组"/>
    <s v="杭州二组"/>
    <s v="普通员工"/>
    <n v="17000.11"/>
    <n v="2020"/>
    <x v="2"/>
  </r>
  <r>
    <x v="83"/>
    <n v="1000014291"/>
    <s v="借呗6期"/>
    <n v="2"/>
    <n v="24000.739999999998"/>
    <s v="借呗"/>
    <x v="1"/>
    <x v="2"/>
    <x v="6"/>
    <s v="二组"/>
    <s v="广州二组"/>
    <s v="管理人员"/>
    <n v="12000.369999999999"/>
    <n v="2020"/>
    <x v="2"/>
  </r>
  <r>
    <x v="83"/>
    <n v="1000014291"/>
    <s v="借呗12期"/>
    <n v="1"/>
    <n v="7000.18"/>
    <s v="借呗"/>
    <x v="0"/>
    <x v="2"/>
    <x v="6"/>
    <s v="二组"/>
    <s v="广州二组"/>
    <s v="管理人员"/>
    <n v="7000.18"/>
    <n v="2020"/>
    <x v="2"/>
  </r>
  <r>
    <x v="83"/>
    <n v="1000014530"/>
    <s v="借呗6期"/>
    <n v="3"/>
    <n v="39000.909999999996"/>
    <s v="借呗"/>
    <x v="1"/>
    <x v="2"/>
    <x v="11"/>
    <s v="一组"/>
    <s v="南宁一组"/>
    <s v="普通员工"/>
    <n v="13000.303333333331"/>
    <n v="2020"/>
    <x v="2"/>
  </r>
  <r>
    <x v="83"/>
    <n v="1000014530"/>
    <s v="借呗12期"/>
    <n v="2"/>
    <n v="21001"/>
    <s v="借呗"/>
    <x v="0"/>
    <x v="2"/>
    <x v="11"/>
    <s v="一组"/>
    <s v="南宁一组"/>
    <s v="普通员工"/>
    <n v="10500.5"/>
    <n v="2020"/>
    <x v="2"/>
  </r>
  <r>
    <x v="83"/>
    <n v="1000014572"/>
    <s v="借呗12期"/>
    <n v="1"/>
    <n v="10000.51"/>
    <s v="借呗"/>
    <x v="0"/>
    <x v="0"/>
    <x v="3"/>
    <s v="一组"/>
    <s v="上海一组"/>
    <s v="普通员工"/>
    <n v="10000.51"/>
    <n v="2020"/>
    <x v="2"/>
  </r>
  <r>
    <x v="83"/>
    <n v="1000014572"/>
    <s v="借呗18期"/>
    <n v="1"/>
    <n v="8000.63"/>
    <s v="借呗"/>
    <x v="2"/>
    <x v="0"/>
    <x v="3"/>
    <s v="一组"/>
    <s v="上海一组"/>
    <s v="普通员工"/>
    <n v="8000.63"/>
    <n v="2020"/>
    <x v="2"/>
  </r>
  <r>
    <x v="83"/>
    <n v="1000015013"/>
    <s v="借呗12期"/>
    <n v="1"/>
    <n v="13780"/>
    <s v="借呗"/>
    <x v="0"/>
    <x v="0"/>
    <x v="0"/>
    <s v="一组"/>
    <s v="杭州一组"/>
    <s v="普通员工"/>
    <n v="13780"/>
    <n v="2020"/>
    <x v="2"/>
  </r>
  <r>
    <x v="83"/>
    <n v="1000015133"/>
    <s v="借呗12期"/>
    <n v="1"/>
    <n v="5000.3900000000003"/>
    <s v="借呗"/>
    <x v="0"/>
    <x v="1"/>
    <x v="2"/>
    <s v="三组"/>
    <s v="北京三组"/>
    <s v="普通员工"/>
    <n v="5000.3900000000003"/>
    <n v="2020"/>
    <x v="2"/>
  </r>
  <r>
    <x v="83"/>
    <n v="1000015788"/>
    <s v="借呗12期"/>
    <n v="1"/>
    <n v="15000.32"/>
    <s v="借呗"/>
    <x v="0"/>
    <x v="1"/>
    <x v="2"/>
    <s v="三组"/>
    <s v="北京三组"/>
    <s v="普通员工"/>
    <n v="15000.32"/>
    <n v="2020"/>
    <x v="2"/>
  </r>
  <r>
    <x v="83"/>
    <n v="1000017576"/>
    <s v="借呗12期"/>
    <n v="1"/>
    <n v="15000.75"/>
    <s v="借呗"/>
    <x v="0"/>
    <x v="0"/>
    <x v="0"/>
    <s v="三组"/>
    <s v="杭州三组"/>
    <s v="普通员工"/>
    <n v="15000.75"/>
    <n v="2020"/>
    <x v="2"/>
  </r>
  <r>
    <x v="83"/>
    <n v="1000017688"/>
    <s v="借呗12期"/>
    <n v="1"/>
    <n v="12999.95"/>
    <s v="借呗"/>
    <x v="0"/>
    <x v="2"/>
    <x v="6"/>
    <s v="三组"/>
    <s v="广州三组"/>
    <s v="普通员工"/>
    <n v="12999.95"/>
    <n v="2020"/>
    <x v="2"/>
  </r>
  <r>
    <x v="83"/>
    <n v="1000018132"/>
    <s v="借呗12期"/>
    <n v="1"/>
    <n v="22000.400000000001"/>
    <s v="借呗"/>
    <x v="0"/>
    <x v="2"/>
    <x v="11"/>
    <s v="一组"/>
    <s v="南宁一组"/>
    <s v="普通员工"/>
    <n v="22000.400000000001"/>
    <n v="2020"/>
    <x v="2"/>
  </r>
  <r>
    <x v="84"/>
    <n v="1000000028"/>
    <s v="借呗6期"/>
    <n v="1"/>
    <n v="3000.45"/>
    <s v="借呗"/>
    <x v="1"/>
    <x v="0"/>
    <x v="0"/>
    <s v="二组"/>
    <s v="杭州二组"/>
    <s v="普通员工"/>
    <n v="3000.45"/>
    <n v="2020"/>
    <x v="2"/>
  </r>
  <r>
    <x v="84"/>
    <n v="1000000029"/>
    <s v="借呗6期"/>
    <n v="2"/>
    <n v="16983.39"/>
    <s v="借呗"/>
    <x v="1"/>
    <x v="0"/>
    <x v="0"/>
    <s v="二组"/>
    <s v="杭州二组"/>
    <s v="普通员工"/>
    <n v="8491.6949999999997"/>
    <n v="2020"/>
    <x v="2"/>
  </r>
  <r>
    <x v="84"/>
    <n v="1000000029"/>
    <s v="借呗12期"/>
    <n v="1"/>
    <n v="3547"/>
    <s v="借呗"/>
    <x v="0"/>
    <x v="0"/>
    <x v="0"/>
    <s v="二组"/>
    <s v="杭州二组"/>
    <s v="普通员工"/>
    <n v="3547"/>
    <n v="2020"/>
    <x v="2"/>
  </r>
  <r>
    <x v="84"/>
    <n v="1000000030"/>
    <s v="借呗18期"/>
    <n v="1"/>
    <n v="12000.26"/>
    <s v="借呗"/>
    <x v="2"/>
    <x v="2"/>
    <x v="6"/>
    <s v="三组"/>
    <s v="广州三组"/>
    <s v="普通员工"/>
    <n v="12000.26"/>
    <n v="2020"/>
    <x v="2"/>
  </r>
  <r>
    <x v="84"/>
    <n v="1000000031"/>
    <s v="借呗6期"/>
    <n v="1"/>
    <n v="1765.96"/>
    <s v="借呗"/>
    <x v="1"/>
    <x v="0"/>
    <x v="0"/>
    <s v="一组"/>
    <s v="杭州一组"/>
    <s v="管理人员"/>
    <n v="1765.96"/>
    <n v="2020"/>
    <x v="2"/>
  </r>
  <r>
    <x v="84"/>
    <n v="1000000031"/>
    <s v="借呗12期"/>
    <n v="1"/>
    <n v="25000.59"/>
    <s v="借呗"/>
    <x v="0"/>
    <x v="0"/>
    <x v="0"/>
    <s v="一组"/>
    <s v="杭州一组"/>
    <s v="管理人员"/>
    <n v="25000.59"/>
    <n v="2020"/>
    <x v="2"/>
  </r>
  <r>
    <x v="84"/>
    <n v="1000000032"/>
    <s v="借呗6期"/>
    <n v="2"/>
    <n v="40000.76"/>
    <s v="借呗"/>
    <x v="1"/>
    <x v="0"/>
    <x v="1"/>
    <s v="一组"/>
    <s v="苏州一组"/>
    <s v="管理人员"/>
    <n v="20000.38"/>
    <n v="2020"/>
    <x v="2"/>
  </r>
  <r>
    <x v="84"/>
    <n v="1000000033"/>
    <s v="借呗6期"/>
    <n v="1"/>
    <n v="5999.95"/>
    <s v="借呗"/>
    <x v="1"/>
    <x v="0"/>
    <x v="1"/>
    <s v="一组"/>
    <s v="苏州一组"/>
    <s v="普通员工"/>
    <n v="5999.95"/>
    <n v="2020"/>
    <x v="2"/>
  </r>
  <r>
    <x v="84"/>
    <n v="1000000033"/>
    <s v="借呗12期"/>
    <n v="1"/>
    <n v="13000.45"/>
    <s v="借呗"/>
    <x v="0"/>
    <x v="0"/>
    <x v="1"/>
    <s v="一组"/>
    <s v="苏州一组"/>
    <s v="普通员工"/>
    <n v="13000.45"/>
    <n v="2020"/>
    <x v="2"/>
  </r>
  <r>
    <x v="84"/>
    <n v="1000000036"/>
    <s v="借呗6期"/>
    <n v="3"/>
    <n v="19300.580000000002"/>
    <s v="借呗"/>
    <x v="1"/>
    <x v="2"/>
    <x v="6"/>
    <s v="三组"/>
    <s v="广州三组"/>
    <s v="管理人员"/>
    <n v="6433.5266666666676"/>
    <n v="2020"/>
    <x v="2"/>
  </r>
  <r>
    <x v="84"/>
    <n v="1000000036"/>
    <s v="借呗12期"/>
    <n v="1"/>
    <n v="8000.09"/>
    <s v="借呗"/>
    <x v="0"/>
    <x v="2"/>
    <x v="6"/>
    <s v="三组"/>
    <s v="广州三组"/>
    <s v="管理人员"/>
    <n v="8000.09"/>
    <n v="2020"/>
    <x v="2"/>
  </r>
  <r>
    <x v="84"/>
    <n v="1000000037"/>
    <s v="借呗12期"/>
    <n v="1"/>
    <n v="17000.5"/>
    <s v="借呗"/>
    <x v="0"/>
    <x v="0"/>
    <x v="0"/>
    <s v="二组"/>
    <s v="杭州二组"/>
    <s v="普通员工"/>
    <n v="17000.5"/>
    <n v="2020"/>
    <x v="2"/>
  </r>
  <r>
    <x v="84"/>
    <n v="1000000039"/>
    <s v="借呗6期"/>
    <n v="2"/>
    <n v="15500.92"/>
    <s v="借呗"/>
    <x v="1"/>
    <x v="0"/>
    <x v="1"/>
    <s v="二组"/>
    <s v="苏州二组"/>
    <s v="管理人员"/>
    <n v="7750.46"/>
    <n v="2020"/>
    <x v="2"/>
  </r>
  <r>
    <x v="84"/>
    <n v="1000000039"/>
    <s v="借呗12期"/>
    <n v="2"/>
    <n v="11000.269999999999"/>
    <s v="借呗"/>
    <x v="0"/>
    <x v="0"/>
    <x v="1"/>
    <s v="二组"/>
    <s v="苏州二组"/>
    <s v="管理人员"/>
    <n v="5500.1349999999993"/>
    <n v="2020"/>
    <x v="2"/>
  </r>
  <r>
    <x v="84"/>
    <n v="1000000040"/>
    <s v="借呗6期"/>
    <n v="2"/>
    <n v="16000.68"/>
    <s v="借呗"/>
    <x v="1"/>
    <x v="1"/>
    <x v="2"/>
    <s v="四组"/>
    <s v="北京四组"/>
    <s v="管理人员"/>
    <n v="8000.34"/>
    <n v="2020"/>
    <x v="2"/>
  </r>
  <r>
    <x v="84"/>
    <n v="1000000041"/>
    <s v="借呗6期"/>
    <n v="1"/>
    <n v="15999.94"/>
    <s v="借呗"/>
    <x v="1"/>
    <x v="1"/>
    <x v="2"/>
    <s v="四组"/>
    <s v="北京四组"/>
    <s v="普通员工"/>
    <n v="15999.94"/>
    <n v="2020"/>
    <x v="2"/>
  </r>
  <r>
    <x v="84"/>
    <n v="1000000043"/>
    <s v="借呗6期"/>
    <n v="2"/>
    <n v="15500.86"/>
    <s v="借呗"/>
    <x v="1"/>
    <x v="1"/>
    <x v="4"/>
    <s v="一组"/>
    <s v="成都一组"/>
    <s v="普通员工"/>
    <n v="7750.43"/>
    <n v="2020"/>
    <x v="2"/>
  </r>
  <r>
    <x v="84"/>
    <n v="1000000044"/>
    <s v="借呗12期"/>
    <n v="1"/>
    <n v="8999.94"/>
    <s v="借呗"/>
    <x v="0"/>
    <x v="1"/>
    <x v="2"/>
    <s v="三组"/>
    <s v="北京三组"/>
    <s v="管理人员"/>
    <n v="8999.94"/>
    <n v="2020"/>
    <x v="2"/>
  </r>
  <r>
    <x v="84"/>
    <n v="1000000045"/>
    <s v="借呗6期"/>
    <n v="1"/>
    <n v="6000.15"/>
    <s v="借呗"/>
    <x v="1"/>
    <x v="2"/>
    <x v="9"/>
    <s v="一组"/>
    <s v="深圳一组"/>
    <s v="普通员工"/>
    <n v="6000.15"/>
    <n v="2020"/>
    <x v="2"/>
  </r>
  <r>
    <x v="84"/>
    <n v="1000000045"/>
    <s v="借呗12期"/>
    <n v="1"/>
    <n v="823.99"/>
    <s v="借呗"/>
    <x v="0"/>
    <x v="2"/>
    <x v="9"/>
    <s v="一组"/>
    <s v="深圳一组"/>
    <s v="普通员工"/>
    <n v="823.99"/>
    <n v="2020"/>
    <x v="2"/>
  </r>
  <r>
    <x v="84"/>
    <n v="1000000046"/>
    <s v="借呗12期"/>
    <n v="1"/>
    <n v="14000.05"/>
    <s v="借呗"/>
    <x v="0"/>
    <x v="1"/>
    <x v="4"/>
    <s v="一组"/>
    <s v="成都一组"/>
    <s v="普通员工"/>
    <n v="14000.05"/>
    <n v="2020"/>
    <x v="2"/>
  </r>
  <r>
    <x v="84"/>
    <n v="1000000049"/>
    <s v="借呗12期"/>
    <n v="1"/>
    <n v="3465.53"/>
    <s v="借呗"/>
    <x v="0"/>
    <x v="0"/>
    <x v="5"/>
    <s v="一组"/>
    <s v="合肥一组"/>
    <s v="普通员工"/>
    <n v="3465.53"/>
    <n v="2020"/>
    <x v="2"/>
  </r>
  <r>
    <x v="84"/>
    <n v="1000000052"/>
    <s v="借呗6期"/>
    <n v="2"/>
    <n v="2200.84"/>
    <s v="借呗"/>
    <x v="1"/>
    <x v="0"/>
    <x v="3"/>
    <s v="二组"/>
    <s v="上海二组"/>
    <s v="普通员工"/>
    <n v="1100.42"/>
    <n v="2020"/>
    <x v="2"/>
  </r>
  <r>
    <x v="84"/>
    <n v="1000000052"/>
    <s v="借呗12期"/>
    <n v="1"/>
    <n v="2000.26"/>
    <s v="借呗"/>
    <x v="0"/>
    <x v="0"/>
    <x v="3"/>
    <s v="二组"/>
    <s v="上海二组"/>
    <s v="普通员工"/>
    <n v="2000.26"/>
    <n v="2020"/>
    <x v="2"/>
  </r>
  <r>
    <x v="84"/>
    <n v="1000000054"/>
    <s v="借呗6期"/>
    <n v="2"/>
    <n v="18000.29"/>
    <s v="借呗"/>
    <x v="1"/>
    <x v="0"/>
    <x v="3"/>
    <s v="一组"/>
    <s v="上海一组"/>
    <s v="普通员工"/>
    <n v="9000.1450000000004"/>
    <n v="2020"/>
    <x v="2"/>
  </r>
  <r>
    <x v="84"/>
    <n v="1000000054"/>
    <s v="借呗12期"/>
    <n v="1"/>
    <n v="14000.36"/>
    <s v="借呗"/>
    <x v="0"/>
    <x v="0"/>
    <x v="3"/>
    <s v="一组"/>
    <s v="上海一组"/>
    <s v="普通员工"/>
    <n v="14000.36"/>
    <n v="2020"/>
    <x v="2"/>
  </r>
  <r>
    <x v="84"/>
    <n v="1000000056"/>
    <s v="借呗6期"/>
    <n v="2"/>
    <n v="18000.39"/>
    <s v="借呗"/>
    <x v="1"/>
    <x v="0"/>
    <x v="3"/>
    <s v="一组"/>
    <s v="上海一组"/>
    <s v="管理人员"/>
    <n v="9000.1949999999997"/>
    <n v="2020"/>
    <x v="2"/>
  </r>
  <r>
    <x v="84"/>
    <n v="1000000056"/>
    <s v="借呗12期"/>
    <n v="1"/>
    <n v="16000"/>
    <s v="借呗"/>
    <x v="0"/>
    <x v="0"/>
    <x v="3"/>
    <s v="一组"/>
    <s v="上海一组"/>
    <s v="管理人员"/>
    <n v="16000"/>
    <n v="2020"/>
    <x v="2"/>
  </r>
  <r>
    <x v="84"/>
    <n v="1000000061"/>
    <s v="借呗18期"/>
    <n v="1"/>
    <n v="18000.63"/>
    <s v="借呗"/>
    <x v="2"/>
    <x v="0"/>
    <x v="3"/>
    <s v="二组"/>
    <s v="上海二组"/>
    <s v="普通员工"/>
    <n v="18000.63"/>
    <n v="2020"/>
    <x v="2"/>
  </r>
  <r>
    <x v="84"/>
    <n v="1000000067"/>
    <s v="借呗6期"/>
    <n v="1"/>
    <n v="7000.68"/>
    <s v="借呗"/>
    <x v="1"/>
    <x v="0"/>
    <x v="1"/>
    <s v="二组"/>
    <s v="苏州二组"/>
    <s v="普通员工"/>
    <n v="7000.68"/>
    <n v="2020"/>
    <x v="2"/>
  </r>
  <r>
    <x v="84"/>
    <n v="1000000068"/>
    <s v="借呗12期"/>
    <n v="3"/>
    <n v="19501.120000000003"/>
    <s v="借呗"/>
    <x v="0"/>
    <x v="1"/>
    <x v="7"/>
    <s v="一组"/>
    <s v="重庆一组"/>
    <s v="管理人员"/>
    <n v="6500.3733333333339"/>
    <n v="2020"/>
    <x v="2"/>
  </r>
  <r>
    <x v="84"/>
    <n v="1000000104"/>
    <s v="借呗12期"/>
    <n v="1"/>
    <n v="1500.05"/>
    <s v="借呗"/>
    <x v="0"/>
    <x v="0"/>
    <x v="5"/>
    <s v="一组"/>
    <s v="合肥一组"/>
    <s v="普通员工"/>
    <n v="1500.05"/>
    <n v="2020"/>
    <x v="2"/>
  </r>
  <r>
    <x v="84"/>
    <n v="1000000237"/>
    <s v="借呗12期"/>
    <n v="1"/>
    <n v="15000.21"/>
    <s v="借呗"/>
    <x v="0"/>
    <x v="0"/>
    <x v="5"/>
    <s v="一组"/>
    <s v="合肥一组"/>
    <s v="普通员工"/>
    <n v="15000.21"/>
    <n v="2020"/>
    <x v="2"/>
  </r>
  <r>
    <x v="84"/>
    <n v="1000000266"/>
    <s v="借呗6期"/>
    <n v="1"/>
    <n v="7499.97"/>
    <s v="借呗"/>
    <x v="1"/>
    <x v="1"/>
    <x v="7"/>
    <s v="一组"/>
    <s v="重庆一组"/>
    <s v="普通员工"/>
    <n v="7499.97"/>
    <n v="2020"/>
    <x v="2"/>
  </r>
  <r>
    <x v="84"/>
    <n v="1000000594"/>
    <s v="借呗12期"/>
    <n v="2"/>
    <n v="10999.960000000001"/>
    <s v="借呗"/>
    <x v="0"/>
    <x v="0"/>
    <x v="1"/>
    <s v="二组"/>
    <s v="苏州二组"/>
    <s v="普通员工"/>
    <n v="5499.9800000000005"/>
    <n v="2020"/>
    <x v="2"/>
  </r>
  <r>
    <x v="84"/>
    <n v="1000000928"/>
    <s v="借呗6期"/>
    <n v="1"/>
    <n v="7499.95"/>
    <s v="借呗"/>
    <x v="1"/>
    <x v="1"/>
    <x v="8"/>
    <s v="一组"/>
    <s v="西安一组"/>
    <s v="普通员工"/>
    <n v="7499.95"/>
    <n v="2020"/>
    <x v="2"/>
  </r>
  <r>
    <x v="84"/>
    <n v="1000000928"/>
    <s v="借呗12期"/>
    <n v="1"/>
    <n v="22000.46"/>
    <s v="借呗"/>
    <x v="0"/>
    <x v="1"/>
    <x v="8"/>
    <s v="一组"/>
    <s v="西安一组"/>
    <s v="普通员工"/>
    <n v="22000.46"/>
    <n v="2020"/>
    <x v="2"/>
  </r>
  <r>
    <x v="84"/>
    <n v="1000001513"/>
    <s v="借呗6期"/>
    <n v="1"/>
    <n v="2120.0700000000002"/>
    <s v="借呗"/>
    <x v="1"/>
    <x v="0"/>
    <x v="3"/>
    <s v="二组"/>
    <s v="上海二组"/>
    <s v="普通员工"/>
    <n v="2120.0700000000002"/>
    <n v="2020"/>
    <x v="2"/>
  </r>
  <r>
    <x v="84"/>
    <n v="1000001524"/>
    <s v="借呗6期"/>
    <n v="1"/>
    <n v="18000.47"/>
    <s v="借呗"/>
    <x v="1"/>
    <x v="0"/>
    <x v="1"/>
    <s v="二组"/>
    <s v="苏州二组"/>
    <s v="普通员工"/>
    <n v="18000.47"/>
    <n v="2020"/>
    <x v="2"/>
  </r>
  <r>
    <x v="84"/>
    <n v="1000002861"/>
    <s v="借呗6期"/>
    <n v="1"/>
    <n v="6999.93"/>
    <s v="借呗"/>
    <x v="1"/>
    <x v="2"/>
    <x v="6"/>
    <s v="三组"/>
    <s v="广州三组"/>
    <s v="普通员工"/>
    <n v="6999.93"/>
    <n v="2020"/>
    <x v="2"/>
  </r>
  <r>
    <x v="84"/>
    <n v="1000002861"/>
    <s v="借呗12期"/>
    <n v="3"/>
    <n v="21201.52"/>
    <s v="借呗"/>
    <x v="0"/>
    <x v="2"/>
    <x v="6"/>
    <s v="三组"/>
    <s v="广州三组"/>
    <s v="普通员工"/>
    <n v="7067.1733333333332"/>
    <n v="2020"/>
    <x v="2"/>
  </r>
  <r>
    <x v="84"/>
    <n v="1000003489"/>
    <s v="借呗6期"/>
    <n v="1"/>
    <n v="18000.05"/>
    <s v="借呗"/>
    <x v="1"/>
    <x v="2"/>
    <x v="6"/>
    <s v="一组"/>
    <s v="广州一组"/>
    <s v="普通员工"/>
    <n v="18000.05"/>
    <n v="2020"/>
    <x v="2"/>
  </r>
  <r>
    <x v="84"/>
    <n v="1000003803"/>
    <s v="借呗12期"/>
    <n v="2"/>
    <n v="24000.5"/>
    <s v="借呗"/>
    <x v="0"/>
    <x v="1"/>
    <x v="2"/>
    <s v="三组"/>
    <s v="北京三组"/>
    <s v="普通员工"/>
    <n v="12000.25"/>
    <n v="2020"/>
    <x v="2"/>
  </r>
  <r>
    <x v="84"/>
    <n v="1000003926"/>
    <s v="借呗6期"/>
    <n v="3"/>
    <n v="36001.200000000004"/>
    <s v="借呗"/>
    <x v="1"/>
    <x v="2"/>
    <x v="6"/>
    <s v="一组"/>
    <s v="广州一组"/>
    <s v="管理人员"/>
    <n v="12000.400000000001"/>
    <n v="2020"/>
    <x v="2"/>
  </r>
  <r>
    <x v="84"/>
    <n v="1000003926"/>
    <s v="借呗12期"/>
    <n v="2"/>
    <n v="25000.7"/>
    <s v="借呗"/>
    <x v="0"/>
    <x v="2"/>
    <x v="6"/>
    <s v="一组"/>
    <s v="广州一组"/>
    <s v="管理人员"/>
    <n v="12500.35"/>
    <n v="2020"/>
    <x v="2"/>
  </r>
  <r>
    <x v="84"/>
    <n v="1000003989"/>
    <s v="借呗12期"/>
    <n v="1"/>
    <n v="20000.22"/>
    <s v="借呗"/>
    <x v="0"/>
    <x v="1"/>
    <x v="2"/>
    <s v="三组"/>
    <s v="北京三组"/>
    <s v="普通员工"/>
    <n v="20000.22"/>
    <n v="2020"/>
    <x v="2"/>
  </r>
  <r>
    <x v="84"/>
    <n v="1000004256"/>
    <s v="借呗18期"/>
    <n v="3"/>
    <n v="33662.29"/>
    <s v="借呗"/>
    <x v="2"/>
    <x v="0"/>
    <x v="5"/>
    <s v="一组"/>
    <s v="合肥一组"/>
    <s v="普通员工"/>
    <n v="11220.763333333334"/>
    <n v="2020"/>
    <x v="2"/>
  </r>
  <r>
    <x v="84"/>
    <n v="1000005873"/>
    <s v="借呗6期"/>
    <n v="1"/>
    <n v="7000.75"/>
    <s v="借呗"/>
    <x v="1"/>
    <x v="0"/>
    <x v="0"/>
    <s v="二组"/>
    <s v="杭州二组"/>
    <s v="管理人员"/>
    <n v="7000.75"/>
    <n v="2020"/>
    <x v="2"/>
  </r>
  <r>
    <x v="84"/>
    <n v="1000005873"/>
    <s v="借呗12期"/>
    <n v="1"/>
    <n v="15000.65"/>
    <s v="借呗"/>
    <x v="0"/>
    <x v="0"/>
    <x v="0"/>
    <s v="二组"/>
    <s v="杭州二组"/>
    <s v="管理人员"/>
    <n v="15000.65"/>
    <n v="2020"/>
    <x v="2"/>
  </r>
  <r>
    <x v="84"/>
    <n v="1000005873"/>
    <s v="借呗18期"/>
    <n v="1"/>
    <n v="13000.56"/>
    <s v="借呗"/>
    <x v="2"/>
    <x v="0"/>
    <x v="0"/>
    <s v="二组"/>
    <s v="杭州二组"/>
    <s v="管理人员"/>
    <n v="13000.56"/>
    <n v="2020"/>
    <x v="2"/>
  </r>
  <r>
    <x v="84"/>
    <n v="1000006064"/>
    <s v="借呗18期"/>
    <n v="3"/>
    <n v="36000.880000000005"/>
    <s v="借呗"/>
    <x v="2"/>
    <x v="0"/>
    <x v="5"/>
    <s v="一组"/>
    <s v="合肥一组"/>
    <s v="普通员工"/>
    <n v="12000.293333333335"/>
    <n v="2020"/>
    <x v="2"/>
  </r>
  <r>
    <x v="84"/>
    <n v="1000006698"/>
    <s v="借呗6期"/>
    <n v="1"/>
    <n v="10000.48"/>
    <s v="借呗"/>
    <x v="1"/>
    <x v="1"/>
    <x v="4"/>
    <s v="一组"/>
    <s v="成都一组"/>
    <s v="管理人员"/>
    <n v="10000.48"/>
    <n v="2020"/>
    <x v="2"/>
  </r>
  <r>
    <x v="84"/>
    <n v="1000006859"/>
    <s v="借呗6期"/>
    <n v="1"/>
    <n v="22000.7"/>
    <s v="借呗"/>
    <x v="1"/>
    <x v="0"/>
    <x v="10"/>
    <s v="一组"/>
    <s v="南京一组"/>
    <s v="普通员工"/>
    <n v="22000.7"/>
    <n v="2020"/>
    <x v="2"/>
  </r>
  <r>
    <x v="84"/>
    <n v="1000006859"/>
    <s v="借呗18期"/>
    <n v="1"/>
    <n v="5000.1899999999996"/>
    <s v="借呗"/>
    <x v="2"/>
    <x v="0"/>
    <x v="10"/>
    <s v="一组"/>
    <s v="南京一组"/>
    <s v="普通员工"/>
    <n v="5000.1899999999996"/>
    <n v="2020"/>
    <x v="2"/>
  </r>
  <r>
    <x v="84"/>
    <n v="1000006869"/>
    <s v="借呗12期"/>
    <n v="1"/>
    <n v="5000.01"/>
    <s v="借呗"/>
    <x v="0"/>
    <x v="0"/>
    <x v="10"/>
    <s v="一组"/>
    <s v="南京一组"/>
    <s v="普通员工"/>
    <n v="5000.01"/>
    <n v="2020"/>
    <x v="2"/>
  </r>
  <r>
    <x v="84"/>
    <n v="1000008228"/>
    <s v="借呗12期"/>
    <n v="1"/>
    <n v="7000.65"/>
    <s v="借呗"/>
    <x v="0"/>
    <x v="1"/>
    <x v="2"/>
    <s v="三组"/>
    <s v="北京三组"/>
    <s v="普通员工"/>
    <n v="7000.65"/>
    <n v="2020"/>
    <x v="2"/>
  </r>
  <r>
    <x v="84"/>
    <n v="1000008542"/>
    <s v="借呗6期"/>
    <n v="1"/>
    <n v="8000.63"/>
    <s v="借呗"/>
    <x v="1"/>
    <x v="0"/>
    <x v="5"/>
    <s v="一组"/>
    <s v="合肥一组"/>
    <s v="普通员工"/>
    <n v="8000.63"/>
    <n v="2020"/>
    <x v="2"/>
  </r>
  <r>
    <x v="84"/>
    <n v="1000008542"/>
    <s v="借呗18期"/>
    <n v="1"/>
    <n v="13000.64"/>
    <s v="借呗"/>
    <x v="2"/>
    <x v="0"/>
    <x v="5"/>
    <s v="一组"/>
    <s v="合肥一组"/>
    <s v="普通员工"/>
    <n v="13000.64"/>
    <n v="2020"/>
    <x v="2"/>
  </r>
  <r>
    <x v="84"/>
    <n v="1000010814"/>
    <s v="借呗12期"/>
    <n v="1"/>
    <n v="15000.52"/>
    <s v="借呗"/>
    <x v="0"/>
    <x v="0"/>
    <x v="10"/>
    <s v="四组"/>
    <s v="南京四组"/>
    <s v="普通员工"/>
    <n v="15000.52"/>
    <n v="2020"/>
    <x v="2"/>
  </r>
  <r>
    <x v="84"/>
    <n v="1000010837"/>
    <s v="借呗12期"/>
    <n v="1"/>
    <n v="12000.62"/>
    <s v="借呗"/>
    <x v="0"/>
    <x v="0"/>
    <x v="10"/>
    <s v="一组"/>
    <s v="南京一组"/>
    <s v="普通员工"/>
    <n v="12000.62"/>
    <n v="2020"/>
    <x v="2"/>
  </r>
  <r>
    <x v="84"/>
    <n v="1000010881"/>
    <s v="借呗6期"/>
    <n v="1"/>
    <n v="17999.97"/>
    <s v="借呗"/>
    <x v="1"/>
    <x v="2"/>
    <x v="6"/>
    <s v="一组"/>
    <s v="广州一组"/>
    <s v="普通员工"/>
    <n v="17999.97"/>
    <n v="2020"/>
    <x v="2"/>
  </r>
  <r>
    <x v="84"/>
    <n v="1000011697"/>
    <s v="借呗6期"/>
    <n v="1"/>
    <n v="15000.62"/>
    <s v="借呗"/>
    <x v="1"/>
    <x v="0"/>
    <x v="3"/>
    <s v="二组"/>
    <s v="上海二组"/>
    <s v="普通员工"/>
    <n v="15000.62"/>
    <n v="2020"/>
    <x v="2"/>
  </r>
  <r>
    <x v="84"/>
    <n v="1000011698"/>
    <s v="借呗6期"/>
    <n v="1"/>
    <n v="17000.850000000002"/>
    <s v="借呗"/>
    <x v="1"/>
    <x v="0"/>
    <x v="3"/>
    <s v="二组"/>
    <s v="上海二组"/>
    <s v="普通员工"/>
    <n v="17000.850000000002"/>
    <n v="2020"/>
    <x v="2"/>
  </r>
  <r>
    <x v="84"/>
    <n v="1000011698"/>
    <s v="借呗12期"/>
    <n v="2"/>
    <n v="23001.08"/>
    <s v="借呗"/>
    <x v="0"/>
    <x v="0"/>
    <x v="3"/>
    <s v="二组"/>
    <s v="上海二组"/>
    <s v="普通员工"/>
    <n v="11500.54"/>
    <n v="2020"/>
    <x v="2"/>
  </r>
  <r>
    <x v="84"/>
    <n v="1000011828"/>
    <s v="借呗12期"/>
    <n v="1"/>
    <n v="6000.24"/>
    <s v="借呗"/>
    <x v="0"/>
    <x v="0"/>
    <x v="0"/>
    <s v="二组"/>
    <s v="杭州二组"/>
    <s v="普通员工"/>
    <n v="6000.24"/>
    <n v="2020"/>
    <x v="2"/>
  </r>
  <r>
    <x v="84"/>
    <n v="1000012096"/>
    <s v="借呗12期"/>
    <n v="2"/>
    <n v="22000.489999999998"/>
    <s v="借呗"/>
    <x v="0"/>
    <x v="0"/>
    <x v="0"/>
    <s v="一组"/>
    <s v="杭州一组"/>
    <s v="普通员工"/>
    <n v="11000.244999999999"/>
    <n v="2020"/>
    <x v="2"/>
  </r>
  <r>
    <x v="84"/>
    <n v="1000012099"/>
    <s v="借呗12期"/>
    <n v="2"/>
    <n v="38001.050000000003"/>
    <s v="借呗"/>
    <x v="0"/>
    <x v="0"/>
    <x v="0"/>
    <s v="二组"/>
    <s v="杭州二组"/>
    <s v="普通员工"/>
    <n v="19000.525000000001"/>
    <n v="2020"/>
    <x v="2"/>
  </r>
  <r>
    <x v="84"/>
    <n v="1000012112"/>
    <s v="借呗6期"/>
    <n v="1"/>
    <n v="1063.98"/>
    <s v="借呗"/>
    <x v="1"/>
    <x v="0"/>
    <x v="0"/>
    <s v="三组"/>
    <s v="杭州三组"/>
    <s v="管理人员"/>
    <n v="1063.98"/>
    <n v="2020"/>
    <x v="2"/>
  </r>
  <r>
    <x v="84"/>
    <n v="1000012124"/>
    <s v="借呗6期"/>
    <n v="1"/>
    <n v="11000.21"/>
    <s v="借呗"/>
    <x v="1"/>
    <x v="0"/>
    <x v="0"/>
    <s v="一组"/>
    <s v="杭州一组"/>
    <s v="普通员工"/>
    <n v="11000.21"/>
    <n v="2020"/>
    <x v="2"/>
  </r>
  <r>
    <x v="84"/>
    <n v="1000012446"/>
    <s v="借呗12期"/>
    <n v="1"/>
    <n v="18000.52"/>
    <s v="借呗"/>
    <x v="0"/>
    <x v="1"/>
    <x v="2"/>
    <s v="三组"/>
    <s v="北京三组"/>
    <s v="普通员工"/>
    <n v="18000.52"/>
    <n v="2020"/>
    <x v="2"/>
  </r>
  <r>
    <x v="84"/>
    <n v="1000012675"/>
    <s v="借呗6期"/>
    <n v="5"/>
    <n v="53002.28"/>
    <s v="借呗"/>
    <x v="1"/>
    <x v="0"/>
    <x v="3"/>
    <s v="一组"/>
    <s v="上海一组"/>
    <s v="普通员工"/>
    <n v="10600.456"/>
    <n v="2020"/>
    <x v="2"/>
  </r>
  <r>
    <x v="84"/>
    <n v="1000012675"/>
    <s v="借呗18期"/>
    <n v="1"/>
    <n v="12000.69"/>
    <s v="借呗"/>
    <x v="2"/>
    <x v="0"/>
    <x v="3"/>
    <s v="一组"/>
    <s v="上海一组"/>
    <s v="普通员工"/>
    <n v="12000.69"/>
    <n v="2020"/>
    <x v="2"/>
  </r>
  <r>
    <x v="84"/>
    <n v="1000013526"/>
    <s v="借呗6期"/>
    <n v="2"/>
    <n v="9500.6200000000008"/>
    <s v="借呗"/>
    <x v="1"/>
    <x v="2"/>
    <x v="11"/>
    <s v="一组"/>
    <s v="南宁一组"/>
    <s v="普通员工"/>
    <n v="4750.3100000000004"/>
    <n v="2020"/>
    <x v="2"/>
  </r>
  <r>
    <x v="84"/>
    <n v="1000013526"/>
    <s v="借呗18期"/>
    <n v="1"/>
    <n v="13000.75"/>
    <s v="借呗"/>
    <x v="2"/>
    <x v="2"/>
    <x v="11"/>
    <s v="一组"/>
    <s v="南宁一组"/>
    <s v="普通员工"/>
    <n v="13000.75"/>
    <n v="2020"/>
    <x v="2"/>
  </r>
  <r>
    <x v="84"/>
    <n v="1000013607"/>
    <s v="借呗12期"/>
    <n v="1"/>
    <n v="20000.05"/>
    <s v="借呗"/>
    <x v="0"/>
    <x v="0"/>
    <x v="1"/>
    <s v="一组"/>
    <s v="苏州一组"/>
    <s v="普通员工"/>
    <n v="20000.05"/>
    <n v="2020"/>
    <x v="2"/>
  </r>
  <r>
    <x v="84"/>
    <n v="1000014273"/>
    <s v="借呗12期"/>
    <n v="1"/>
    <n v="25000.7"/>
    <s v="借呗"/>
    <x v="0"/>
    <x v="0"/>
    <x v="0"/>
    <s v="二组"/>
    <s v="杭州二组"/>
    <s v="普通员工"/>
    <n v="25000.7"/>
    <n v="2020"/>
    <x v="2"/>
  </r>
  <r>
    <x v="84"/>
    <n v="1000014291"/>
    <s v="借呗6期"/>
    <n v="3"/>
    <n v="30001.149999999998"/>
    <s v="借呗"/>
    <x v="1"/>
    <x v="2"/>
    <x v="6"/>
    <s v="二组"/>
    <s v="广州二组"/>
    <s v="管理人员"/>
    <n v="10000.383333333333"/>
    <n v="2020"/>
    <x v="2"/>
  </r>
  <r>
    <x v="84"/>
    <n v="1000014452"/>
    <s v="借呗6期"/>
    <n v="2"/>
    <n v="13500.81"/>
    <s v="借呗"/>
    <x v="1"/>
    <x v="0"/>
    <x v="3"/>
    <s v="三组"/>
    <s v="上海三组"/>
    <s v="普通员工"/>
    <n v="6750.4049999999997"/>
    <n v="2020"/>
    <x v="2"/>
  </r>
  <r>
    <x v="84"/>
    <n v="1000014530"/>
    <s v="借呗12期"/>
    <n v="2"/>
    <n v="35000.370000000003"/>
    <s v="借呗"/>
    <x v="0"/>
    <x v="2"/>
    <x v="11"/>
    <s v="一组"/>
    <s v="南宁一组"/>
    <s v="普通员工"/>
    <n v="17500.185000000001"/>
    <n v="2020"/>
    <x v="2"/>
  </r>
  <r>
    <x v="84"/>
    <n v="1000014572"/>
    <s v="借呗6期"/>
    <n v="2"/>
    <n v="10000.290000000001"/>
    <s v="借呗"/>
    <x v="1"/>
    <x v="0"/>
    <x v="3"/>
    <s v="一组"/>
    <s v="上海一组"/>
    <s v="普通员工"/>
    <n v="5000.1450000000004"/>
    <n v="2020"/>
    <x v="2"/>
  </r>
  <r>
    <x v="84"/>
    <n v="1000014572"/>
    <s v="借呗12期"/>
    <n v="1"/>
    <n v="6999.98"/>
    <s v="借呗"/>
    <x v="0"/>
    <x v="0"/>
    <x v="3"/>
    <s v="一组"/>
    <s v="上海一组"/>
    <s v="普通员工"/>
    <n v="6999.98"/>
    <n v="2020"/>
    <x v="2"/>
  </r>
  <r>
    <x v="84"/>
    <n v="1000014588"/>
    <s v="借呗12期"/>
    <n v="1"/>
    <n v="7000.35"/>
    <s v="借呗"/>
    <x v="0"/>
    <x v="0"/>
    <x v="5"/>
    <s v="二组"/>
    <s v="合肥二组"/>
    <s v="普通员工"/>
    <n v="7000.35"/>
    <n v="2020"/>
    <x v="2"/>
  </r>
  <r>
    <x v="84"/>
    <n v="1000014588"/>
    <s v="借呗18期"/>
    <n v="2"/>
    <n v="22500.67"/>
    <s v="借呗"/>
    <x v="2"/>
    <x v="0"/>
    <x v="5"/>
    <s v="二组"/>
    <s v="合肥二组"/>
    <s v="普通员工"/>
    <n v="11250.334999999999"/>
    <n v="2020"/>
    <x v="2"/>
  </r>
  <r>
    <x v="84"/>
    <n v="1000014879"/>
    <s v="借呗6期"/>
    <n v="1"/>
    <n v="20000.3"/>
    <s v="借呗"/>
    <x v="1"/>
    <x v="0"/>
    <x v="5"/>
    <s v="一组"/>
    <s v="合肥一组"/>
    <s v="普通员工"/>
    <n v="20000.3"/>
    <n v="2020"/>
    <x v="2"/>
  </r>
  <r>
    <x v="84"/>
    <n v="1000014879"/>
    <s v="借呗12期"/>
    <n v="1"/>
    <n v="22000.560000000001"/>
    <s v="借呗"/>
    <x v="0"/>
    <x v="0"/>
    <x v="5"/>
    <s v="一组"/>
    <s v="合肥一组"/>
    <s v="普通员工"/>
    <n v="22000.560000000001"/>
    <n v="2020"/>
    <x v="2"/>
  </r>
  <r>
    <x v="84"/>
    <n v="1000014996"/>
    <s v="借呗12期"/>
    <n v="2"/>
    <n v="25000.720000000001"/>
    <s v="借呗"/>
    <x v="0"/>
    <x v="1"/>
    <x v="8"/>
    <s v="一组"/>
    <s v="西安一组"/>
    <s v="普通员工"/>
    <n v="12500.36"/>
    <n v="2020"/>
    <x v="2"/>
  </r>
  <r>
    <x v="84"/>
    <n v="1000015015"/>
    <s v="借呗12期"/>
    <n v="1"/>
    <n v="3000.13"/>
    <s v="借呗"/>
    <x v="0"/>
    <x v="0"/>
    <x v="10"/>
    <s v="一组"/>
    <s v="南京一组"/>
    <s v="普通员工"/>
    <n v="3000.13"/>
    <n v="2020"/>
    <x v="2"/>
  </r>
  <r>
    <x v="84"/>
    <n v="1000015015"/>
    <s v="借呗18期"/>
    <n v="1"/>
    <n v="22000.45"/>
    <s v="借呗"/>
    <x v="2"/>
    <x v="0"/>
    <x v="10"/>
    <s v="一组"/>
    <s v="南京一组"/>
    <s v="普通员工"/>
    <n v="22000.45"/>
    <n v="2020"/>
    <x v="2"/>
  </r>
  <r>
    <x v="84"/>
    <n v="1000015133"/>
    <s v="借呗12期"/>
    <n v="1"/>
    <n v="17000.68"/>
    <s v="借呗"/>
    <x v="0"/>
    <x v="1"/>
    <x v="2"/>
    <s v="三组"/>
    <s v="北京三组"/>
    <s v="普通员工"/>
    <n v="17000.68"/>
    <n v="2020"/>
    <x v="2"/>
  </r>
  <r>
    <x v="84"/>
    <n v="1000015203"/>
    <s v="借呗12期"/>
    <n v="2"/>
    <n v="23500.23"/>
    <s v="借呗"/>
    <x v="0"/>
    <x v="2"/>
    <x v="11"/>
    <s v="一组"/>
    <s v="南宁一组"/>
    <s v="普通员工"/>
    <n v="11750.115"/>
    <n v="2020"/>
    <x v="2"/>
  </r>
  <r>
    <x v="84"/>
    <n v="1000015788"/>
    <s v="借呗6期"/>
    <n v="1"/>
    <n v="5000.08"/>
    <s v="借呗"/>
    <x v="1"/>
    <x v="1"/>
    <x v="2"/>
    <s v="三组"/>
    <s v="北京三组"/>
    <s v="普通员工"/>
    <n v="5000.08"/>
    <n v="2020"/>
    <x v="2"/>
  </r>
  <r>
    <x v="84"/>
    <n v="1000017576"/>
    <s v="借呗12期"/>
    <n v="4"/>
    <n v="58001.250000000007"/>
    <s v="借呗"/>
    <x v="0"/>
    <x v="0"/>
    <x v="0"/>
    <s v="三组"/>
    <s v="杭州三组"/>
    <s v="普通员工"/>
    <n v="14500.312500000002"/>
    <n v="2020"/>
    <x v="2"/>
  </r>
  <r>
    <x v="84"/>
    <n v="1000017688"/>
    <s v="借呗6期"/>
    <n v="1"/>
    <n v="13000.22"/>
    <s v="借呗"/>
    <x v="1"/>
    <x v="2"/>
    <x v="6"/>
    <s v="三组"/>
    <s v="广州三组"/>
    <s v="普通员工"/>
    <n v="13000.22"/>
    <n v="2020"/>
    <x v="2"/>
  </r>
  <r>
    <x v="84"/>
    <n v="1000017700"/>
    <s v="借呗12期"/>
    <n v="1"/>
    <n v="16000.22"/>
    <s v="借呗"/>
    <x v="0"/>
    <x v="2"/>
    <x v="11"/>
    <s v="一组"/>
    <s v="南宁一组"/>
    <s v="普通员工"/>
    <n v="16000.22"/>
    <n v="2020"/>
    <x v="2"/>
  </r>
  <r>
    <x v="84"/>
    <n v="1000017700"/>
    <s v="借呗18期"/>
    <n v="1"/>
    <n v="12000.17"/>
    <s v="借呗"/>
    <x v="2"/>
    <x v="2"/>
    <x v="11"/>
    <s v="一组"/>
    <s v="南宁一组"/>
    <s v="普通员工"/>
    <n v="12000.17"/>
    <n v="2020"/>
    <x v="2"/>
  </r>
  <r>
    <x v="84"/>
    <n v="1000018132"/>
    <s v="借呗6期"/>
    <n v="1"/>
    <n v="8000.16"/>
    <s v="借呗"/>
    <x v="1"/>
    <x v="2"/>
    <x v="11"/>
    <s v="一组"/>
    <s v="南宁一组"/>
    <s v="普通员工"/>
    <n v="8000.16"/>
    <n v="2020"/>
    <x v="2"/>
  </r>
  <r>
    <x v="84"/>
    <n v="1000018132"/>
    <s v="借呗12期"/>
    <n v="2"/>
    <n v="35000.9"/>
    <s v="借呗"/>
    <x v="0"/>
    <x v="2"/>
    <x v="11"/>
    <s v="一组"/>
    <s v="南宁一组"/>
    <s v="普通员工"/>
    <n v="17500.45"/>
    <n v="2020"/>
    <x v="2"/>
  </r>
  <r>
    <x v="84"/>
    <n v="1000018134"/>
    <s v="借呗6期"/>
    <n v="1"/>
    <n v="16000.2"/>
    <s v="借呗"/>
    <x v="1"/>
    <x v="0"/>
    <x v="5"/>
    <s v="一组"/>
    <s v="合肥一组"/>
    <s v="普通员工"/>
    <n v="16000.2"/>
    <n v="2020"/>
    <x v="2"/>
  </r>
  <r>
    <x v="84"/>
    <n v="1000020084"/>
    <s v="借呗12期"/>
    <n v="1"/>
    <n v="22000.54"/>
    <s v="借呗"/>
    <x v="0"/>
    <x v="2"/>
    <x v="9"/>
    <s v="一组"/>
    <s v="深圳一组"/>
    <s v="普通员工"/>
    <n v="22000.54"/>
    <n v="2020"/>
    <x v="2"/>
  </r>
  <r>
    <x v="85"/>
    <n v="1000000029"/>
    <s v="借呗9期"/>
    <n v="1"/>
    <n v="3000.3"/>
    <s v="借呗"/>
    <x v="3"/>
    <x v="0"/>
    <x v="0"/>
    <s v="二组"/>
    <s v="杭州二组"/>
    <s v="普通员工"/>
    <n v="3000.3"/>
    <n v="2020"/>
    <x v="2"/>
  </r>
  <r>
    <x v="85"/>
    <n v="1000000030"/>
    <s v="借呗6期"/>
    <n v="2"/>
    <n v="6501.05"/>
    <s v="借呗"/>
    <x v="1"/>
    <x v="2"/>
    <x v="6"/>
    <s v="三组"/>
    <s v="广州三组"/>
    <s v="普通员工"/>
    <n v="3250.5250000000001"/>
    <n v="2020"/>
    <x v="2"/>
  </r>
  <r>
    <x v="85"/>
    <n v="1000000030"/>
    <s v="借呗12期"/>
    <n v="1"/>
    <n v="30000.69"/>
    <s v="借呗"/>
    <x v="0"/>
    <x v="2"/>
    <x v="6"/>
    <s v="三组"/>
    <s v="广州三组"/>
    <s v="普通员工"/>
    <n v="30000.69"/>
    <n v="2020"/>
    <x v="2"/>
  </r>
  <r>
    <x v="85"/>
    <n v="1000000030"/>
    <s v="借呗18期"/>
    <n v="1"/>
    <n v="13000.52"/>
    <s v="借呗"/>
    <x v="2"/>
    <x v="2"/>
    <x v="6"/>
    <s v="三组"/>
    <s v="广州三组"/>
    <s v="普通员工"/>
    <n v="13000.52"/>
    <n v="2020"/>
    <x v="2"/>
  </r>
  <r>
    <x v="85"/>
    <n v="1000000031"/>
    <s v="借呗6期"/>
    <n v="2"/>
    <n v="24001.27"/>
    <s v="借呗"/>
    <x v="1"/>
    <x v="0"/>
    <x v="0"/>
    <s v="一组"/>
    <s v="杭州一组"/>
    <s v="管理人员"/>
    <n v="12000.635"/>
    <n v="2020"/>
    <x v="2"/>
  </r>
  <r>
    <x v="85"/>
    <n v="1000000031"/>
    <s v="借呗12期"/>
    <n v="1"/>
    <n v="500.28"/>
    <s v="借呗"/>
    <x v="0"/>
    <x v="0"/>
    <x v="0"/>
    <s v="一组"/>
    <s v="杭州一组"/>
    <s v="管理人员"/>
    <n v="500.28"/>
    <n v="2020"/>
    <x v="2"/>
  </r>
  <r>
    <x v="85"/>
    <n v="1000000032"/>
    <s v="借呗6期"/>
    <n v="2"/>
    <n v="36001.43"/>
    <s v="借呗"/>
    <x v="1"/>
    <x v="0"/>
    <x v="1"/>
    <s v="一组"/>
    <s v="苏州一组"/>
    <s v="管理人员"/>
    <n v="18000.715"/>
    <n v="2020"/>
    <x v="2"/>
  </r>
  <r>
    <x v="85"/>
    <n v="1000000032"/>
    <s v="借呗18期"/>
    <n v="1"/>
    <n v="7999.96"/>
    <s v="借呗"/>
    <x v="2"/>
    <x v="0"/>
    <x v="1"/>
    <s v="一组"/>
    <s v="苏州一组"/>
    <s v="管理人员"/>
    <n v="7999.96"/>
    <n v="2020"/>
    <x v="2"/>
  </r>
  <r>
    <x v="85"/>
    <n v="1000000033"/>
    <s v="借呗3期"/>
    <n v="1"/>
    <n v="999.93"/>
    <s v="借呗"/>
    <x v="4"/>
    <x v="0"/>
    <x v="1"/>
    <s v="一组"/>
    <s v="苏州一组"/>
    <s v="普通员工"/>
    <n v="999.93"/>
    <n v="2020"/>
    <x v="2"/>
  </r>
  <r>
    <x v="85"/>
    <n v="1000000033"/>
    <s v="借呗6期"/>
    <n v="1"/>
    <n v="10000.76"/>
    <s v="借呗"/>
    <x v="1"/>
    <x v="0"/>
    <x v="1"/>
    <s v="一组"/>
    <s v="苏州一组"/>
    <s v="普通员工"/>
    <n v="10000.76"/>
    <n v="2020"/>
    <x v="2"/>
  </r>
  <r>
    <x v="85"/>
    <n v="1000000034"/>
    <s v="借呗6期"/>
    <n v="3"/>
    <n v="29001.39"/>
    <s v="借呗"/>
    <x v="1"/>
    <x v="0"/>
    <x v="1"/>
    <s v="一组"/>
    <s v="苏州一组"/>
    <s v="普通员工"/>
    <n v="9667.1299999999992"/>
    <n v="2020"/>
    <x v="2"/>
  </r>
  <r>
    <x v="85"/>
    <n v="1000000036"/>
    <s v="借呗6期"/>
    <n v="2"/>
    <n v="17001.09"/>
    <s v="借呗"/>
    <x v="1"/>
    <x v="2"/>
    <x v="6"/>
    <s v="三组"/>
    <s v="广州三组"/>
    <s v="管理人员"/>
    <n v="8500.5450000000001"/>
    <n v="2020"/>
    <x v="2"/>
  </r>
  <r>
    <x v="85"/>
    <n v="1000000039"/>
    <s v="借呗6期"/>
    <n v="1"/>
    <n v="6499.93"/>
    <s v="借呗"/>
    <x v="1"/>
    <x v="0"/>
    <x v="1"/>
    <s v="二组"/>
    <s v="苏州二组"/>
    <s v="管理人员"/>
    <n v="6499.93"/>
    <n v="2020"/>
    <x v="2"/>
  </r>
  <r>
    <x v="85"/>
    <n v="1000000039"/>
    <s v="借呗12期"/>
    <n v="2"/>
    <n v="17512.100000000002"/>
    <s v="借呗"/>
    <x v="0"/>
    <x v="0"/>
    <x v="1"/>
    <s v="二组"/>
    <s v="苏州二组"/>
    <s v="管理人员"/>
    <n v="8756.0500000000011"/>
    <n v="2020"/>
    <x v="2"/>
  </r>
  <r>
    <x v="85"/>
    <n v="1000000040"/>
    <s v="借呗6期"/>
    <n v="1"/>
    <n v="16000.23"/>
    <s v="借呗"/>
    <x v="1"/>
    <x v="1"/>
    <x v="2"/>
    <s v="四组"/>
    <s v="北京四组"/>
    <s v="管理人员"/>
    <n v="16000.23"/>
    <n v="2020"/>
    <x v="2"/>
  </r>
  <r>
    <x v="85"/>
    <n v="1000000041"/>
    <s v="借呗6期"/>
    <n v="2"/>
    <n v="8000.5300000000007"/>
    <s v="借呗"/>
    <x v="1"/>
    <x v="1"/>
    <x v="2"/>
    <s v="四组"/>
    <s v="北京四组"/>
    <s v="普通员工"/>
    <n v="4000.2650000000003"/>
    <n v="2020"/>
    <x v="2"/>
  </r>
  <r>
    <x v="85"/>
    <n v="1000000041"/>
    <s v="借呗12期"/>
    <n v="1"/>
    <n v="3300.12"/>
    <s v="借呗"/>
    <x v="0"/>
    <x v="1"/>
    <x v="2"/>
    <s v="四组"/>
    <s v="北京四组"/>
    <s v="普通员工"/>
    <n v="3300.12"/>
    <n v="2020"/>
    <x v="2"/>
  </r>
  <r>
    <x v="85"/>
    <n v="1000000043"/>
    <s v="借呗6期"/>
    <n v="1"/>
    <n v="6000.12"/>
    <s v="借呗"/>
    <x v="1"/>
    <x v="1"/>
    <x v="4"/>
    <s v="一组"/>
    <s v="成都一组"/>
    <s v="普通员工"/>
    <n v="6000.12"/>
    <n v="2020"/>
    <x v="2"/>
  </r>
  <r>
    <x v="85"/>
    <n v="1000000043"/>
    <s v="借呗9期"/>
    <n v="1"/>
    <n v="957.26"/>
    <s v="借呗"/>
    <x v="3"/>
    <x v="1"/>
    <x v="4"/>
    <s v="一组"/>
    <s v="成都一组"/>
    <s v="普通员工"/>
    <n v="957.26"/>
    <n v="2020"/>
    <x v="2"/>
  </r>
  <r>
    <x v="85"/>
    <n v="1000000044"/>
    <s v="借呗6期"/>
    <n v="1"/>
    <n v="10000.74"/>
    <s v="借呗"/>
    <x v="1"/>
    <x v="1"/>
    <x v="2"/>
    <s v="三组"/>
    <s v="北京三组"/>
    <s v="管理人员"/>
    <n v="10000.74"/>
    <n v="2020"/>
    <x v="2"/>
  </r>
  <r>
    <x v="85"/>
    <n v="1000000045"/>
    <s v="借呗6期"/>
    <n v="4"/>
    <n v="20843.89"/>
    <s v="借呗"/>
    <x v="1"/>
    <x v="2"/>
    <x v="9"/>
    <s v="一组"/>
    <s v="深圳一组"/>
    <s v="普通员工"/>
    <n v="5210.9724999999999"/>
    <n v="2020"/>
    <x v="2"/>
  </r>
  <r>
    <x v="85"/>
    <n v="1000000045"/>
    <s v="借呗12期"/>
    <n v="1"/>
    <n v="17000.43"/>
    <s v="借呗"/>
    <x v="0"/>
    <x v="2"/>
    <x v="9"/>
    <s v="一组"/>
    <s v="深圳一组"/>
    <s v="普通员工"/>
    <n v="17000.43"/>
    <n v="2020"/>
    <x v="2"/>
  </r>
  <r>
    <x v="85"/>
    <n v="1000000046"/>
    <s v="借呗6期"/>
    <n v="3"/>
    <n v="15201.869999999999"/>
    <s v="借呗"/>
    <x v="1"/>
    <x v="1"/>
    <x v="4"/>
    <s v="一组"/>
    <s v="成都一组"/>
    <s v="普通员工"/>
    <n v="5067.29"/>
    <n v="2020"/>
    <x v="2"/>
  </r>
  <r>
    <x v="85"/>
    <n v="1000000054"/>
    <s v="借呗6期"/>
    <n v="1"/>
    <n v="13999.99"/>
    <s v="借呗"/>
    <x v="1"/>
    <x v="0"/>
    <x v="3"/>
    <s v="一组"/>
    <s v="上海一组"/>
    <s v="普通员工"/>
    <n v="13999.99"/>
    <n v="2020"/>
    <x v="2"/>
  </r>
  <r>
    <x v="85"/>
    <n v="1000000054"/>
    <s v="借呗12期"/>
    <n v="2"/>
    <n v="25000.5"/>
    <s v="借呗"/>
    <x v="0"/>
    <x v="0"/>
    <x v="3"/>
    <s v="一组"/>
    <s v="上海一组"/>
    <s v="普通员工"/>
    <n v="12500.25"/>
    <n v="2020"/>
    <x v="2"/>
  </r>
  <r>
    <x v="85"/>
    <n v="1000000056"/>
    <s v="借呗6期"/>
    <n v="3"/>
    <n v="18000.400000000001"/>
    <s v="借呗"/>
    <x v="1"/>
    <x v="0"/>
    <x v="3"/>
    <s v="一组"/>
    <s v="上海一组"/>
    <s v="管理人员"/>
    <n v="6000.1333333333341"/>
    <n v="2020"/>
    <x v="2"/>
  </r>
  <r>
    <x v="85"/>
    <n v="1000000056"/>
    <s v="借呗12期"/>
    <n v="2"/>
    <n v="24000.75"/>
    <s v="借呗"/>
    <x v="0"/>
    <x v="0"/>
    <x v="3"/>
    <s v="一组"/>
    <s v="上海一组"/>
    <s v="管理人员"/>
    <n v="12000.375"/>
    <n v="2020"/>
    <x v="2"/>
  </r>
  <r>
    <x v="85"/>
    <n v="1000000056"/>
    <s v="借呗18期"/>
    <n v="2"/>
    <n v="38000.850000000006"/>
    <s v="借呗"/>
    <x v="2"/>
    <x v="0"/>
    <x v="3"/>
    <s v="一组"/>
    <s v="上海一组"/>
    <s v="管理人员"/>
    <n v="19000.425000000003"/>
    <n v="2020"/>
    <x v="2"/>
  </r>
  <r>
    <x v="85"/>
    <n v="1000000067"/>
    <s v="借呗6期"/>
    <n v="2"/>
    <n v="13350.01"/>
    <s v="借呗"/>
    <x v="1"/>
    <x v="0"/>
    <x v="1"/>
    <s v="二组"/>
    <s v="苏州二组"/>
    <s v="普通员工"/>
    <n v="6675.0050000000001"/>
    <n v="2020"/>
    <x v="2"/>
  </r>
  <r>
    <x v="85"/>
    <n v="1000000067"/>
    <s v="借呗12期"/>
    <n v="1"/>
    <n v="10000.52"/>
    <s v="借呗"/>
    <x v="0"/>
    <x v="0"/>
    <x v="1"/>
    <s v="二组"/>
    <s v="苏州二组"/>
    <s v="普通员工"/>
    <n v="10000.52"/>
    <n v="2020"/>
    <x v="2"/>
  </r>
  <r>
    <x v="85"/>
    <n v="1000000068"/>
    <s v="花呗6期"/>
    <n v="1"/>
    <n v="138.93"/>
    <s v="花呗"/>
    <x v="1"/>
    <x v="1"/>
    <x v="7"/>
    <s v="一组"/>
    <s v="重庆一组"/>
    <s v="管理人员"/>
    <n v="138.93"/>
    <n v="2020"/>
    <x v="2"/>
  </r>
  <r>
    <x v="85"/>
    <n v="1000000068"/>
    <s v="借呗6期"/>
    <n v="2"/>
    <n v="18201.12"/>
    <s v="借呗"/>
    <x v="1"/>
    <x v="1"/>
    <x v="7"/>
    <s v="一组"/>
    <s v="重庆一组"/>
    <s v="管理人员"/>
    <n v="9100.56"/>
    <n v="2020"/>
    <x v="2"/>
  </r>
  <r>
    <x v="85"/>
    <n v="1000000068"/>
    <s v="借呗12期"/>
    <n v="1"/>
    <n v="10000.34"/>
    <s v="借呗"/>
    <x v="0"/>
    <x v="1"/>
    <x v="7"/>
    <s v="一组"/>
    <s v="重庆一组"/>
    <s v="管理人员"/>
    <n v="10000.34"/>
    <n v="2020"/>
    <x v="2"/>
  </r>
  <r>
    <x v="85"/>
    <n v="1000000237"/>
    <s v="借呗6期"/>
    <n v="1"/>
    <n v="10999.99"/>
    <s v="借呗"/>
    <x v="1"/>
    <x v="0"/>
    <x v="5"/>
    <s v="一组"/>
    <s v="合肥一组"/>
    <s v="普通员工"/>
    <n v="10999.99"/>
    <n v="2020"/>
    <x v="2"/>
  </r>
  <r>
    <x v="85"/>
    <n v="1000000266"/>
    <s v="借呗12期"/>
    <n v="1"/>
    <n v="6999.97"/>
    <s v="借呗"/>
    <x v="0"/>
    <x v="1"/>
    <x v="7"/>
    <s v="一组"/>
    <s v="重庆一组"/>
    <s v="普通员工"/>
    <n v="6999.97"/>
    <n v="2020"/>
    <x v="2"/>
  </r>
  <r>
    <x v="85"/>
    <n v="1000000566"/>
    <s v="借呗3期"/>
    <n v="1"/>
    <n v="1978.29"/>
    <s v="借呗"/>
    <x v="4"/>
    <x v="2"/>
    <x v="6"/>
    <s v="三组"/>
    <s v="广州三组"/>
    <s v="普通员工"/>
    <n v="1978.29"/>
    <n v="2020"/>
    <x v="2"/>
  </r>
  <r>
    <x v="85"/>
    <n v="1000000566"/>
    <s v="借呗6期"/>
    <n v="1"/>
    <n v="7500.18"/>
    <s v="借呗"/>
    <x v="1"/>
    <x v="2"/>
    <x v="6"/>
    <s v="三组"/>
    <s v="广州三组"/>
    <s v="普通员工"/>
    <n v="7500.18"/>
    <n v="2020"/>
    <x v="2"/>
  </r>
  <r>
    <x v="85"/>
    <n v="1000000566"/>
    <s v="借呗12期"/>
    <n v="1"/>
    <n v="6000.45"/>
    <s v="借呗"/>
    <x v="0"/>
    <x v="2"/>
    <x v="6"/>
    <s v="三组"/>
    <s v="广州三组"/>
    <s v="普通员工"/>
    <n v="6000.45"/>
    <n v="2020"/>
    <x v="2"/>
  </r>
  <r>
    <x v="85"/>
    <n v="1000000566"/>
    <s v="借呗18期"/>
    <n v="2"/>
    <n v="41000.36"/>
    <s v="借呗"/>
    <x v="2"/>
    <x v="2"/>
    <x v="6"/>
    <s v="三组"/>
    <s v="广州三组"/>
    <s v="普通员工"/>
    <n v="20500.18"/>
    <n v="2020"/>
    <x v="2"/>
  </r>
  <r>
    <x v="85"/>
    <n v="1000000576"/>
    <s v="借呗18期"/>
    <n v="1"/>
    <n v="2247.67"/>
    <s v="借呗"/>
    <x v="2"/>
    <x v="0"/>
    <x v="1"/>
    <s v="三组"/>
    <s v="苏州三组"/>
    <s v="普通员工"/>
    <n v="2247.67"/>
    <n v="2020"/>
    <x v="2"/>
  </r>
  <r>
    <x v="85"/>
    <n v="1000000594"/>
    <s v="借呗12期"/>
    <n v="2"/>
    <n v="29001.120000000003"/>
    <s v="借呗"/>
    <x v="0"/>
    <x v="0"/>
    <x v="1"/>
    <s v="二组"/>
    <s v="苏州二组"/>
    <s v="普通员工"/>
    <n v="14500.560000000001"/>
    <n v="2020"/>
    <x v="2"/>
  </r>
  <r>
    <x v="85"/>
    <n v="1000000594"/>
    <s v="借呗18期"/>
    <n v="1"/>
    <n v="1187.69"/>
    <s v="借呗"/>
    <x v="2"/>
    <x v="0"/>
    <x v="1"/>
    <s v="二组"/>
    <s v="苏州二组"/>
    <s v="普通员工"/>
    <n v="1187.69"/>
    <n v="2020"/>
    <x v="2"/>
  </r>
  <r>
    <x v="85"/>
    <n v="1000001524"/>
    <s v="借呗12期"/>
    <n v="1"/>
    <n v="5000.53"/>
    <s v="借呗"/>
    <x v="0"/>
    <x v="0"/>
    <x v="1"/>
    <s v="二组"/>
    <s v="苏州二组"/>
    <s v="普通员工"/>
    <n v="5000.53"/>
    <n v="2020"/>
    <x v="2"/>
  </r>
  <r>
    <x v="85"/>
    <n v="1000002861"/>
    <s v="借呗6期"/>
    <n v="1"/>
    <n v="10000.44"/>
    <s v="借呗"/>
    <x v="1"/>
    <x v="2"/>
    <x v="6"/>
    <s v="三组"/>
    <s v="广州三组"/>
    <s v="普通员工"/>
    <n v="10000.44"/>
    <n v="2020"/>
    <x v="2"/>
  </r>
  <r>
    <x v="85"/>
    <n v="1000002861"/>
    <s v="借呗18期"/>
    <n v="1"/>
    <n v="22000.080000000002"/>
    <s v="借呗"/>
    <x v="2"/>
    <x v="2"/>
    <x v="6"/>
    <s v="三组"/>
    <s v="广州三组"/>
    <s v="普通员工"/>
    <n v="22000.080000000002"/>
    <n v="2020"/>
    <x v="2"/>
  </r>
  <r>
    <x v="85"/>
    <n v="1000003489"/>
    <s v="借呗6期"/>
    <n v="1"/>
    <n v="1021.68"/>
    <s v="借呗"/>
    <x v="1"/>
    <x v="2"/>
    <x v="6"/>
    <s v="一组"/>
    <s v="广州一组"/>
    <s v="普通员工"/>
    <n v="1021.68"/>
    <n v="2020"/>
    <x v="2"/>
  </r>
  <r>
    <x v="85"/>
    <n v="1000003926"/>
    <s v="借呗6期"/>
    <n v="2"/>
    <n v="39000.399999999994"/>
    <s v="借呗"/>
    <x v="1"/>
    <x v="2"/>
    <x v="6"/>
    <s v="一组"/>
    <s v="广州一组"/>
    <s v="管理人员"/>
    <n v="19500.199999999997"/>
    <n v="2020"/>
    <x v="2"/>
  </r>
  <r>
    <x v="85"/>
    <n v="1000004170"/>
    <s v="借呗6期"/>
    <n v="1"/>
    <n v="20000.740000000002"/>
    <s v="借呗"/>
    <x v="1"/>
    <x v="0"/>
    <x v="3"/>
    <s v="二组"/>
    <s v="上海二组"/>
    <s v="管理人员"/>
    <n v="20000.740000000002"/>
    <n v="2020"/>
    <x v="2"/>
  </r>
  <r>
    <x v="85"/>
    <n v="1000004256"/>
    <s v="借呗6期"/>
    <n v="1"/>
    <n v="20000.7"/>
    <s v="借呗"/>
    <x v="1"/>
    <x v="0"/>
    <x v="5"/>
    <s v="一组"/>
    <s v="合肥一组"/>
    <s v="普通员工"/>
    <n v="20000.7"/>
    <n v="2020"/>
    <x v="2"/>
  </r>
  <r>
    <x v="85"/>
    <n v="1000004256"/>
    <s v="借呗18期"/>
    <n v="2"/>
    <n v="14000.02"/>
    <s v="借呗"/>
    <x v="2"/>
    <x v="0"/>
    <x v="5"/>
    <s v="一组"/>
    <s v="合肥一组"/>
    <s v="普通员工"/>
    <n v="7000.01"/>
    <n v="2020"/>
    <x v="2"/>
  </r>
  <r>
    <x v="85"/>
    <n v="1000005873"/>
    <s v="借呗12期"/>
    <n v="1"/>
    <n v="10000.68"/>
    <s v="借呗"/>
    <x v="0"/>
    <x v="0"/>
    <x v="0"/>
    <s v="二组"/>
    <s v="杭州二组"/>
    <s v="管理人员"/>
    <n v="10000.68"/>
    <n v="2020"/>
    <x v="2"/>
  </r>
  <r>
    <x v="85"/>
    <n v="1000005873"/>
    <s v="借呗18期"/>
    <n v="1"/>
    <n v="7000.33"/>
    <s v="借呗"/>
    <x v="2"/>
    <x v="0"/>
    <x v="0"/>
    <s v="二组"/>
    <s v="杭州二组"/>
    <s v="管理人员"/>
    <n v="7000.33"/>
    <n v="2020"/>
    <x v="2"/>
  </r>
  <r>
    <x v="85"/>
    <n v="1000006698"/>
    <s v="借呗12期"/>
    <n v="1"/>
    <n v="27000.58"/>
    <s v="借呗"/>
    <x v="0"/>
    <x v="1"/>
    <x v="4"/>
    <s v="一组"/>
    <s v="成都一组"/>
    <s v="管理人员"/>
    <n v="27000.58"/>
    <n v="2020"/>
    <x v="2"/>
  </r>
  <r>
    <x v="85"/>
    <n v="1000006698"/>
    <s v="借呗18期"/>
    <n v="1"/>
    <n v="14000.26"/>
    <s v="借呗"/>
    <x v="2"/>
    <x v="1"/>
    <x v="4"/>
    <s v="一组"/>
    <s v="成都一组"/>
    <s v="管理人员"/>
    <n v="14000.26"/>
    <n v="2020"/>
    <x v="2"/>
  </r>
  <r>
    <x v="85"/>
    <n v="1000006859"/>
    <s v="借呗12期"/>
    <n v="1"/>
    <n v="15000.23"/>
    <s v="借呗"/>
    <x v="0"/>
    <x v="0"/>
    <x v="10"/>
    <s v="一组"/>
    <s v="南京一组"/>
    <s v="普通员工"/>
    <n v="15000.23"/>
    <n v="2020"/>
    <x v="2"/>
  </r>
  <r>
    <x v="85"/>
    <n v="1000006869"/>
    <s v="借呗6期"/>
    <n v="1"/>
    <n v="7500.29"/>
    <s v="借呗"/>
    <x v="1"/>
    <x v="0"/>
    <x v="10"/>
    <s v="一组"/>
    <s v="南京一组"/>
    <s v="普通员工"/>
    <n v="7500.29"/>
    <n v="2020"/>
    <x v="2"/>
  </r>
  <r>
    <x v="85"/>
    <n v="1000007320"/>
    <s v="借呗6期"/>
    <n v="1"/>
    <n v="839.05"/>
    <s v="借呗"/>
    <x v="1"/>
    <x v="0"/>
    <x v="3"/>
    <s v="一组"/>
    <s v="上海一组"/>
    <s v="普通员工"/>
    <n v="839.05"/>
    <n v="2020"/>
    <x v="2"/>
  </r>
  <r>
    <x v="85"/>
    <n v="1000008228"/>
    <s v="借呗6期"/>
    <n v="1"/>
    <n v="6000.72"/>
    <s v="借呗"/>
    <x v="1"/>
    <x v="1"/>
    <x v="2"/>
    <s v="三组"/>
    <s v="北京三组"/>
    <s v="普通员工"/>
    <n v="6000.72"/>
    <n v="2020"/>
    <x v="2"/>
  </r>
  <r>
    <x v="85"/>
    <n v="1000008228"/>
    <s v="借呗12期"/>
    <n v="1"/>
    <n v="10000.620000000001"/>
    <s v="借呗"/>
    <x v="0"/>
    <x v="1"/>
    <x v="2"/>
    <s v="三组"/>
    <s v="北京三组"/>
    <s v="普通员工"/>
    <n v="10000.620000000001"/>
    <n v="2020"/>
    <x v="2"/>
  </r>
  <r>
    <x v="85"/>
    <n v="1000008239"/>
    <s v="借呗12期"/>
    <n v="1"/>
    <n v="20000.34"/>
    <s v="借呗"/>
    <x v="0"/>
    <x v="0"/>
    <x v="10"/>
    <s v="一组"/>
    <s v="南京一组"/>
    <s v="管理人员"/>
    <n v="20000.34"/>
    <n v="2020"/>
    <x v="2"/>
  </r>
  <r>
    <x v="85"/>
    <n v="1000008542"/>
    <s v="借呗6期"/>
    <n v="1"/>
    <n v="8000.12"/>
    <s v="借呗"/>
    <x v="1"/>
    <x v="0"/>
    <x v="5"/>
    <s v="一组"/>
    <s v="合肥一组"/>
    <s v="普通员工"/>
    <n v="8000.12"/>
    <n v="2020"/>
    <x v="2"/>
  </r>
  <r>
    <x v="85"/>
    <n v="1000008542"/>
    <s v="借呗12期"/>
    <n v="1"/>
    <n v="8741.7000000000007"/>
    <s v="借呗"/>
    <x v="0"/>
    <x v="0"/>
    <x v="5"/>
    <s v="一组"/>
    <s v="合肥一组"/>
    <s v="普通员工"/>
    <n v="8741.7000000000007"/>
    <n v="2020"/>
    <x v="2"/>
  </r>
  <r>
    <x v="85"/>
    <n v="1000008957"/>
    <s v="借呗3期"/>
    <n v="1"/>
    <n v="1256.99"/>
    <s v="借呗"/>
    <x v="4"/>
    <x v="0"/>
    <x v="3"/>
    <s v="二组"/>
    <s v="上海二组"/>
    <s v="普通员工"/>
    <n v="1256.99"/>
    <n v="2020"/>
    <x v="2"/>
  </r>
  <r>
    <x v="85"/>
    <n v="1000008957"/>
    <s v="借呗6期"/>
    <n v="1"/>
    <n v="15000.68"/>
    <s v="借呗"/>
    <x v="1"/>
    <x v="0"/>
    <x v="3"/>
    <s v="二组"/>
    <s v="上海二组"/>
    <s v="普通员工"/>
    <n v="15000.68"/>
    <n v="2020"/>
    <x v="2"/>
  </r>
  <r>
    <x v="85"/>
    <n v="1000009288"/>
    <s v="借呗6期"/>
    <n v="1"/>
    <n v="11000.68"/>
    <s v="借呗"/>
    <x v="1"/>
    <x v="0"/>
    <x v="1"/>
    <s v="二组"/>
    <s v="苏州二组"/>
    <s v="普通员工"/>
    <n v="11000.68"/>
    <n v="2020"/>
    <x v="2"/>
  </r>
  <r>
    <x v="85"/>
    <n v="1000009288"/>
    <s v="借呗12期"/>
    <n v="1"/>
    <n v="13000.72"/>
    <s v="借呗"/>
    <x v="0"/>
    <x v="0"/>
    <x v="1"/>
    <s v="二组"/>
    <s v="苏州二组"/>
    <s v="普通员工"/>
    <n v="13000.72"/>
    <n v="2020"/>
    <x v="2"/>
  </r>
  <r>
    <x v="85"/>
    <n v="1000010255"/>
    <s v="借呗6期"/>
    <n v="1"/>
    <n v="1000.63"/>
    <s v="借呗"/>
    <x v="1"/>
    <x v="2"/>
    <x v="6"/>
    <s v="三组"/>
    <s v="广州三组"/>
    <s v="普通员工"/>
    <n v="1000.63"/>
    <n v="2020"/>
    <x v="2"/>
  </r>
  <r>
    <x v="85"/>
    <n v="1000010814"/>
    <s v="借呗6期"/>
    <n v="1"/>
    <n v="13000.31"/>
    <s v="借呗"/>
    <x v="1"/>
    <x v="0"/>
    <x v="10"/>
    <s v="四组"/>
    <s v="南京四组"/>
    <s v="普通员工"/>
    <n v="13000.31"/>
    <n v="2020"/>
    <x v="2"/>
  </r>
  <r>
    <x v="85"/>
    <n v="1000010814"/>
    <s v="借呗12期"/>
    <n v="1"/>
    <n v="15000.59"/>
    <s v="借呗"/>
    <x v="0"/>
    <x v="0"/>
    <x v="10"/>
    <s v="四组"/>
    <s v="南京四组"/>
    <s v="普通员工"/>
    <n v="15000.59"/>
    <n v="2020"/>
    <x v="2"/>
  </r>
  <r>
    <x v="85"/>
    <n v="1000010814"/>
    <s v="借呗18期"/>
    <n v="1"/>
    <n v="15000.09"/>
    <s v="借呗"/>
    <x v="2"/>
    <x v="0"/>
    <x v="10"/>
    <s v="四组"/>
    <s v="南京四组"/>
    <s v="普通员工"/>
    <n v="15000.09"/>
    <n v="2020"/>
    <x v="2"/>
  </r>
  <r>
    <x v="85"/>
    <n v="1000010837"/>
    <s v="借呗12期"/>
    <n v="2"/>
    <n v="7500.2999999999993"/>
    <s v="借呗"/>
    <x v="0"/>
    <x v="0"/>
    <x v="10"/>
    <s v="一组"/>
    <s v="南京一组"/>
    <s v="普通员工"/>
    <n v="3750.1499999999996"/>
    <n v="2020"/>
    <x v="2"/>
  </r>
  <r>
    <x v="85"/>
    <n v="1000011697"/>
    <s v="借呗6期"/>
    <n v="2"/>
    <n v="27001.440000000002"/>
    <s v="借呗"/>
    <x v="1"/>
    <x v="0"/>
    <x v="3"/>
    <s v="二组"/>
    <s v="上海二组"/>
    <s v="普通员工"/>
    <n v="13500.720000000001"/>
    <n v="2020"/>
    <x v="2"/>
  </r>
  <r>
    <x v="85"/>
    <n v="1000011698"/>
    <s v="借呗6期"/>
    <n v="1"/>
    <n v="7000.41"/>
    <s v="借呗"/>
    <x v="1"/>
    <x v="0"/>
    <x v="3"/>
    <s v="二组"/>
    <s v="上海二组"/>
    <s v="普通员工"/>
    <n v="7000.41"/>
    <n v="2020"/>
    <x v="2"/>
  </r>
  <r>
    <x v="85"/>
    <n v="1000011698"/>
    <s v="借呗12期"/>
    <n v="1"/>
    <n v="18000.349999999999"/>
    <s v="借呗"/>
    <x v="0"/>
    <x v="0"/>
    <x v="3"/>
    <s v="二组"/>
    <s v="上海二组"/>
    <s v="普通员工"/>
    <n v="18000.349999999999"/>
    <n v="2020"/>
    <x v="2"/>
  </r>
  <r>
    <x v="85"/>
    <n v="1000011828"/>
    <s v="借呗6期"/>
    <n v="2"/>
    <n v="31000.04"/>
    <s v="借呗"/>
    <x v="1"/>
    <x v="0"/>
    <x v="0"/>
    <s v="二组"/>
    <s v="杭州二组"/>
    <s v="普通员工"/>
    <n v="15500.02"/>
    <n v="2020"/>
    <x v="2"/>
  </r>
  <r>
    <x v="85"/>
    <n v="1000011828"/>
    <s v="借呗12期"/>
    <n v="1"/>
    <n v="15000.1"/>
    <s v="借呗"/>
    <x v="0"/>
    <x v="0"/>
    <x v="0"/>
    <s v="二组"/>
    <s v="杭州二组"/>
    <s v="普通员工"/>
    <n v="15000.1"/>
    <n v="2020"/>
    <x v="2"/>
  </r>
  <r>
    <x v="85"/>
    <n v="1000012096"/>
    <s v="借呗6期"/>
    <n v="1"/>
    <n v="25000.03"/>
    <s v="借呗"/>
    <x v="1"/>
    <x v="0"/>
    <x v="0"/>
    <s v="一组"/>
    <s v="杭州一组"/>
    <s v="普通员工"/>
    <n v="25000.03"/>
    <n v="2020"/>
    <x v="2"/>
  </r>
  <r>
    <x v="85"/>
    <n v="1000012096"/>
    <s v="借呗18期"/>
    <n v="1"/>
    <n v="8000.4"/>
    <s v="借呗"/>
    <x v="2"/>
    <x v="0"/>
    <x v="0"/>
    <s v="一组"/>
    <s v="杭州一组"/>
    <s v="普通员工"/>
    <n v="8000.4"/>
    <n v="2020"/>
    <x v="2"/>
  </r>
  <r>
    <x v="85"/>
    <n v="1000012099"/>
    <s v="借呗12期"/>
    <n v="1"/>
    <n v="25000.34"/>
    <s v="借呗"/>
    <x v="0"/>
    <x v="0"/>
    <x v="0"/>
    <s v="二组"/>
    <s v="杭州二组"/>
    <s v="普通员工"/>
    <n v="25000.34"/>
    <n v="2020"/>
    <x v="2"/>
  </r>
  <r>
    <x v="85"/>
    <n v="1000012112"/>
    <s v="借呗6期"/>
    <n v="4"/>
    <n v="56001.880000000005"/>
    <s v="借呗"/>
    <x v="1"/>
    <x v="0"/>
    <x v="0"/>
    <s v="三组"/>
    <s v="杭州三组"/>
    <s v="管理人员"/>
    <n v="14000.470000000001"/>
    <n v="2020"/>
    <x v="2"/>
  </r>
  <r>
    <x v="85"/>
    <n v="1000012124"/>
    <s v="借呗6期"/>
    <n v="1"/>
    <n v="15000.12"/>
    <s v="借呗"/>
    <x v="1"/>
    <x v="0"/>
    <x v="0"/>
    <s v="一组"/>
    <s v="杭州一组"/>
    <s v="普通员工"/>
    <n v="15000.12"/>
    <n v="2020"/>
    <x v="2"/>
  </r>
  <r>
    <x v="85"/>
    <n v="1000012126"/>
    <s v="借呗6期"/>
    <n v="1"/>
    <n v="13000.75"/>
    <s v="借呗"/>
    <x v="1"/>
    <x v="0"/>
    <x v="0"/>
    <s v="一组"/>
    <s v="杭州一组"/>
    <s v="普通员工"/>
    <n v="13000.75"/>
    <n v="2020"/>
    <x v="2"/>
  </r>
  <r>
    <x v="85"/>
    <n v="1000012126"/>
    <s v="借呗12期"/>
    <n v="1"/>
    <n v="13000.64"/>
    <s v="借呗"/>
    <x v="0"/>
    <x v="0"/>
    <x v="0"/>
    <s v="一组"/>
    <s v="杭州一组"/>
    <s v="普通员工"/>
    <n v="13000.64"/>
    <n v="2020"/>
    <x v="2"/>
  </r>
  <r>
    <x v="85"/>
    <n v="1000012675"/>
    <s v="借呗6期"/>
    <n v="3"/>
    <n v="22002.240000000002"/>
    <s v="借呗"/>
    <x v="1"/>
    <x v="0"/>
    <x v="3"/>
    <s v="一组"/>
    <s v="上海一组"/>
    <s v="普通员工"/>
    <n v="7334.0800000000008"/>
    <n v="2020"/>
    <x v="2"/>
  </r>
  <r>
    <x v="85"/>
    <n v="1000012675"/>
    <s v="借呗12期"/>
    <n v="2"/>
    <n v="17000.23"/>
    <s v="借呗"/>
    <x v="0"/>
    <x v="0"/>
    <x v="3"/>
    <s v="一组"/>
    <s v="上海一组"/>
    <s v="普通员工"/>
    <n v="8500.1149999999998"/>
    <n v="2020"/>
    <x v="2"/>
  </r>
  <r>
    <x v="85"/>
    <n v="1000013526"/>
    <s v="借呗6期"/>
    <n v="1"/>
    <n v="3000.22"/>
    <s v="借呗"/>
    <x v="1"/>
    <x v="2"/>
    <x v="11"/>
    <s v="一组"/>
    <s v="南宁一组"/>
    <s v="普通员工"/>
    <n v="3000.22"/>
    <n v="2020"/>
    <x v="2"/>
  </r>
  <r>
    <x v="85"/>
    <n v="1000013526"/>
    <s v="借呗12期"/>
    <n v="2"/>
    <n v="30000.83"/>
    <s v="借呗"/>
    <x v="0"/>
    <x v="2"/>
    <x v="11"/>
    <s v="一组"/>
    <s v="南宁一组"/>
    <s v="普通员工"/>
    <n v="15000.415000000001"/>
    <n v="2020"/>
    <x v="2"/>
  </r>
  <r>
    <x v="85"/>
    <n v="1000013535"/>
    <s v="借呗6期"/>
    <n v="1"/>
    <n v="5500.22"/>
    <s v="借呗"/>
    <x v="1"/>
    <x v="2"/>
    <x v="6"/>
    <s v="三组"/>
    <s v="广州三组"/>
    <s v="普通员工"/>
    <n v="5500.22"/>
    <n v="2020"/>
    <x v="2"/>
  </r>
  <r>
    <x v="85"/>
    <n v="1000013607"/>
    <s v="借呗6期"/>
    <n v="1"/>
    <n v="12000.76"/>
    <s v="借呗"/>
    <x v="1"/>
    <x v="0"/>
    <x v="1"/>
    <s v="一组"/>
    <s v="苏州一组"/>
    <s v="普通员工"/>
    <n v="12000.76"/>
    <n v="2020"/>
    <x v="2"/>
  </r>
  <r>
    <x v="85"/>
    <n v="1000014037"/>
    <s v="借呗12期"/>
    <n v="1"/>
    <n v="15000.16"/>
    <s v="借呗"/>
    <x v="0"/>
    <x v="0"/>
    <x v="1"/>
    <s v="三组"/>
    <s v="苏州三组"/>
    <s v="普通员工"/>
    <n v="15000.16"/>
    <n v="2020"/>
    <x v="2"/>
  </r>
  <r>
    <x v="85"/>
    <n v="1000014273"/>
    <s v="借呗6期"/>
    <n v="1"/>
    <n v="20000.419999999998"/>
    <s v="借呗"/>
    <x v="1"/>
    <x v="0"/>
    <x v="0"/>
    <s v="二组"/>
    <s v="杭州二组"/>
    <s v="普通员工"/>
    <n v="20000.419999999998"/>
    <n v="2020"/>
    <x v="2"/>
  </r>
  <r>
    <x v="85"/>
    <n v="1000014291"/>
    <s v="借呗6期"/>
    <n v="1"/>
    <n v="11000.02"/>
    <s v="借呗"/>
    <x v="1"/>
    <x v="2"/>
    <x v="6"/>
    <s v="二组"/>
    <s v="广州二组"/>
    <s v="管理人员"/>
    <n v="11000.02"/>
    <n v="2020"/>
    <x v="2"/>
  </r>
  <r>
    <x v="85"/>
    <n v="1000014291"/>
    <s v="借呗12期"/>
    <n v="2"/>
    <n v="2788.07"/>
    <s v="借呗"/>
    <x v="0"/>
    <x v="2"/>
    <x v="6"/>
    <s v="二组"/>
    <s v="广州二组"/>
    <s v="管理人员"/>
    <n v="1394.0350000000001"/>
    <n v="2020"/>
    <x v="2"/>
  </r>
  <r>
    <x v="85"/>
    <n v="1000014291"/>
    <s v="借呗18期"/>
    <n v="1"/>
    <n v="17000"/>
    <s v="借呗"/>
    <x v="2"/>
    <x v="2"/>
    <x v="6"/>
    <s v="二组"/>
    <s v="广州二组"/>
    <s v="管理人员"/>
    <n v="17000"/>
    <n v="2020"/>
    <x v="2"/>
  </r>
  <r>
    <x v="85"/>
    <n v="1000014530"/>
    <s v="借呗12期"/>
    <n v="2"/>
    <n v="15001.08"/>
    <s v="借呗"/>
    <x v="0"/>
    <x v="2"/>
    <x v="11"/>
    <s v="一组"/>
    <s v="南宁一组"/>
    <s v="普通员工"/>
    <n v="7500.54"/>
    <n v="2020"/>
    <x v="2"/>
  </r>
  <r>
    <x v="85"/>
    <n v="1000014530"/>
    <s v="借呗18期"/>
    <n v="1"/>
    <n v="5500.42"/>
    <s v="借呗"/>
    <x v="2"/>
    <x v="2"/>
    <x v="11"/>
    <s v="一组"/>
    <s v="南宁一组"/>
    <s v="普通员工"/>
    <n v="5500.42"/>
    <n v="2020"/>
    <x v="2"/>
  </r>
  <r>
    <x v="85"/>
    <n v="1000014572"/>
    <s v="借呗6期"/>
    <n v="2"/>
    <n v="41001.160000000003"/>
    <s v="借呗"/>
    <x v="1"/>
    <x v="0"/>
    <x v="3"/>
    <s v="一组"/>
    <s v="上海一组"/>
    <s v="普通员工"/>
    <n v="20500.580000000002"/>
    <n v="2020"/>
    <x v="2"/>
  </r>
  <r>
    <x v="85"/>
    <n v="1000014572"/>
    <s v="借呗12期"/>
    <n v="1"/>
    <n v="22000.45"/>
    <s v="借呗"/>
    <x v="0"/>
    <x v="0"/>
    <x v="3"/>
    <s v="一组"/>
    <s v="上海一组"/>
    <s v="普通员工"/>
    <n v="22000.45"/>
    <n v="2020"/>
    <x v="2"/>
  </r>
  <r>
    <x v="85"/>
    <n v="1000014588"/>
    <s v="借呗12期"/>
    <n v="1"/>
    <n v="16999.939999999999"/>
    <s v="借呗"/>
    <x v="0"/>
    <x v="0"/>
    <x v="5"/>
    <s v="二组"/>
    <s v="合肥二组"/>
    <s v="普通员工"/>
    <n v="16999.939999999999"/>
    <n v="2020"/>
    <x v="2"/>
  </r>
  <r>
    <x v="85"/>
    <n v="1000014588"/>
    <s v="借呗18期"/>
    <n v="1"/>
    <n v="5499.96"/>
    <s v="借呗"/>
    <x v="2"/>
    <x v="0"/>
    <x v="5"/>
    <s v="二组"/>
    <s v="合肥二组"/>
    <s v="普通员工"/>
    <n v="5499.96"/>
    <n v="2020"/>
    <x v="2"/>
  </r>
  <r>
    <x v="85"/>
    <n v="1000014879"/>
    <s v="借呗12期"/>
    <n v="1"/>
    <n v="17000.310000000001"/>
    <s v="借呗"/>
    <x v="0"/>
    <x v="0"/>
    <x v="5"/>
    <s v="一组"/>
    <s v="合肥一组"/>
    <s v="普通员工"/>
    <n v="17000.310000000001"/>
    <n v="2020"/>
    <x v="2"/>
  </r>
  <r>
    <x v="85"/>
    <n v="1000014879"/>
    <s v="借呗18期"/>
    <n v="1"/>
    <n v="25000.7"/>
    <s v="借呗"/>
    <x v="2"/>
    <x v="0"/>
    <x v="5"/>
    <s v="一组"/>
    <s v="合肥一组"/>
    <s v="普通员工"/>
    <n v="25000.7"/>
    <n v="2020"/>
    <x v="2"/>
  </r>
  <r>
    <x v="85"/>
    <n v="1000014996"/>
    <s v="借呗12期"/>
    <n v="2"/>
    <n v="22501.08"/>
    <s v="借呗"/>
    <x v="0"/>
    <x v="1"/>
    <x v="8"/>
    <s v="一组"/>
    <s v="西安一组"/>
    <s v="普通员工"/>
    <n v="11250.54"/>
    <n v="2020"/>
    <x v="2"/>
  </r>
  <r>
    <x v="85"/>
    <n v="1000015013"/>
    <s v="借呗6期"/>
    <n v="1"/>
    <n v="10000.6"/>
    <s v="借呗"/>
    <x v="1"/>
    <x v="0"/>
    <x v="0"/>
    <s v="一组"/>
    <s v="杭州一组"/>
    <s v="普通员工"/>
    <n v="10000.6"/>
    <n v="2020"/>
    <x v="2"/>
  </r>
  <r>
    <x v="85"/>
    <n v="1000015015"/>
    <s v="借呗6期"/>
    <n v="1"/>
    <n v="5000.67"/>
    <s v="借呗"/>
    <x v="1"/>
    <x v="0"/>
    <x v="10"/>
    <s v="一组"/>
    <s v="南京一组"/>
    <s v="普通员工"/>
    <n v="5000.67"/>
    <n v="2020"/>
    <x v="2"/>
  </r>
  <r>
    <x v="85"/>
    <n v="1000015015"/>
    <s v="借呗12期"/>
    <n v="2"/>
    <n v="34000.559999999998"/>
    <s v="借呗"/>
    <x v="0"/>
    <x v="0"/>
    <x v="10"/>
    <s v="一组"/>
    <s v="南京一组"/>
    <s v="普通员工"/>
    <n v="17000.28"/>
    <n v="2020"/>
    <x v="2"/>
  </r>
  <r>
    <x v="85"/>
    <n v="1000015133"/>
    <s v="借呗18期"/>
    <n v="1"/>
    <n v="18000.439999999999"/>
    <s v="借呗"/>
    <x v="2"/>
    <x v="1"/>
    <x v="2"/>
    <s v="三组"/>
    <s v="北京三组"/>
    <s v="普通员工"/>
    <n v="18000.439999999999"/>
    <n v="2020"/>
    <x v="2"/>
  </r>
  <r>
    <x v="85"/>
    <n v="1000015203"/>
    <s v="借呗6期"/>
    <n v="1"/>
    <n v="15000.5"/>
    <s v="借呗"/>
    <x v="1"/>
    <x v="2"/>
    <x v="11"/>
    <s v="一组"/>
    <s v="南宁一组"/>
    <s v="普通员工"/>
    <n v="15000.5"/>
    <n v="2020"/>
    <x v="2"/>
  </r>
  <r>
    <x v="85"/>
    <n v="1000015788"/>
    <s v="借呗9期"/>
    <n v="1"/>
    <n v="6999.98"/>
    <s v="借呗"/>
    <x v="3"/>
    <x v="1"/>
    <x v="2"/>
    <s v="三组"/>
    <s v="北京三组"/>
    <s v="普通员工"/>
    <n v="6999.98"/>
    <n v="2020"/>
    <x v="2"/>
  </r>
  <r>
    <x v="85"/>
    <n v="1000015788"/>
    <s v="借呗12期"/>
    <n v="1"/>
    <n v="1000.44"/>
    <s v="借呗"/>
    <x v="0"/>
    <x v="1"/>
    <x v="2"/>
    <s v="三组"/>
    <s v="北京三组"/>
    <s v="普通员工"/>
    <n v="1000.44"/>
    <n v="2020"/>
    <x v="2"/>
  </r>
  <r>
    <x v="85"/>
    <n v="1000017576"/>
    <s v="借呗12期"/>
    <n v="2"/>
    <n v="28001.26"/>
    <s v="借呗"/>
    <x v="0"/>
    <x v="0"/>
    <x v="0"/>
    <s v="三组"/>
    <s v="杭州三组"/>
    <s v="普通员工"/>
    <n v="14000.63"/>
    <n v="2020"/>
    <x v="2"/>
  </r>
  <r>
    <x v="85"/>
    <n v="1000017576"/>
    <s v="借呗18期"/>
    <n v="2"/>
    <n v="17500.97"/>
    <s v="借呗"/>
    <x v="2"/>
    <x v="0"/>
    <x v="0"/>
    <s v="三组"/>
    <s v="杭州三组"/>
    <s v="普通员工"/>
    <n v="8750.4850000000006"/>
    <n v="2020"/>
    <x v="2"/>
  </r>
  <r>
    <x v="85"/>
    <n v="1000017688"/>
    <s v="借呗6期"/>
    <n v="1"/>
    <n v="10000.620000000001"/>
    <s v="借呗"/>
    <x v="1"/>
    <x v="2"/>
    <x v="6"/>
    <s v="三组"/>
    <s v="广州三组"/>
    <s v="普通员工"/>
    <n v="10000.620000000001"/>
    <n v="2020"/>
    <x v="2"/>
  </r>
  <r>
    <x v="85"/>
    <n v="1000017700"/>
    <s v="借呗12期"/>
    <n v="1"/>
    <n v="7000.07"/>
    <s v="借呗"/>
    <x v="0"/>
    <x v="2"/>
    <x v="11"/>
    <s v="一组"/>
    <s v="南宁一组"/>
    <s v="普通员工"/>
    <n v="7000.07"/>
    <n v="2020"/>
    <x v="2"/>
  </r>
  <r>
    <x v="85"/>
    <n v="1000020084"/>
    <s v="借呗6期"/>
    <n v="1"/>
    <n v="8000.57"/>
    <s v="借呗"/>
    <x v="1"/>
    <x v="2"/>
    <x v="9"/>
    <s v="一组"/>
    <s v="深圳一组"/>
    <s v="普通员工"/>
    <n v="8000.57"/>
    <n v="2020"/>
    <x v="2"/>
  </r>
  <r>
    <x v="85"/>
    <n v="1000020084"/>
    <s v="借呗12期"/>
    <n v="1"/>
    <n v="15000.64"/>
    <s v="借呗"/>
    <x v="0"/>
    <x v="2"/>
    <x v="9"/>
    <s v="一组"/>
    <s v="深圳一组"/>
    <s v="普通员工"/>
    <n v="15000.64"/>
    <n v="2020"/>
    <x v="2"/>
  </r>
  <r>
    <x v="85"/>
    <n v="1000020128"/>
    <s v="借呗6期"/>
    <n v="1"/>
    <n v="6000.54"/>
    <s v="借呗"/>
    <x v="1"/>
    <x v="1"/>
    <x v="8"/>
    <s v="一组"/>
    <s v="西安一组"/>
    <s v="管理人员"/>
    <n v="6000.54"/>
    <n v="2020"/>
    <x v="2"/>
  </r>
  <r>
    <x v="85"/>
    <n v="1000020128"/>
    <s v="借呗12期"/>
    <n v="2"/>
    <n v="23001.07"/>
    <s v="借呗"/>
    <x v="0"/>
    <x v="1"/>
    <x v="8"/>
    <s v="一组"/>
    <s v="西安一组"/>
    <s v="管理人员"/>
    <n v="11500.535"/>
    <n v="2020"/>
    <x v="2"/>
  </r>
  <r>
    <x v="85"/>
    <n v="1000020128"/>
    <s v="借呗18期"/>
    <n v="1"/>
    <n v="25000.67"/>
    <s v="借呗"/>
    <x v="2"/>
    <x v="1"/>
    <x v="8"/>
    <s v="一组"/>
    <s v="西安一组"/>
    <s v="管理人员"/>
    <n v="25000.67"/>
    <n v="2020"/>
    <x v="2"/>
  </r>
  <r>
    <x v="86"/>
    <n v="1000000028"/>
    <s v="借呗6期"/>
    <n v="1"/>
    <n v="6000.47"/>
    <s v="借呗"/>
    <x v="1"/>
    <x v="0"/>
    <x v="0"/>
    <s v="二组"/>
    <s v="杭州二组"/>
    <s v="普通员工"/>
    <n v="6000.47"/>
    <n v="2020"/>
    <x v="2"/>
  </r>
  <r>
    <x v="86"/>
    <n v="1000000028"/>
    <s v="借呗18期"/>
    <n v="1"/>
    <n v="1112.97"/>
    <s v="借呗"/>
    <x v="2"/>
    <x v="0"/>
    <x v="0"/>
    <s v="二组"/>
    <s v="杭州二组"/>
    <s v="普通员工"/>
    <n v="1112.97"/>
    <n v="2020"/>
    <x v="2"/>
  </r>
  <r>
    <x v="86"/>
    <n v="1000000029"/>
    <s v="借呗1期"/>
    <n v="2"/>
    <n v="3052.87"/>
    <s v="借呗"/>
    <x v="5"/>
    <x v="0"/>
    <x v="0"/>
    <s v="二组"/>
    <s v="杭州二组"/>
    <s v="普通员工"/>
    <n v="1526.4349999999999"/>
    <n v="2020"/>
    <x v="2"/>
  </r>
  <r>
    <x v="86"/>
    <n v="1000000029"/>
    <s v="借呗6期"/>
    <n v="1"/>
    <n v="1602.02"/>
    <s v="借呗"/>
    <x v="1"/>
    <x v="0"/>
    <x v="0"/>
    <s v="二组"/>
    <s v="杭州二组"/>
    <s v="普通员工"/>
    <n v="1602.02"/>
    <n v="2020"/>
    <x v="2"/>
  </r>
  <r>
    <x v="86"/>
    <n v="1000000029"/>
    <s v="借呗12期"/>
    <n v="2"/>
    <n v="21000.27"/>
    <s v="借呗"/>
    <x v="0"/>
    <x v="0"/>
    <x v="0"/>
    <s v="二组"/>
    <s v="杭州二组"/>
    <s v="普通员工"/>
    <n v="10500.135"/>
    <n v="2020"/>
    <x v="2"/>
  </r>
  <r>
    <x v="86"/>
    <n v="1000000029"/>
    <s v="借呗18期"/>
    <n v="1"/>
    <n v="6500.5"/>
    <s v="借呗"/>
    <x v="2"/>
    <x v="0"/>
    <x v="0"/>
    <s v="二组"/>
    <s v="杭州二组"/>
    <s v="普通员工"/>
    <n v="6500.5"/>
    <n v="2020"/>
    <x v="2"/>
  </r>
  <r>
    <x v="86"/>
    <n v="1000000030"/>
    <s v="借呗12期"/>
    <n v="2"/>
    <n v="34000.19"/>
    <s v="借呗"/>
    <x v="0"/>
    <x v="2"/>
    <x v="6"/>
    <s v="三组"/>
    <s v="广州三组"/>
    <s v="普通员工"/>
    <n v="17000.095000000001"/>
    <n v="2020"/>
    <x v="2"/>
  </r>
  <r>
    <x v="86"/>
    <n v="1000000032"/>
    <s v="借呗6期"/>
    <n v="1"/>
    <n v="12000.69"/>
    <s v="借呗"/>
    <x v="1"/>
    <x v="0"/>
    <x v="1"/>
    <s v="一组"/>
    <s v="苏州一组"/>
    <s v="管理人员"/>
    <n v="12000.69"/>
    <n v="2020"/>
    <x v="2"/>
  </r>
  <r>
    <x v="86"/>
    <n v="1000000032"/>
    <s v="借呗12期"/>
    <n v="1"/>
    <n v="25000.47"/>
    <s v="借呗"/>
    <x v="0"/>
    <x v="0"/>
    <x v="1"/>
    <s v="一组"/>
    <s v="苏州一组"/>
    <s v="管理人员"/>
    <n v="25000.47"/>
    <n v="2020"/>
    <x v="2"/>
  </r>
  <r>
    <x v="86"/>
    <n v="1000000033"/>
    <s v="借呗9期"/>
    <n v="1"/>
    <n v="2550.4899999999998"/>
    <s v="借呗"/>
    <x v="3"/>
    <x v="0"/>
    <x v="1"/>
    <s v="一组"/>
    <s v="苏州一组"/>
    <s v="普通员工"/>
    <n v="2550.4899999999998"/>
    <n v="2020"/>
    <x v="2"/>
  </r>
  <r>
    <x v="86"/>
    <n v="1000000034"/>
    <s v="借呗6期"/>
    <n v="1"/>
    <n v="18000.509999999998"/>
    <s v="借呗"/>
    <x v="1"/>
    <x v="0"/>
    <x v="1"/>
    <s v="一组"/>
    <s v="苏州一组"/>
    <s v="普通员工"/>
    <n v="18000.509999999998"/>
    <n v="2020"/>
    <x v="2"/>
  </r>
  <r>
    <x v="86"/>
    <n v="1000000034"/>
    <s v="借呗9期"/>
    <n v="1"/>
    <n v="1113.47"/>
    <s v="借呗"/>
    <x v="3"/>
    <x v="0"/>
    <x v="1"/>
    <s v="一组"/>
    <s v="苏州一组"/>
    <s v="普通员工"/>
    <n v="1113.47"/>
    <n v="2020"/>
    <x v="2"/>
  </r>
  <r>
    <x v="86"/>
    <n v="1000000036"/>
    <s v="借呗1期"/>
    <n v="1"/>
    <n v="1300.44"/>
    <s v="借呗"/>
    <x v="5"/>
    <x v="2"/>
    <x v="6"/>
    <s v="三组"/>
    <s v="广州三组"/>
    <s v="管理人员"/>
    <n v="1300.44"/>
    <n v="2020"/>
    <x v="2"/>
  </r>
  <r>
    <x v="86"/>
    <n v="1000000036"/>
    <s v="借呗6期"/>
    <n v="3"/>
    <n v="28501.81"/>
    <s v="借呗"/>
    <x v="1"/>
    <x v="2"/>
    <x v="6"/>
    <s v="三组"/>
    <s v="广州三组"/>
    <s v="管理人员"/>
    <n v="9500.6033333333344"/>
    <n v="2020"/>
    <x v="2"/>
  </r>
  <r>
    <x v="86"/>
    <n v="1000000036"/>
    <s v="借呗18期"/>
    <n v="1"/>
    <n v="25000.58"/>
    <s v="借呗"/>
    <x v="2"/>
    <x v="2"/>
    <x v="6"/>
    <s v="三组"/>
    <s v="广州三组"/>
    <s v="管理人员"/>
    <n v="25000.58"/>
    <n v="2020"/>
    <x v="2"/>
  </r>
  <r>
    <x v="86"/>
    <n v="1000000037"/>
    <s v="借呗3期"/>
    <n v="1"/>
    <n v="1300.6500000000001"/>
    <s v="借呗"/>
    <x v="4"/>
    <x v="0"/>
    <x v="0"/>
    <s v="二组"/>
    <s v="杭州二组"/>
    <s v="普通员工"/>
    <n v="1300.6500000000001"/>
    <n v="2020"/>
    <x v="2"/>
  </r>
  <r>
    <x v="86"/>
    <n v="1000000037"/>
    <s v="借呗6期"/>
    <n v="2"/>
    <n v="33999.980000000003"/>
    <s v="借呗"/>
    <x v="1"/>
    <x v="0"/>
    <x v="0"/>
    <s v="二组"/>
    <s v="杭州二组"/>
    <s v="普通员工"/>
    <n v="16999.990000000002"/>
    <n v="2020"/>
    <x v="2"/>
  </r>
  <r>
    <x v="86"/>
    <n v="1000000040"/>
    <s v="借呗3期"/>
    <n v="1"/>
    <n v="3600.1"/>
    <s v="借呗"/>
    <x v="4"/>
    <x v="1"/>
    <x v="2"/>
    <s v="四组"/>
    <s v="北京四组"/>
    <s v="管理人员"/>
    <n v="3600.1"/>
    <n v="2020"/>
    <x v="2"/>
  </r>
  <r>
    <x v="86"/>
    <n v="1000000044"/>
    <s v="借呗6期"/>
    <n v="2"/>
    <n v="23000.71"/>
    <s v="借呗"/>
    <x v="1"/>
    <x v="1"/>
    <x v="2"/>
    <s v="三组"/>
    <s v="北京三组"/>
    <s v="管理人员"/>
    <n v="11500.355"/>
    <n v="2020"/>
    <x v="2"/>
  </r>
  <r>
    <x v="86"/>
    <n v="1000000045"/>
    <s v="借呗3期"/>
    <n v="1"/>
    <n v="943.12"/>
    <s v="借呗"/>
    <x v="4"/>
    <x v="2"/>
    <x v="9"/>
    <s v="一组"/>
    <s v="深圳一组"/>
    <s v="普通员工"/>
    <n v="943.12"/>
    <n v="2020"/>
    <x v="2"/>
  </r>
  <r>
    <x v="86"/>
    <n v="1000000045"/>
    <s v="借呗6期"/>
    <n v="1"/>
    <n v="24000.13"/>
    <s v="借呗"/>
    <x v="1"/>
    <x v="2"/>
    <x v="9"/>
    <s v="一组"/>
    <s v="深圳一组"/>
    <s v="普通员工"/>
    <n v="24000.13"/>
    <n v="2020"/>
    <x v="2"/>
  </r>
  <r>
    <x v="86"/>
    <n v="1000000046"/>
    <s v="借呗6期"/>
    <n v="1"/>
    <n v="20000.03"/>
    <s v="借呗"/>
    <x v="1"/>
    <x v="1"/>
    <x v="4"/>
    <s v="一组"/>
    <s v="成都一组"/>
    <s v="普通员工"/>
    <n v="20000.03"/>
    <n v="2020"/>
    <x v="2"/>
  </r>
  <r>
    <x v="86"/>
    <n v="1000000046"/>
    <s v="借呗18期"/>
    <n v="1"/>
    <n v="1012.18"/>
    <s v="借呗"/>
    <x v="2"/>
    <x v="1"/>
    <x v="4"/>
    <s v="一组"/>
    <s v="成都一组"/>
    <s v="普通员工"/>
    <n v="1012.18"/>
    <n v="2020"/>
    <x v="2"/>
  </r>
  <r>
    <x v="86"/>
    <n v="1000000050"/>
    <s v="借呗12期"/>
    <n v="1"/>
    <n v="17000.21"/>
    <s v="借呗"/>
    <x v="0"/>
    <x v="0"/>
    <x v="5"/>
    <s v="一组"/>
    <s v="合肥一组"/>
    <s v="普通员工"/>
    <n v="17000.21"/>
    <n v="2020"/>
    <x v="2"/>
  </r>
  <r>
    <x v="86"/>
    <n v="1000000052"/>
    <s v="借呗1期"/>
    <n v="1"/>
    <n v="2474.02"/>
    <s v="借呗"/>
    <x v="5"/>
    <x v="0"/>
    <x v="3"/>
    <s v="二组"/>
    <s v="上海二组"/>
    <s v="普通员工"/>
    <n v="2474.02"/>
    <n v="2020"/>
    <x v="2"/>
  </r>
  <r>
    <x v="86"/>
    <n v="1000000054"/>
    <s v="借呗3期"/>
    <n v="1"/>
    <n v="1000.31"/>
    <s v="借呗"/>
    <x v="4"/>
    <x v="0"/>
    <x v="3"/>
    <s v="一组"/>
    <s v="上海一组"/>
    <s v="普通员工"/>
    <n v="1000.31"/>
    <n v="2020"/>
    <x v="2"/>
  </r>
  <r>
    <x v="86"/>
    <n v="1000000054"/>
    <s v="借呗6期"/>
    <n v="2"/>
    <n v="28000.82"/>
    <s v="借呗"/>
    <x v="1"/>
    <x v="0"/>
    <x v="3"/>
    <s v="一组"/>
    <s v="上海一组"/>
    <s v="普通员工"/>
    <n v="14000.41"/>
    <n v="2020"/>
    <x v="2"/>
  </r>
  <r>
    <x v="86"/>
    <n v="1000000056"/>
    <s v="借呗3期"/>
    <n v="1"/>
    <n v="2000.06"/>
    <s v="借呗"/>
    <x v="4"/>
    <x v="0"/>
    <x v="3"/>
    <s v="一组"/>
    <s v="上海一组"/>
    <s v="管理人员"/>
    <n v="2000.06"/>
    <n v="2020"/>
    <x v="2"/>
  </r>
  <r>
    <x v="86"/>
    <n v="1000000067"/>
    <s v="借呗6期"/>
    <n v="2"/>
    <n v="8500.74"/>
    <s v="借呗"/>
    <x v="1"/>
    <x v="0"/>
    <x v="1"/>
    <s v="二组"/>
    <s v="苏州二组"/>
    <s v="普通员工"/>
    <n v="4250.37"/>
    <n v="2020"/>
    <x v="2"/>
  </r>
  <r>
    <x v="86"/>
    <n v="1000000067"/>
    <s v="借呗9期"/>
    <n v="1"/>
    <n v="500.01"/>
    <s v="借呗"/>
    <x v="3"/>
    <x v="0"/>
    <x v="1"/>
    <s v="二组"/>
    <s v="苏州二组"/>
    <s v="普通员工"/>
    <n v="500.01"/>
    <n v="2020"/>
    <x v="2"/>
  </r>
  <r>
    <x v="86"/>
    <n v="1000000068"/>
    <s v="借呗12期"/>
    <n v="2"/>
    <n v="12000.45"/>
    <s v="借呗"/>
    <x v="0"/>
    <x v="1"/>
    <x v="7"/>
    <s v="一组"/>
    <s v="重庆一组"/>
    <s v="管理人员"/>
    <n v="6000.2250000000004"/>
    <n v="2020"/>
    <x v="2"/>
  </r>
  <r>
    <x v="86"/>
    <n v="1000000068"/>
    <s v="借呗18期"/>
    <n v="1"/>
    <n v="1500.09"/>
    <s v="借呗"/>
    <x v="2"/>
    <x v="1"/>
    <x v="7"/>
    <s v="一组"/>
    <s v="重庆一组"/>
    <s v="管理人员"/>
    <n v="1500.09"/>
    <n v="2020"/>
    <x v="2"/>
  </r>
  <r>
    <x v="86"/>
    <n v="1000000104"/>
    <s v="借呗12期"/>
    <n v="1"/>
    <n v="5500.43"/>
    <s v="借呗"/>
    <x v="0"/>
    <x v="0"/>
    <x v="5"/>
    <s v="一组"/>
    <s v="合肥一组"/>
    <s v="普通员工"/>
    <n v="5500.43"/>
    <n v="2020"/>
    <x v="2"/>
  </r>
  <r>
    <x v="86"/>
    <n v="1000000104"/>
    <s v="借呗18期"/>
    <n v="1"/>
    <n v="9000.6"/>
    <s v="借呗"/>
    <x v="2"/>
    <x v="0"/>
    <x v="5"/>
    <s v="一组"/>
    <s v="合肥一组"/>
    <s v="普通员工"/>
    <n v="9000.6"/>
    <n v="2020"/>
    <x v="2"/>
  </r>
  <r>
    <x v="86"/>
    <n v="1000000266"/>
    <s v="借呗6期"/>
    <n v="1"/>
    <n v="19999.96"/>
    <s v="借呗"/>
    <x v="1"/>
    <x v="1"/>
    <x v="7"/>
    <s v="一组"/>
    <s v="重庆一组"/>
    <s v="普通员工"/>
    <n v="19999.96"/>
    <n v="2020"/>
    <x v="2"/>
  </r>
  <r>
    <x v="86"/>
    <n v="1000000266"/>
    <s v="借呗12期"/>
    <n v="1"/>
    <n v="10000.36"/>
    <s v="借呗"/>
    <x v="0"/>
    <x v="1"/>
    <x v="7"/>
    <s v="一组"/>
    <s v="重庆一组"/>
    <s v="普通员工"/>
    <n v="10000.36"/>
    <n v="2020"/>
    <x v="2"/>
  </r>
  <r>
    <x v="86"/>
    <n v="1000000566"/>
    <s v="借呗6期"/>
    <n v="1"/>
    <n v="11000.08"/>
    <s v="借呗"/>
    <x v="1"/>
    <x v="2"/>
    <x v="6"/>
    <s v="三组"/>
    <s v="广州三组"/>
    <s v="普通员工"/>
    <n v="11000.08"/>
    <n v="2020"/>
    <x v="2"/>
  </r>
  <r>
    <x v="86"/>
    <n v="1000000566"/>
    <s v="借呗12期"/>
    <n v="1"/>
    <n v="4999.99"/>
    <s v="借呗"/>
    <x v="0"/>
    <x v="2"/>
    <x v="6"/>
    <s v="三组"/>
    <s v="广州三组"/>
    <s v="普通员工"/>
    <n v="4999.99"/>
    <n v="2020"/>
    <x v="2"/>
  </r>
  <r>
    <x v="86"/>
    <n v="1000000594"/>
    <s v="借呗12期"/>
    <n v="3"/>
    <n v="64000.99"/>
    <s v="借呗"/>
    <x v="0"/>
    <x v="0"/>
    <x v="1"/>
    <s v="二组"/>
    <s v="苏州二组"/>
    <s v="普通员工"/>
    <n v="21333.663333333334"/>
    <n v="2020"/>
    <x v="2"/>
  </r>
  <r>
    <x v="86"/>
    <n v="1000000928"/>
    <s v="借呗6期"/>
    <n v="1"/>
    <n v="18000.5"/>
    <s v="借呗"/>
    <x v="1"/>
    <x v="1"/>
    <x v="8"/>
    <s v="一组"/>
    <s v="西安一组"/>
    <s v="普通员工"/>
    <n v="18000.5"/>
    <n v="2020"/>
    <x v="2"/>
  </r>
  <r>
    <x v="86"/>
    <n v="1000000928"/>
    <s v="借呗9期"/>
    <n v="1"/>
    <n v="539.99"/>
    <s v="借呗"/>
    <x v="3"/>
    <x v="1"/>
    <x v="8"/>
    <s v="一组"/>
    <s v="西安一组"/>
    <s v="普通员工"/>
    <n v="539.99"/>
    <n v="2020"/>
    <x v="2"/>
  </r>
  <r>
    <x v="86"/>
    <n v="1000001524"/>
    <s v="借呗6期"/>
    <n v="1"/>
    <n v="30000.03"/>
    <s v="借呗"/>
    <x v="1"/>
    <x v="0"/>
    <x v="1"/>
    <s v="二组"/>
    <s v="苏州二组"/>
    <s v="普通员工"/>
    <n v="30000.03"/>
    <n v="2020"/>
    <x v="2"/>
  </r>
  <r>
    <x v="86"/>
    <n v="1000002134"/>
    <s v="借呗18期"/>
    <n v="1"/>
    <n v="20000.07"/>
    <s v="借呗"/>
    <x v="2"/>
    <x v="0"/>
    <x v="5"/>
    <s v="二组"/>
    <s v="合肥二组"/>
    <s v="普通员工"/>
    <n v="20000.07"/>
    <n v="2020"/>
    <x v="2"/>
  </r>
  <r>
    <x v="86"/>
    <n v="1000002861"/>
    <s v="借呗12期"/>
    <n v="1"/>
    <n v="11000.43"/>
    <s v="借呗"/>
    <x v="0"/>
    <x v="2"/>
    <x v="6"/>
    <s v="三组"/>
    <s v="广州三组"/>
    <s v="普通员工"/>
    <n v="11000.43"/>
    <n v="2020"/>
    <x v="2"/>
  </r>
  <r>
    <x v="86"/>
    <n v="1000002861"/>
    <s v="借呗18期"/>
    <n v="1"/>
    <n v="18000.32"/>
    <s v="借呗"/>
    <x v="2"/>
    <x v="2"/>
    <x v="6"/>
    <s v="三组"/>
    <s v="广州三组"/>
    <s v="普通员工"/>
    <n v="18000.32"/>
    <n v="2020"/>
    <x v="2"/>
  </r>
  <r>
    <x v="86"/>
    <n v="1000003489"/>
    <s v="借呗18期"/>
    <n v="1"/>
    <n v="15000.71"/>
    <s v="借呗"/>
    <x v="2"/>
    <x v="2"/>
    <x v="6"/>
    <s v="一组"/>
    <s v="广州一组"/>
    <s v="普通员工"/>
    <n v="15000.71"/>
    <n v="2020"/>
    <x v="2"/>
  </r>
  <r>
    <x v="86"/>
    <n v="1000003926"/>
    <s v="借呗6期"/>
    <n v="2"/>
    <n v="37000.6"/>
    <s v="借呗"/>
    <x v="1"/>
    <x v="2"/>
    <x v="6"/>
    <s v="一组"/>
    <s v="广州一组"/>
    <s v="管理人员"/>
    <n v="18500.3"/>
    <n v="2020"/>
    <x v="2"/>
  </r>
  <r>
    <x v="86"/>
    <n v="1000003926"/>
    <s v="借呗12期"/>
    <n v="1"/>
    <n v="12999.98"/>
    <s v="借呗"/>
    <x v="0"/>
    <x v="2"/>
    <x v="6"/>
    <s v="一组"/>
    <s v="广州一组"/>
    <s v="管理人员"/>
    <n v="12999.98"/>
    <n v="2020"/>
    <x v="2"/>
  </r>
  <r>
    <x v="86"/>
    <n v="1000003989"/>
    <s v="借呗12期"/>
    <n v="1"/>
    <n v="15000.31"/>
    <s v="借呗"/>
    <x v="0"/>
    <x v="1"/>
    <x v="2"/>
    <s v="三组"/>
    <s v="北京三组"/>
    <s v="普通员工"/>
    <n v="15000.31"/>
    <n v="2020"/>
    <x v="2"/>
  </r>
  <r>
    <x v="86"/>
    <n v="1000004256"/>
    <s v="借呗12期"/>
    <n v="1"/>
    <n v="10000.6"/>
    <s v="借呗"/>
    <x v="0"/>
    <x v="0"/>
    <x v="5"/>
    <s v="一组"/>
    <s v="合肥一组"/>
    <s v="普通员工"/>
    <n v="10000.6"/>
    <n v="2020"/>
    <x v="2"/>
  </r>
  <r>
    <x v="86"/>
    <n v="1000004256"/>
    <s v="借呗18期"/>
    <n v="1"/>
    <n v="20000.34"/>
    <s v="借呗"/>
    <x v="2"/>
    <x v="0"/>
    <x v="5"/>
    <s v="一组"/>
    <s v="合肥一组"/>
    <s v="普通员工"/>
    <n v="20000.34"/>
    <n v="2020"/>
    <x v="2"/>
  </r>
  <r>
    <x v="86"/>
    <n v="1000006698"/>
    <s v="借呗6期"/>
    <n v="1"/>
    <n v="10000.59"/>
    <s v="借呗"/>
    <x v="1"/>
    <x v="1"/>
    <x v="4"/>
    <s v="一组"/>
    <s v="成都一组"/>
    <s v="管理人员"/>
    <n v="10000.59"/>
    <n v="2020"/>
    <x v="2"/>
  </r>
  <r>
    <x v="86"/>
    <n v="1000006698"/>
    <s v="借呗12期"/>
    <n v="1"/>
    <n v="7500.33"/>
    <s v="借呗"/>
    <x v="0"/>
    <x v="1"/>
    <x v="4"/>
    <s v="一组"/>
    <s v="成都一组"/>
    <s v="管理人员"/>
    <n v="7500.33"/>
    <n v="2020"/>
    <x v="2"/>
  </r>
  <r>
    <x v="86"/>
    <n v="1000008228"/>
    <s v="借呗6期"/>
    <n v="1"/>
    <n v="6000.11"/>
    <s v="借呗"/>
    <x v="1"/>
    <x v="1"/>
    <x v="2"/>
    <s v="三组"/>
    <s v="北京三组"/>
    <s v="普通员工"/>
    <n v="6000.11"/>
    <n v="2020"/>
    <x v="2"/>
  </r>
  <r>
    <x v="86"/>
    <n v="1000008239"/>
    <s v="借呗6期"/>
    <n v="1"/>
    <n v="9000.1200000000008"/>
    <s v="借呗"/>
    <x v="1"/>
    <x v="0"/>
    <x v="10"/>
    <s v="一组"/>
    <s v="南京一组"/>
    <s v="管理人员"/>
    <n v="9000.1200000000008"/>
    <n v="2020"/>
    <x v="2"/>
  </r>
  <r>
    <x v="86"/>
    <n v="1000008239"/>
    <s v="借呗12期"/>
    <n v="1"/>
    <n v="13000.69"/>
    <s v="借呗"/>
    <x v="0"/>
    <x v="0"/>
    <x v="10"/>
    <s v="一组"/>
    <s v="南京一组"/>
    <s v="管理人员"/>
    <n v="13000.69"/>
    <n v="2020"/>
    <x v="2"/>
  </r>
  <r>
    <x v="86"/>
    <n v="1000008542"/>
    <s v="借呗6期"/>
    <n v="1"/>
    <n v="1500.67"/>
    <s v="借呗"/>
    <x v="1"/>
    <x v="0"/>
    <x v="5"/>
    <s v="一组"/>
    <s v="合肥一组"/>
    <s v="普通员工"/>
    <n v="1500.67"/>
    <n v="2020"/>
    <x v="2"/>
  </r>
  <r>
    <x v="86"/>
    <n v="1000008957"/>
    <s v="花呗12期"/>
    <n v="1"/>
    <n v="738.3"/>
    <s v="花呗"/>
    <x v="0"/>
    <x v="0"/>
    <x v="3"/>
    <s v="二组"/>
    <s v="上海二组"/>
    <s v="普通员工"/>
    <n v="738.3"/>
    <n v="2020"/>
    <x v="2"/>
  </r>
  <r>
    <x v="86"/>
    <n v="1000008957"/>
    <s v="借呗9期"/>
    <n v="1"/>
    <n v="552.05999999999995"/>
    <s v="借呗"/>
    <x v="3"/>
    <x v="0"/>
    <x v="3"/>
    <s v="二组"/>
    <s v="上海二组"/>
    <s v="普通员工"/>
    <n v="552.05999999999995"/>
    <n v="2020"/>
    <x v="2"/>
  </r>
  <r>
    <x v="86"/>
    <n v="1000010814"/>
    <s v="借呗6期"/>
    <n v="1"/>
    <n v="11000.69"/>
    <s v="借呗"/>
    <x v="1"/>
    <x v="0"/>
    <x v="10"/>
    <s v="四组"/>
    <s v="南京四组"/>
    <s v="普通员工"/>
    <n v="11000.69"/>
    <n v="2020"/>
    <x v="2"/>
  </r>
  <r>
    <x v="86"/>
    <n v="1000010881"/>
    <s v="借呗6期"/>
    <n v="1"/>
    <n v="10000.23"/>
    <s v="借呗"/>
    <x v="1"/>
    <x v="2"/>
    <x v="6"/>
    <s v="一组"/>
    <s v="广州一组"/>
    <s v="普通员工"/>
    <n v="10000.23"/>
    <n v="2020"/>
    <x v="2"/>
  </r>
  <r>
    <x v="86"/>
    <n v="1000011697"/>
    <s v="借呗6期"/>
    <n v="3"/>
    <n v="28502.51"/>
    <s v="借呗"/>
    <x v="1"/>
    <x v="0"/>
    <x v="3"/>
    <s v="二组"/>
    <s v="上海二组"/>
    <s v="普通员工"/>
    <n v="9500.8366666666661"/>
    <n v="2020"/>
    <x v="2"/>
  </r>
  <r>
    <x v="86"/>
    <n v="1000011697"/>
    <s v="借呗18期"/>
    <n v="1"/>
    <n v="6501.3"/>
    <s v="借呗"/>
    <x v="2"/>
    <x v="0"/>
    <x v="3"/>
    <s v="二组"/>
    <s v="上海二组"/>
    <s v="普通员工"/>
    <n v="6501.3"/>
    <n v="2020"/>
    <x v="2"/>
  </r>
  <r>
    <x v="86"/>
    <n v="1000011698"/>
    <s v="借呗6期"/>
    <n v="2"/>
    <n v="28000.65"/>
    <s v="借呗"/>
    <x v="1"/>
    <x v="0"/>
    <x v="3"/>
    <s v="二组"/>
    <s v="上海二组"/>
    <s v="普通员工"/>
    <n v="14000.325000000001"/>
    <n v="2020"/>
    <x v="2"/>
  </r>
  <r>
    <x v="86"/>
    <n v="1000011828"/>
    <s v="借呗6期"/>
    <n v="1"/>
    <n v="6500.7"/>
    <s v="借呗"/>
    <x v="1"/>
    <x v="0"/>
    <x v="0"/>
    <s v="二组"/>
    <s v="杭州二组"/>
    <s v="普通员工"/>
    <n v="6500.7"/>
    <n v="2020"/>
    <x v="2"/>
  </r>
  <r>
    <x v="86"/>
    <n v="1000012099"/>
    <s v="借呗12期"/>
    <n v="2"/>
    <n v="30000.3"/>
    <s v="借呗"/>
    <x v="0"/>
    <x v="0"/>
    <x v="0"/>
    <s v="二组"/>
    <s v="杭州二组"/>
    <s v="普通员工"/>
    <n v="15000.15"/>
    <n v="2020"/>
    <x v="2"/>
  </r>
  <r>
    <x v="86"/>
    <n v="1000012099"/>
    <s v="借呗18期"/>
    <n v="2"/>
    <n v="35001.360000000001"/>
    <s v="借呗"/>
    <x v="2"/>
    <x v="0"/>
    <x v="0"/>
    <s v="二组"/>
    <s v="杭州二组"/>
    <s v="普通员工"/>
    <n v="17500.68"/>
    <n v="2020"/>
    <x v="2"/>
  </r>
  <r>
    <x v="86"/>
    <n v="1000012112"/>
    <s v="借呗1期"/>
    <n v="1"/>
    <n v="1000.56"/>
    <s v="借呗"/>
    <x v="5"/>
    <x v="0"/>
    <x v="0"/>
    <s v="三组"/>
    <s v="杭州三组"/>
    <s v="管理人员"/>
    <n v="1000.56"/>
    <n v="2020"/>
    <x v="2"/>
  </r>
  <r>
    <x v="86"/>
    <n v="1000012112"/>
    <s v="借呗6期"/>
    <n v="2"/>
    <n v="24000.43"/>
    <s v="借呗"/>
    <x v="1"/>
    <x v="0"/>
    <x v="0"/>
    <s v="三组"/>
    <s v="杭州三组"/>
    <s v="管理人员"/>
    <n v="12000.215"/>
    <n v="2020"/>
    <x v="2"/>
  </r>
  <r>
    <x v="86"/>
    <n v="1000012112"/>
    <s v="借呗12期"/>
    <n v="2"/>
    <n v="18500.29"/>
    <s v="借呗"/>
    <x v="0"/>
    <x v="0"/>
    <x v="0"/>
    <s v="三组"/>
    <s v="杭州三组"/>
    <s v="管理人员"/>
    <n v="9250.1450000000004"/>
    <n v="2020"/>
    <x v="2"/>
  </r>
  <r>
    <x v="86"/>
    <n v="1000012124"/>
    <s v="借呗6期"/>
    <n v="1"/>
    <n v="10000.17"/>
    <s v="借呗"/>
    <x v="1"/>
    <x v="0"/>
    <x v="0"/>
    <s v="一组"/>
    <s v="杭州一组"/>
    <s v="普通员工"/>
    <n v="10000.17"/>
    <n v="2020"/>
    <x v="2"/>
  </r>
  <r>
    <x v="86"/>
    <n v="1000012124"/>
    <s v="借呗12期"/>
    <n v="1"/>
    <n v="9000.2199999999993"/>
    <s v="借呗"/>
    <x v="0"/>
    <x v="0"/>
    <x v="0"/>
    <s v="一组"/>
    <s v="杭州一组"/>
    <s v="普通员工"/>
    <n v="9000.2199999999993"/>
    <n v="2020"/>
    <x v="2"/>
  </r>
  <r>
    <x v="86"/>
    <n v="1000012234"/>
    <s v="借呗6期"/>
    <n v="1"/>
    <n v="5000.4399999999996"/>
    <s v="借呗"/>
    <x v="1"/>
    <x v="0"/>
    <x v="1"/>
    <s v="一组"/>
    <s v="苏州一组"/>
    <s v="普通员工"/>
    <n v="5000.4399999999996"/>
    <n v="2020"/>
    <x v="2"/>
  </r>
  <r>
    <x v="86"/>
    <n v="1000012234"/>
    <s v="借呗12期"/>
    <n v="2"/>
    <n v="20000.940000000002"/>
    <s v="借呗"/>
    <x v="0"/>
    <x v="0"/>
    <x v="1"/>
    <s v="一组"/>
    <s v="苏州一组"/>
    <s v="普通员工"/>
    <n v="10000.470000000001"/>
    <n v="2020"/>
    <x v="2"/>
  </r>
  <r>
    <x v="86"/>
    <n v="1000012446"/>
    <s v="借呗6期"/>
    <n v="1"/>
    <n v="1499.98"/>
    <s v="借呗"/>
    <x v="1"/>
    <x v="1"/>
    <x v="2"/>
    <s v="三组"/>
    <s v="北京三组"/>
    <s v="普通员工"/>
    <n v="1499.98"/>
    <n v="2020"/>
    <x v="2"/>
  </r>
  <r>
    <x v="86"/>
    <n v="1000012446"/>
    <s v="借呗9期"/>
    <n v="1"/>
    <n v="3500.3"/>
    <s v="借呗"/>
    <x v="3"/>
    <x v="1"/>
    <x v="2"/>
    <s v="三组"/>
    <s v="北京三组"/>
    <s v="普通员工"/>
    <n v="3500.3"/>
    <n v="2020"/>
    <x v="2"/>
  </r>
  <r>
    <x v="86"/>
    <n v="1000012675"/>
    <s v="借呗6期"/>
    <n v="2"/>
    <n v="17501.13"/>
    <s v="借呗"/>
    <x v="1"/>
    <x v="0"/>
    <x v="3"/>
    <s v="一组"/>
    <s v="上海一组"/>
    <s v="普通员工"/>
    <n v="8750.5650000000005"/>
    <n v="2020"/>
    <x v="2"/>
  </r>
  <r>
    <x v="86"/>
    <n v="1000012675"/>
    <s v="借呗12期"/>
    <n v="1"/>
    <n v="10000.74"/>
    <s v="借呗"/>
    <x v="0"/>
    <x v="0"/>
    <x v="3"/>
    <s v="一组"/>
    <s v="上海一组"/>
    <s v="普通员工"/>
    <n v="10000.74"/>
    <n v="2020"/>
    <x v="2"/>
  </r>
  <r>
    <x v="86"/>
    <n v="1000013526"/>
    <s v="借呗18期"/>
    <n v="1"/>
    <n v="11000.09"/>
    <s v="借呗"/>
    <x v="2"/>
    <x v="2"/>
    <x v="11"/>
    <s v="一组"/>
    <s v="南宁一组"/>
    <s v="普通员工"/>
    <n v="11000.09"/>
    <n v="2020"/>
    <x v="2"/>
  </r>
  <r>
    <x v="86"/>
    <n v="1000013607"/>
    <s v="借呗12期"/>
    <n v="1"/>
    <n v="22000.09"/>
    <s v="借呗"/>
    <x v="0"/>
    <x v="0"/>
    <x v="1"/>
    <s v="一组"/>
    <s v="苏州一组"/>
    <s v="普通员工"/>
    <n v="22000.09"/>
    <n v="2020"/>
    <x v="2"/>
  </r>
  <r>
    <x v="86"/>
    <n v="1000014037"/>
    <s v="借呗12期"/>
    <n v="1"/>
    <n v="4999.93"/>
    <s v="借呗"/>
    <x v="0"/>
    <x v="0"/>
    <x v="1"/>
    <s v="三组"/>
    <s v="苏州三组"/>
    <s v="普通员工"/>
    <n v="4999.93"/>
    <n v="2020"/>
    <x v="2"/>
  </r>
  <r>
    <x v="86"/>
    <n v="1000014072"/>
    <s v="借呗6期"/>
    <n v="1"/>
    <n v="13000.35"/>
    <s v="借呗"/>
    <x v="1"/>
    <x v="2"/>
    <x v="11"/>
    <s v="一组"/>
    <s v="南宁一组"/>
    <s v="普通员工"/>
    <n v="13000.35"/>
    <n v="2020"/>
    <x v="2"/>
  </r>
  <r>
    <x v="86"/>
    <n v="1000014072"/>
    <s v="借呗12期"/>
    <n v="1"/>
    <n v="20000.02"/>
    <s v="借呗"/>
    <x v="0"/>
    <x v="2"/>
    <x v="11"/>
    <s v="一组"/>
    <s v="南宁一组"/>
    <s v="普通员工"/>
    <n v="20000.02"/>
    <n v="2020"/>
    <x v="2"/>
  </r>
  <r>
    <x v="86"/>
    <n v="1000014273"/>
    <s v="借呗6期"/>
    <n v="1"/>
    <n v="15000.72"/>
    <s v="借呗"/>
    <x v="1"/>
    <x v="0"/>
    <x v="0"/>
    <s v="二组"/>
    <s v="杭州二组"/>
    <s v="普通员工"/>
    <n v="15000.72"/>
    <n v="2020"/>
    <x v="2"/>
  </r>
  <r>
    <x v="86"/>
    <n v="1000014291"/>
    <s v="借呗6期"/>
    <n v="4"/>
    <n v="48001.23"/>
    <s v="借呗"/>
    <x v="1"/>
    <x v="2"/>
    <x v="6"/>
    <s v="二组"/>
    <s v="广州二组"/>
    <s v="管理人员"/>
    <n v="12000.307500000001"/>
    <n v="2020"/>
    <x v="2"/>
  </r>
  <r>
    <x v="86"/>
    <n v="1000014291"/>
    <s v="借呗12期"/>
    <n v="2"/>
    <n v="12000.86"/>
    <s v="借呗"/>
    <x v="0"/>
    <x v="2"/>
    <x v="6"/>
    <s v="二组"/>
    <s v="广州二组"/>
    <s v="管理人员"/>
    <n v="6000.43"/>
    <n v="2020"/>
    <x v="2"/>
  </r>
  <r>
    <x v="86"/>
    <n v="1000014291"/>
    <s v="借呗18期"/>
    <n v="1"/>
    <n v="7000.69"/>
    <s v="借呗"/>
    <x v="2"/>
    <x v="2"/>
    <x v="6"/>
    <s v="二组"/>
    <s v="广州二组"/>
    <s v="管理人员"/>
    <n v="7000.69"/>
    <n v="2020"/>
    <x v="2"/>
  </r>
  <r>
    <x v="86"/>
    <n v="1000014452"/>
    <s v="借呗18期"/>
    <n v="1"/>
    <n v="4999.9799999999996"/>
    <s v="借呗"/>
    <x v="2"/>
    <x v="0"/>
    <x v="3"/>
    <s v="三组"/>
    <s v="上海三组"/>
    <s v="普通员工"/>
    <n v="4999.9799999999996"/>
    <n v="2020"/>
    <x v="2"/>
  </r>
  <r>
    <x v="86"/>
    <n v="1000014530"/>
    <s v="借呗6期"/>
    <n v="1"/>
    <n v="15000.02"/>
    <s v="借呗"/>
    <x v="1"/>
    <x v="2"/>
    <x v="11"/>
    <s v="一组"/>
    <s v="南宁一组"/>
    <s v="普通员工"/>
    <n v="15000.02"/>
    <n v="2020"/>
    <x v="2"/>
  </r>
  <r>
    <x v="86"/>
    <n v="1000014530"/>
    <s v="借呗12期"/>
    <n v="2"/>
    <n v="17501.330000000002"/>
    <s v="借呗"/>
    <x v="0"/>
    <x v="2"/>
    <x v="11"/>
    <s v="一组"/>
    <s v="南宁一组"/>
    <s v="普通员工"/>
    <n v="8750.6650000000009"/>
    <n v="2020"/>
    <x v="2"/>
  </r>
  <r>
    <x v="86"/>
    <n v="1000014530"/>
    <s v="借呗18期"/>
    <n v="1"/>
    <n v="30000.69"/>
    <s v="借呗"/>
    <x v="2"/>
    <x v="2"/>
    <x v="11"/>
    <s v="一组"/>
    <s v="南宁一组"/>
    <s v="普通员工"/>
    <n v="30000.69"/>
    <n v="2020"/>
    <x v="2"/>
  </r>
  <r>
    <x v="86"/>
    <n v="1000014588"/>
    <s v="借呗18期"/>
    <n v="1"/>
    <n v="6000.49"/>
    <s v="借呗"/>
    <x v="2"/>
    <x v="0"/>
    <x v="5"/>
    <s v="二组"/>
    <s v="合肥二组"/>
    <s v="普通员工"/>
    <n v="6000.49"/>
    <n v="2020"/>
    <x v="2"/>
  </r>
  <r>
    <x v="86"/>
    <n v="1000014996"/>
    <s v="借呗6期"/>
    <n v="1"/>
    <n v="7500.32"/>
    <s v="借呗"/>
    <x v="1"/>
    <x v="1"/>
    <x v="8"/>
    <s v="一组"/>
    <s v="西安一组"/>
    <s v="普通员工"/>
    <n v="7500.32"/>
    <n v="2020"/>
    <x v="2"/>
  </r>
  <r>
    <x v="86"/>
    <n v="1000015013"/>
    <s v="借呗6期"/>
    <n v="1"/>
    <n v="3000.53"/>
    <s v="借呗"/>
    <x v="1"/>
    <x v="0"/>
    <x v="0"/>
    <s v="一组"/>
    <s v="杭州一组"/>
    <s v="普通员工"/>
    <n v="3000.53"/>
    <n v="2020"/>
    <x v="2"/>
  </r>
  <r>
    <x v="86"/>
    <n v="1000015015"/>
    <s v="借呗12期"/>
    <n v="1"/>
    <n v="3000.07"/>
    <s v="借呗"/>
    <x v="0"/>
    <x v="0"/>
    <x v="10"/>
    <s v="一组"/>
    <s v="南京一组"/>
    <s v="普通员工"/>
    <n v="3000.07"/>
    <n v="2020"/>
    <x v="2"/>
  </r>
  <r>
    <x v="86"/>
    <n v="1000015133"/>
    <s v="借呗6期"/>
    <n v="2"/>
    <n v="27999.960000000003"/>
    <s v="借呗"/>
    <x v="1"/>
    <x v="1"/>
    <x v="2"/>
    <s v="三组"/>
    <s v="北京三组"/>
    <s v="普通员工"/>
    <n v="13999.980000000001"/>
    <n v="2020"/>
    <x v="2"/>
  </r>
  <r>
    <x v="86"/>
    <n v="1000015133"/>
    <s v="借呗12期"/>
    <n v="1"/>
    <n v="13000.47"/>
    <s v="借呗"/>
    <x v="0"/>
    <x v="1"/>
    <x v="2"/>
    <s v="三组"/>
    <s v="北京三组"/>
    <s v="普通员工"/>
    <n v="13000.47"/>
    <n v="2020"/>
    <x v="2"/>
  </r>
  <r>
    <x v="86"/>
    <n v="1000015203"/>
    <s v="借呗6期"/>
    <n v="1"/>
    <n v="15000.6"/>
    <s v="借呗"/>
    <x v="1"/>
    <x v="2"/>
    <x v="11"/>
    <s v="一组"/>
    <s v="南宁一组"/>
    <s v="普通员工"/>
    <n v="15000.6"/>
    <n v="2020"/>
    <x v="2"/>
  </r>
  <r>
    <x v="86"/>
    <n v="1000015203"/>
    <s v="借呗18期"/>
    <n v="1"/>
    <n v="18000.400000000001"/>
    <s v="借呗"/>
    <x v="2"/>
    <x v="2"/>
    <x v="11"/>
    <s v="一组"/>
    <s v="南宁一组"/>
    <s v="普通员工"/>
    <n v="18000.400000000001"/>
    <n v="2020"/>
    <x v="2"/>
  </r>
  <r>
    <x v="86"/>
    <n v="1000017576"/>
    <s v="借呗6期"/>
    <n v="1"/>
    <n v="5500.27"/>
    <s v="借呗"/>
    <x v="1"/>
    <x v="0"/>
    <x v="0"/>
    <s v="三组"/>
    <s v="杭州三组"/>
    <s v="普通员工"/>
    <n v="5500.27"/>
    <n v="2020"/>
    <x v="2"/>
  </r>
  <r>
    <x v="86"/>
    <n v="1000017576"/>
    <s v="借呗12期"/>
    <n v="3"/>
    <n v="47001.319999999992"/>
    <s v="借呗"/>
    <x v="0"/>
    <x v="0"/>
    <x v="0"/>
    <s v="三组"/>
    <s v="杭州三组"/>
    <s v="普通员工"/>
    <n v="15667.106666666665"/>
    <n v="2020"/>
    <x v="2"/>
  </r>
  <r>
    <x v="86"/>
    <n v="1000017576"/>
    <s v="借呗18期"/>
    <n v="1"/>
    <n v="18000.41"/>
    <s v="借呗"/>
    <x v="2"/>
    <x v="0"/>
    <x v="0"/>
    <s v="三组"/>
    <s v="杭州三组"/>
    <s v="普通员工"/>
    <n v="18000.41"/>
    <n v="2020"/>
    <x v="2"/>
  </r>
  <r>
    <x v="86"/>
    <n v="1000017688"/>
    <s v="借呗6期"/>
    <n v="3"/>
    <n v="37001.18"/>
    <s v="借呗"/>
    <x v="1"/>
    <x v="2"/>
    <x v="6"/>
    <s v="三组"/>
    <s v="广州三组"/>
    <s v="普通员工"/>
    <n v="12333.726666666667"/>
    <n v="2020"/>
    <x v="2"/>
  </r>
  <r>
    <x v="86"/>
    <n v="1000017700"/>
    <s v="借呗12期"/>
    <n v="2"/>
    <n v="31000.13"/>
    <s v="借呗"/>
    <x v="0"/>
    <x v="2"/>
    <x v="11"/>
    <s v="一组"/>
    <s v="南宁一组"/>
    <s v="普通员工"/>
    <n v="15500.065000000001"/>
    <n v="2020"/>
    <x v="2"/>
  </r>
  <r>
    <x v="86"/>
    <n v="1000017700"/>
    <s v="借呗18期"/>
    <n v="1"/>
    <n v="12000.58"/>
    <s v="借呗"/>
    <x v="2"/>
    <x v="2"/>
    <x v="11"/>
    <s v="一组"/>
    <s v="南宁一组"/>
    <s v="普通员工"/>
    <n v="12000.58"/>
    <n v="2020"/>
    <x v="2"/>
  </r>
  <r>
    <x v="86"/>
    <n v="1000018132"/>
    <s v="借呗12期"/>
    <n v="1"/>
    <n v="8000.02"/>
    <s v="借呗"/>
    <x v="0"/>
    <x v="2"/>
    <x v="11"/>
    <s v="一组"/>
    <s v="南宁一组"/>
    <s v="普通员工"/>
    <n v="8000.02"/>
    <n v="2020"/>
    <x v="2"/>
  </r>
  <r>
    <x v="86"/>
    <n v="1000018134"/>
    <s v="借呗6期"/>
    <n v="1"/>
    <n v="16000.14"/>
    <s v="借呗"/>
    <x v="1"/>
    <x v="0"/>
    <x v="5"/>
    <s v="一组"/>
    <s v="合肥一组"/>
    <s v="普通员工"/>
    <n v="16000.14"/>
    <n v="2020"/>
    <x v="2"/>
  </r>
  <r>
    <x v="86"/>
    <n v="1000020084"/>
    <s v="借呗6期"/>
    <n v="1"/>
    <n v="14000.18"/>
    <s v="借呗"/>
    <x v="1"/>
    <x v="2"/>
    <x v="9"/>
    <s v="一组"/>
    <s v="深圳一组"/>
    <s v="普通员工"/>
    <n v="14000.18"/>
    <n v="2020"/>
    <x v="2"/>
  </r>
  <r>
    <x v="86"/>
    <n v="1000020087"/>
    <s v="借呗6期"/>
    <n v="4"/>
    <n v="49000.69"/>
    <s v="借呗"/>
    <x v="1"/>
    <x v="2"/>
    <x v="6"/>
    <s v="一组"/>
    <s v="广州一组"/>
    <s v="普通员工"/>
    <n v="12250.172500000001"/>
    <n v="2020"/>
    <x v="2"/>
  </r>
  <r>
    <x v="86"/>
    <n v="1000020128"/>
    <s v="借呗12期"/>
    <n v="1"/>
    <n v="30000.7"/>
    <s v="借呗"/>
    <x v="0"/>
    <x v="1"/>
    <x v="8"/>
    <s v="一组"/>
    <s v="西安一组"/>
    <s v="管理人员"/>
    <n v="30000.7"/>
    <n v="2020"/>
    <x v="2"/>
  </r>
  <r>
    <x v="86"/>
    <n v="1000020921"/>
    <s v="借呗12期"/>
    <n v="2"/>
    <n v="21000.18"/>
    <s v="借呗"/>
    <x v="0"/>
    <x v="2"/>
    <x v="11"/>
    <s v="一组"/>
    <s v="南宁一组"/>
    <s v="普通员工"/>
    <n v="10500.09"/>
    <n v="2020"/>
    <x v="2"/>
  </r>
  <r>
    <x v="87"/>
    <n v="1000000028"/>
    <s v="借呗1期"/>
    <n v="1"/>
    <n v="3177.36"/>
    <s v="借呗"/>
    <x v="5"/>
    <x v="0"/>
    <x v="0"/>
    <s v="二组"/>
    <s v="杭州二组"/>
    <s v="普通员工"/>
    <n v="3177.36"/>
    <n v="2020"/>
    <x v="2"/>
  </r>
  <r>
    <x v="87"/>
    <n v="1000000029"/>
    <s v="借呗6期"/>
    <n v="1"/>
    <n v="25000.01"/>
    <s v="借呗"/>
    <x v="1"/>
    <x v="0"/>
    <x v="0"/>
    <s v="二组"/>
    <s v="杭州二组"/>
    <s v="普通员工"/>
    <n v="25000.01"/>
    <n v="2020"/>
    <x v="2"/>
  </r>
  <r>
    <x v="87"/>
    <n v="1000000029"/>
    <s v="借呗12期"/>
    <n v="1"/>
    <n v="3000.14"/>
    <s v="借呗"/>
    <x v="0"/>
    <x v="0"/>
    <x v="0"/>
    <s v="二组"/>
    <s v="杭州二组"/>
    <s v="普通员工"/>
    <n v="3000.14"/>
    <n v="2020"/>
    <x v="2"/>
  </r>
  <r>
    <x v="87"/>
    <n v="1000000029"/>
    <s v="借呗18期"/>
    <n v="1"/>
    <n v="22000.44"/>
    <s v="借呗"/>
    <x v="2"/>
    <x v="0"/>
    <x v="0"/>
    <s v="二组"/>
    <s v="杭州二组"/>
    <s v="普通员工"/>
    <n v="22000.44"/>
    <n v="2020"/>
    <x v="2"/>
  </r>
  <r>
    <x v="87"/>
    <n v="1000000030"/>
    <s v="借呗6期"/>
    <n v="1"/>
    <n v="10000.540000000001"/>
    <s v="借呗"/>
    <x v="1"/>
    <x v="2"/>
    <x v="6"/>
    <s v="三组"/>
    <s v="广州三组"/>
    <s v="普通员工"/>
    <n v="10000.540000000001"/>
    <n v="2020"/>
    <x v="2"/>
  </r>
  <r>
    <x v="87"/>
    <n v="1000000030"/>
    <s v="借呗12期"/>
    <n v="1"/>
    <n v="11000.03"/>
    <s v="借呗"/>
    <x v="0"/>
    <x v="2"/>
    <x v="6"/>
    <s v="三组"/>
    <s v="广州三组"/>
    <s v="普通员工"/>
    <n v="11000.03"/>
    <n v="2020"/>
    <x v="2"/>
  </r>
  <r>
    <x v="87"/>
    <n v="1000000030"/>
    <s v="借呗18期"/>
    <n v="1"/>
    <n v="5000.3999999999996"/>
    <s v="借呗"/>
    <x v="2"/>
    <x v="2"/>
    <x v="6"/>
    <s v="三组"/>
    <s v="广州三组"/>
    <s v="普通员工"/>
    <n v="5000.3999999999996"/>
    <n v="2020"/>
    <x v="2"/>
  </r>
  <r>
    <x v="87"/>
    <n v="1000000031"/>
    <s v="借呗6期"/>
    <n v="2"/>
    <n v="37001.300000000003"/>
    <s v="借呗"/>
    <x v="1"/>
    <x v="0"/>
    <x v="0"/>
    <s v="一组"/>
    <s v="杭州一组"/>
    <s v="管理人员"/>
    <n v="18500.650000000001"/>
    <n v="2020"/>
    <x v="2"/>
  </r>
  <r>
    <x v="87"/>
    <n v="1000000031"/>
    <s v="借呗12期"/>
    <n v="3"/>
    <n v="41501.230000000003"/>
    <s v="借呗"/>
    <x v="0"/>
    <x v="0"/>
    <x v="0"/>
    <s v="一组"/>
    <s v="杭州一组"/>
    <s v="管理人员"/>
    <n v="13833.743333333334"/>
    <n v="2020"/>
    <x v="2"/>
  </r>
  <r>
    <x v="87"/>
    <n v="1000000032"/>
    <s v="借呗6期"/>
    <n v="1"/>
    <n v="500.45"/>
    <s v="借呗"/>
    <x v="1"/>
    <x v="0"/>
    <x v="1"/>
    <s v="一组"/>
    <s v="苏州一组"/>
    <s v="管理人员"/>
    <n v="500.45"/>
    <n v="2020"/>
    <x v="2"/>
  </r>
  <r>
    <x v="87"/>
    <n v="1000000032"/>
    <s v="借呗12期"/>
    <n v="1"/>
    <n v="17000.3"/>
    <s v="借呗"/>
    <x v="0"/>
    <x v="0"/>
    <x v="1"/>
    <s v="一组"/>
    <s v="苏州一组"/>
    <s v="管理人员"/>
    <n v="17000.3"/>
    <n v="2020"/>
    <x v="2"/>
  </r>
  <r>
    <x v="87"/>
    <n v="1000000033"/>
    <s v="借呗12期"/>
    <n v="1"/>
    <n v="9000.26"/>
    <s v="借呗"/>
    <x v="0"/>
    <x v="0"/>
    <x v="1"/>
    <s v="一组"/>
    <s v="苏州一组"/>
    <s v="普通员工"/>
    <n v="9000.26"/>
    <n v="2020"/>
    <x v="2"/>
  </r>
  <r>
    <x v="87"/>
    <n v="1000000034"/>
    <s v="借呗12期"/>
    <n v="2"/>
    <n v="30500.77"/>
    <s v="借呗"/>
    <x v="0"/>
    <x v="0"/>
    <x v="1"/>
    <s v="一组"/>
    <s v="苏州一组"/>
    <s v="普通员工"/>
    <n v="15250.385"/>
    <n v="2020"/>
    <x v="2"/>
  </r>
  <r>
    <x v="87"/>
    <n v="1000000036"/>
    <s v="借呗6期"/>
    <n v="1"/>
    <n v="8000.27"/>
    <s v="借呗"/>
    <x v="1"/>
    <x v="2"/>
    <x v="6"/>
    <s v="三组"/>
    <s v="广州三组"/>
    <s v="管理人员"/>
    <n v="8000.27"/>
    <n v="2020"/>
    <x v="2"/>
  </r>
  <r>
    <x v="87"/>
    <n v="1000000036"/>
    <s v="借呗12期"/>
    <n v="1"/>
    <n v="4001.1099999999997"/>
    <s v="借呗"/>
    <x v="0"/>
    <x v="2"/>
    <x v="6"/>
    <s v="三组"/>
    <s v="广州三组"/>
    <s v="管理人员"/>
    <n v="4001.1099999999997"/>
    <n v="2020"/>
    <x v="2"/>
  </r>
  <r>
    <x v="87"/>
    <n v="1000000037"/>
    <s v="借呗6期"/>
    <n v="2"/>
    <n v="7143.68"/>
    <s v="借呗"/>
    <x v="1"/>
    <x v="0"/>
    <x v="0"/>
    <s v="二组"/>
    <s v="杭州二组"/>
    <s v="普通员工"/>
    <n v="3571.84"/>
    <n v="2020"/>
    <x v="2"/>
  </r>
  <r>
    <x v="87"/>
    <n v="1000000037"/>
    <s v="借呗12期"/>
    <n v="1"/>
    <n v="17000.150000000001"/>
    <s v="借呗"/>
    <x v="0"/>
    <x v="0"/>
    <x v="0"/>
    <s v="二组"/>
    <s v="杭州二组"/>
    <s v="普通员工"/>
    <n v="17000.150000000001"/>
    <n v="2020"/>
    <x v="2"/>
  </r>
  <r>
    <x v="87"/>
    <n v="1000000037"/>
    <s v="借呗18期"/>
    <n v="1"/>
    <n v="13000.12"/>
    <s v="借呗"/>
    <x v="2"/>
    <x v="0"/>
    <x v="0"/>
    <s v="二组"/>
    <s v="杭州二组"/>
    <s v="普通员工"/>
    <n v="13000.12"/>
    <n v="2020"/>
    <x v="2"/>
  </r>
  <r>
    <x v="87"/>
    <n v="1000000039"/>
    <s v="借呗6期"/>
    <n v="1"/>
    <n v="10000.290000000001"/>
    <s v="借呗"/>
    <x v="1"/>
    <x v="0"/>
    <x v="1"/>
    <s v="二组"/>
    <s v="苏州二组"/>
    <s v="管理人员"/>
    <n v="10000.290000000001"/>
    <n v="2020"/>
    <x v="2"/>
  </r>
  <r>
    <x v="87"/>
    <n v="1000000039"/>
    <s v="借呗12期"/>
    <n v="1"/>
    <n v="2446.4699999999998"/>
    <s v="借呗"/>
    <x v="0"/>
    <x v="0"/>
    <x v="1"/>
    <s v="二组"/>
    <s v="苏州二组"/>
    <s v="管理人员"/>
    <n v="2446.4699999999998"/>
    <n v="2020"/>
    <x v="2"/>
  </r>
  <r>
    <x v="87"/>
    <n v="1000000040"/>
    <s v="借呗6期"/>
    <n v="1"/>
    <n v="7500.59"/>
    <s v="借呗"/>
    <x v="1"/>
    <x v="1"/>
    <x v="2"/>
    <s v="四组"/>
    <s v="北京四组"/>
    <s v="管理人员"/>
    <n v="7500.59"/>
    <n v="2020"/>
    <x v="2"/>
  </r>
  <r>
    <x v="87"/>
    <n v="1000000041"/>
    <s v="借呗18期"/>
    <n v="1"/>
    <n v="3280.08"/>
    <s v="借呗"/>
    <x v="2"/>
    <x v="1"/>
    <x v="2"/>
    <s v="四组"/>
    <s v="北京四组"/>
    <s v="普通员工"/>
    <n v="3280.08"/>
    <n v="2020"/>
    <x v="2"/>
  </r>
  <r>
    <x v="87"/>
    <n v="1000000044"/>
    <s v="借呗3期"/>
    <n v="1"/>
    <n v="1994.41"/>
    <s v="借呗"/>
    <x v="4"/>
    <x v="1"/>
    <x v="2"/>
    <s v="三组"/>
    <s v="北京三组"/>
    <s v="管理人员"/>
    <n v="1994.41"/>
    <n v="2020"/>
    <x v="2"/>
  </r>
  <r>
    <x v="87"/>
    <n v="1000000044"/>
    <s v="借呗9期"/>
    <n v="1"/>
    <n v="2000.02"/>
    <s v="借呗"/>
    <x v="3"/>
    <x v="1"/>
    <x v="2"/>
    <s v="三组"/>
    <s v="北京三组"/>
    <s v="管理人员"/>
    <n v="2000.02"/>
    <n v="2020"/>
    <x v="2"/>
  </r>
  <r>
    <x v="87"/>
    <n v="1000000044"/>
    <s v="借呗12期"/>
    <n v="1"/>
    <n v="12000.36"/>
    <s v="借呗"/>
    <x v="0"/>
    <x v="1"/>
    <x v="2"/>
    <s v="三组"/>
    <s v="北京三组"/>
    <s v="管理人员"/>
    <n v="12000.36"/>
    <n v="2020"/>
    <x v="2"/>
  </r>
  <r>
    <x v="87"/>
    <n v="1000000045"/>
    <s v="借呗1期"/>
    <n v="1"/>
    <n v="3700.58"/>
    <s v="借呗"/>
    <x v="5"/>
    <x v="2"/>
    <x v="9"/>
    <s v="一组"/>
    <s v="深圳一组"/>
    <s v="普通员工"/>
    <n v="3700.58"/>
    <n v="2020"/>
    <x v="2"/>
  </r>
  <r>
    <x v="87"/>
    <n v="1000000045"/>
    <s v="借呗6期"/>
    <n v="2"/>
    <n v="1501.05"/>
    <s v="借呗"/>
    <x v="1"/>
    <x v="2"/>
    <x v="9"/>
    <s v="一组"/>
    <s v="深圳一组"/>
    <s v="普通员工"/>
    <n v="750.52499999999998"/>
    <n v="2020"/>
    <x v="2"/>
  </r>
  <r>
    <x v="87"/>
    <n v="1000000045"/>
    <s v="借呗12期"/>
    <n v="1"/>
    <n v="999.99"/>
    <s v="借呗"/>
    <x v="0"/>
    <x v="2"/>
    <x v="9"/>
    <s v="一组"/>
    <s v="深圳一组"/>
    <s v="普通员工"/>
    <n v="999.99"/>
    <n v="2020"/>
    <x v="2"/>
  </r>
  <r>
    <x v="87"/>
    <n v="1000000056"/>
    <s v="借呗1期"/>
    <n v="1"/>
    <n v="800.43"/>
    <s v="借呗"/>
    <x v="5"/>
    <x v="0"/>
    <x v="3"/>
    <s v="一组"/>
    <s v="上海一组"/>
    <s v="管理人员"/>
    <n v="800.43"/>
    <n v="2020"/>
    <x v="2"/>
  </r>
  <r>
    <x v="87"/>
    <n v="1000000056"/>
    <s v="借呗9期"/>
    <n v="1"/>
    <n v="962.56"/>
    <s v="借呗"/>
    <x v="3"/>
    <x v="0"/>
    <x v="3"/>
    <s v="一组"/>
    <s v="上海一组"/>
    <s v="管理人员"/>
    <n v="962.56"/>
    <n v="2020"/>
    <x v="2"/>
  </r>
  <r>
    <x v="87"/>
    <n v="1000000056"/>
    <s v="借呗12期"/>
    <n v="1"/>
    <n v="20000.2"/>
    <s v="借呗"/>
    <x v="0"/>
    <x v="0"/>
    <x v="3"/>
    <s v="一组"/>
    <s v="上海一组"/>
    <s v="管理人员"/>
    <n v="20000.2"/>
    <n v="2020"/>
    <x v="2"/>
  </r>
  <r>
    <x v="87"/>
    <n v="1000000067"/>
    <s v="借呗1期"/>
    <n v="1"/>
    <n v="1600.31"/>
    <s v="借呗"/>
    <x v="5"/>
    <x v="0"/>
    <x v="1"/>
    <s v="二组"/>
    <s v="苏州二组"/>
    <s v="普通员工"/>
    <n v="1600.31"/>
    <n v="2020"/>
    <x v="2"/>
  </r>
  <r>
    <x v="87"/>
    <n v="1000000067"/>
    <s v="借呗12期"/>
    <n v="1"/>
    <n v="20000.41"/>
    <s v="借呗"/>
    <x v="0"/>
    <x v="0"/>
    <x v="1"/>
    <s v="二组"/>
    <s v="苏州二组"/>
    <s v="普通员工"/>
    <n v="20000.41"/>
    <n v="2020"/>
    <x v="2"/>
  </r>
  <r>
    <x v="87"/>
    <n v="1000000068"/>
    <s v="借呗6期"/>
    <n v="1"/>
    <n v="21000.239999999998"/>
    <s v="借呗"/>
    <x v="1"/>
    <x v="1"/>
    <x v="7"/>
    <s v="一组"/>
    <s v="重庆一组"/>
    <s v="管理人员"/>
    <n v="21000.239999999998"/>
    <n v="2020"/>
    <x v="2"/>
  </r>
  <r>
    <x v="87"/>
    <n v="1000000104"/>
    <s v="借呗12期"/>
    <n v="1"/>
    <n v="5999.93"/>
    <s v="借呗"/>
    <x v="0"/>
    <x v="0"/>
    <x v="5"/>
    <s v="一组"/>
    <s v="合肥一组"/>
    <s v="普通员工"/>
    <n v="5999.93"/>
    <n v="2020"/>
    <x v="2"/>
  </r>
  <r>
    <x v="87"/>
    <n v="1000000104"/>
    <s v="借呗18期"/>
    <n v="1"/>
    <n v="2000.52"/>
    <s v="借呗"/>
    <x v="2"/>
    <x v="0"/>
    <x v="5"/>
    <s v="一组"/>
    <s v="合肥一组"/>
    <s v="普通员工"/>
    <n v="2000.52"/>
    <n v="2020"/>
    <x v="2"/>
  </r>
  <r>
    <x v="87"/>
    <n v="1000000237"/>
    <s v="借呗18期"/>
    <n v="1"/>
    <n v="5000.6000000000004"/>
    <s v="借呗"/>
    <x v="2"/>
    <x v="0"/>
    <x v="5"/>
    <s v="一组"/>
    <s v="合肥一组"/>
    <s v="普通员工"/>
    <n v="5000.6000000000004"/>
    <n v="2020"/>
    <x v="2"/>
  </r>
  <r>
    <x v="87"/>
    <n v="1000000566"/>
    <s v="借呗6期"/>
    <n v="2"/>
    <n v="2000.73"/>
    <s v="借呗"/>
    <x v="1"/>
    <x v="2"/>
    <x v="6"/>
    <s v="三组"/>
    <s v="广州三组"/>
    <s v="普通员工"/>
    <n v="1000.365"/>
    <n v="2020"/>
    <x v="2"/>
  </r>
  <r>
    <x v="87"/>
    <n v="1000000566"/>
    <s v="借呗12期"/>
    <n v="1"/>
    <n v="500.18"/>
    <s v="借呗"/>
    <x v="0"/>
    <x v="2"/>
    <x v="6"/>
    <s v="三组"/>
    <s v="广州三组"/>
    <s v="普通员工"/>
    <n v="500.18"/>
    <n v="2020"/>
    <x v="2"/>
  </r>
  <r>
    <x v="87"/>
    <n v="1000000566"/>
    <s v="借呗18期"/>
    <n v="1"/>
    <n v="25000.2"/>
    <s v="借呗"/>
    <x v="2"/>
    <x v="2"/>
    <x v="6"/>
    <s v="三组"/>
    <s v="广州三组"/>
    <s v="普通员工"/>
    <n v="25000.2"/>
    <n v="2020"/>
    <x v="2"/>
  </r>
  <r>
    <x v="87"/>
    <n v="1000000594"/>
    <s v="借呗12期"/>
    <n v="1"/>
    <n v="1000.01"/>
    <s v="借呗"/>
    <x v="0"/>
    <x v="0"/>
    <x v="1"/>
    <s v="二组"/>
    <s v="苏州二组"/>
    <s v="普通员工"/>
    <n v="1000.01"/>
    <n v="2020"/>
    <x v="2"/>
  </r>
  <r>
    <x v="87"/>
    <n v="1000001524"/>
    <s v="借呗9期"/>
    <n v="1"/>
    <n v="4000.16"/>
    <s v="借呗"/>
    <x v="3"/>
    <x v="0"/>
    <x v="1"/>
    <s v="二组"/>
    <s v="苏州二组"/>
    <s v="普通员工"/>
    <n v="4000.16"/>
    <n v="2020"/>
    <x v="2"/>
  </r>
  <r>
    <x v="87"/>
    <n v="1000001524"/>
    <s v="借呗18期"/>
    <n v="2"/>
    <n v="18940.789999999997"/>
    <s v="借呗"/>
    <x v="2"/>
    <x v="0"/>
    <x v="1"/>
    <s v="二组"/>
    <s v="苏州二组"/>
    <s v="普通员工"/>
    <n v="9470.3949999999986"/>
    <n v="2020"/>
    <x v="2"/>
  </r>
  <r>
    <x v="87"/>
    <n v="1000002861"/>
    <s v="借呗12期"/>
    <n v="1"/>
    <n v="6500.24"/>
    <s v="借呗"/>
    <x v="0"/>
    <x v="2"/>
    <x v="6"/>
    <s v="三组"/>
    <s v="广州三组"/>
    <s v="普通员工"/>
    <n v="6500.24"/>
    <n v="2020"/>
    <x v="2"/>
  </r>
  <r>
    <x v="87"/>
    <n v="1000002861"/>
    <s v="借呗18期"/>
    <n v="1"/>
    <n v="10000.66"/>
    <s v="借呗"/>
    <x v="2"/>
    <x v="2"/>
    <x v="6"/>
    <s v="三组"/>
    <s v="广州三组"/>
    <s v="普通员工"/>
    <n v="10000.66"/>
    <n v="2020"/>
    <x v="2"/>
  </r>
  <r>
    <x v="87"/>
    <n v="1000003803"/>
    <s v="借呗12期"/>
    <n v="1"/>
    <n v="6500.3"/>
    <s v="借呗"/>
    <x v="0"/>
    <x v="1"/>
    <x v="2"/>
    <s v="三组"/>
    <s v="北京三组"/>
    <s v="普通员工"/>
    <n v="6500.3"/>
    <n v="2020"/>
    <x v="2"/>
  </r>
  <r>
    <x v="87"/>
    <n v="1000003989"/>
    <s v="借呗9期"/>
    <n v="1"/>
    <n v="1182.43"/>
    <s v="借呗"/>
    <x v="3"/>
    <x v="1"/>
    <x v="2"/>
    <s v="三组"/>
    <s v="北京三组"/>
    <s v="普通员工"/>
    <n v="1182.43"/>
    <n v="2020"/>
    <x v="2"/>
  </r>
  <r>
    <x v="87"/>
    <n v="1000004170"/>
    <s v="借呗6期"/>
    <n v="2"/>
    <n v="25000.239999999998"/>
    <s v="借呗"/>
    <x v="1"/>
    <x v="0"/>
    <x v="3"/>
    <s v="二组"/>
    <s v="上海二组"/>
    <s v="管理人员"/>
    <n v="12500.119999999999"/>
    <n v="2020"/>
    <x v="2"/>
  </r>
  <r>
    <x v="87"/>
    <n v="1000004256"/>
    <s v="借呗18期"/>
    <n v="1"/>
    <n v="17000.57"/>
    <s v="借呗"/>
    <x v="2"/>
    <x v="0"/>
    <x v="5"/>
    <s v="一组"/>
    <s v="合肥一组"/>
    <s v="普通员工"/>
    <n v="17000.57"/>
    <n v="2020"/>
    <x v="2"/>
  </r>
  <r>
    <x v="87"/>
    <n v="1000005873"/>
    <s v="借呗6期"/>
    <n v="2"/>
    <n v="27001.03"/>
    <s v="借呗"/>
    <x v="1"/>
    <x v="0"/>
    <x v="0"/>
    <s v="二组"/>
    <s v="杭州二组"/>
    <s v="管理人员"/>
    <n v="13500.514999999999"/>
    <n v="2020"/>
    <x v="2"/>
  </r>
  <r>
    <x v="87"/>
    <n v="1000006064"/>
    <s v="借呗18期"/>
    <n v="4"/>
    <n v="34500.81"/>
    <s v="借呗"/>
    <x v="2"/>
    <x v="0"/>
    <x v="5"/>
    <s v="一组"/>
    <s v="合肥一组"/>
    <s v="普通员工"/>
    <n v="8625.2024999999994"/>
    <n v="2020"/>
    <x v="2"/>
  </r>
  <r>
    <x v="87"/>
    <n v="1000006698"/>
    <s v="借呗18期"/>
    <n v="1"/>
    <n v="27000.12"/>
    <s v="借呗"/>
    <x v="2"/>
    <x v="1"/>
    <x v="4"/>
    <s v="一组"/>
    <s v="成都一组"/>
    <s v="管理人员"/>
    <n v="27000.12"/>
    <n v="2020"/>
    <x v="2"/>
  </r>
  <r>
    <x v="87"/>
    <n v="1000006859"/>
    <s v="借呗12期"/>
    <n v="1"/>
    <n v="1499.95"/>
    <s v="借呗"/>
    <x v="0"/>
    <x v="0"/>
    <x v="10"/>
    <s v="一组"/>
    <s v="南京一组"/>
    <s v="普通员工"/>
    <n v="1499.95"/>
    <n v="2020"/>
    <x v="2"/>
  </r>
  <r>
    <x v="87"/>
    <n v="1000006860"/>
    <s v="借呗3期"/>
    <n v="2"/>
    <n v="2087.33"/>
    <s v="借呗"/>
    <x v="4"/>
    <x v="0"/>
    <x v="10"/>
    <s v="一组"/>
    <s v="南京一组"/>
    <s v="普通员工"/>
    <n v="1043.665"/>
    <n v="2020"/>
    <x v="2"/>
  </r>
  <r>
    <x v="87"/>
    <n v="1000006869"/>
    <s v="借呗6期"/>
    <n v="1"/>
    <n v="9000.5499999999993"/>
    <s v="借呗"/>
    <x v="1"/>
    <x v="0"/>
    <x v="10"/>
    <s v="一组"/>
    <s v="南京一组"/>
    <s v="普通员工"/>
    <n v="9000.5499999999993"/>
    <n v="2020"/>
    <x v="2"/>
  </r>
  <r>
    <x v="87"/>
    <n v="1000006869"/>
    <s v="借呗12期"/>
    <n v="2"/>
    <n v="16001.07"/>
    <s v="借呗"/>
    <x v="0"/>
    <x v="0"/>
    <x v="10"/>
    <s v="一组"/>
    <s v="南京一组"/>
    <s v="普通员工"/>
    <n v="8000.5349999999999"/>
    <n v="2020"/>
    <x v="2"/>
  </r>
  <r>
    <x v="87"/>
    <n v="1000007320"/>
    <s v="借呗1期"/>
    <n v="1"/>
    <n v="4000.22"/>
    <s v="借呗"/>
    <x v="5"/>
    <x v="0"/>
    <x v="3"/>
    <s v="一组"/>
    <s v="上海一组"/>
    <s v="普通员工"/>
    <n v="4000.22"/>
    <n v="2020"/>
    <x v="2"/>
  </r>
  <r>
    <x v="87"/>
    <n v="1000007320"/>
    <s v="借呗12期"/>
    <n v="1"/>
    <n v="14000.17"/>
    <s v="借呗"/>
    <x v="0"/>
    <x v="0"/>
    <x v="3"/>
    <s v="一组"/>
    <s v="上海一组"/>
    <s v="普通员工"/>
    <n v="14000.17"/>
    <n v="2020"/>
    <x v="2"/>
  </r>
  <r>
    <x v="87"/>
    <n v="1000007320"/>
    <s v="借呗18期"/>
    <n v="1"/>
    <n v="15000.1"/>
    <s v="借呗"/>
    <x v="2"/>
    <x v="0"/>
    <x v="3"/>
    <s v="一组"/>
    <s v="上海一组"/>
    <s v="普通员工"/>
    <n v="15000.1"/>
    <n v="2020"/>
    <x v="2"/>
  </r>
  <r>
    <x v="87"/>
    <n v="1000008228"/>
    <s v="借呗6期"/>
    <n v="1"/>
    <n v="16000.57"/>
    <s v="借呗"/>
    <x v="1"/>
    <x v="1"/>
    <x v="2"/>
    <s v="三组"/>
    <s v="北京三组"/>
    <s v="普通员工"/>
    <n v="16000.57"/>
    <n v="2020"/>
    <x v="2"/>
  </r>
  <r>
    <x v="87"/>
    <n v="1000008542"/>
    <s v="借呗6期"/>
    <n v="1"/>
    <n v="3000.51"/>
    <s v="借呗"/>
    <x v="1"/>
    <x v="0"/>
    <x v="5"/>
    <s v="一组"/>
    <s v="合肥一组"/>
    <s v="普通员工"/>
    <n v="3000.51"/>
    <n v="2020"/>
    <x v="2"/>
  </r>
  <r>
    <x v="87"/>
    <n v="1000008542"/>
    <s v="借呗12期"/>
    <n v="1"/>
    <n v="12999.97"/>
    <s v="借呗"/>
    <x v="0"/>
    <x v="0"/>
    <x v="5"/>
    <s v="一组"/>
    <s v="合肥一组"/>
    <s v="普通员工"/>
    <n v="12999.97"/>
    <n v="2020"/>
    <x v="2"/>
  </r>
  <r>
    <x v="87"/>
    <n v="1000008542"/>
    <s v="借呗18期"/>
    <n v="2"/>
    <n v="26500.73"/>
    <s v="借呗"/>
    <x v="2"/>
    <x v="0"/>
    <x v="5"/>
    <s v="一组"/>
    <s v="合肥一组"/>
    <s v="普通员工"/>
    <n v="13250.365"/>
    <n v="2020"/>
    <x v="2"/>
  </r>
  <r>
    <x v="87"/>
    <n v="1000008957"/>
    <s v="借呗1期"/>
    <n v="1"/>
    <n v="2399.96"/>
    <s v="借呗"/>
    <x v="5"/>
    <x v="0"/>
    <x v="3"/>
    <s v="二组"/>
    <s v="上海二组"/>
    <s v="普通员工"/>
    <n v="2399.96"/>
    <n v="2020"/>
    <x v="2"/>
  </r>
  <r>
    <x v="87"/>
    <n v="1000008957"/>
    <s v="借呗12期"/>
    <n v="2"/>
    <n v="30500.36"/>
    <s v="借呗"/>
    <x v="0"/>
    <x v="0"/>
    <x v="3"/>
    <s v="二组"/>
    <s v="上海二组"/>
    <s v="普通员工"/>
    <n v="15250.18"/>
    <n v="2020"/>
    <x v="2"/>
  </r>
  <r>
    <x v="87"/>
    <n v="1000009288"/>
    <s v="借呗6期"/>
    <n v="1"/>
    <n v="5000.21"/>
    <s v="借呗"/>
    <x v="1"/>
    <x v="0"/>
    <x v="1"/>
    <s v="二组"/>
    <s v="苏州二组"/>
    <s v="普通员工"/>
    <n v="5000.21"/>
    <n v="2020"/>
    <x v="2"/>
  </r>
  <r>
    <x v="87"/>
    <n v="1000009288"/>
    <s v="借呗12期"/>
    <n v="1"/>
    <n v="22000.52"/>
    <s v="借呗"/>
    <x v="0"/>
    <x v="0"/>
    <x v="1"/>
    <s v="二组"/>
    <s v="苏州二组"/>
    <s v="普通员工"/>
    <n v="22000.52"/>
    <n v="2020"/>
    <x v="2"/>
  </r>
  <r>
    <x v="87"/>
    <n v="1000010814"/>
    <s v="借呗9期"/>
    <n v="1"/>
    <n v="2500.33"/>
    <s v="借呗"/>
    <x v="3"/>
    <x v="0"/>
    <x v="10"/>
    <s v="四组"/>
    <s v="南京四组"/>
    <s v="普通员工"/>
    <n v="2500.33"/>
    <n v="2020"/>
    <x v="2"/>
  </r>
  <r>
    <x v="87"/>
    <n v="1000010837"/>
    <s v="借呗6期"/>
    <n v="1"/>
    <n v="4999.99"/>
    <s v="借呗"/>
    <x v="1"/>
    <x v="0"/>
    <x v="10"/>
    <s v="一组"/>
    <s v="南京一组"/>
    <s v="普通员工"/>
    <n v="4999.99"/>
    <n v="2020"/>
    <x v="2"/>
  </r>
  <r>
    <x v="87"/>
    <n v="1000011697"/>
    <s v="借呗6期"/>
    <n v="1"/>
    <n v="14000.58"/>
    <s v="借呗"/>
    <x v="1"/>
    <x v="0"/>
    <x v="3"/>
    <s v="二组"/>
    <s v="上海二组"/>
    <s v="普通员工"/>
    <n v="14000.58"/>
    <n v="2020"/>
    <x v="2"/>
  </r>
  <r>
    <x v="87"/>
    <n v="1000011697"/>
    <s v="借呗12期"/>
    <n v="2"/>
    <n v="24000.510000000002"/>
    <s v="借呗"/>
    <x v="0"/>
    <x v="0"/>
    <x v="3"/>
    <s v="二组"/>
    <s v="上海二组"/>
    <s v="普通员工"/>
    <n v="12000.255000000001"/>
    <n v="2020"/>
    <x v="2"/>
  </r>
  <r>
    <x v="87"/>
    <n v="1000011698"/>
    <s v="借呗12期"/>
    <n v="1"/>
    <n v="6000.68"/>
    <s v="借呗"/>
    <x v="0"/>
    <x v="0"/>
    <x v="3"/>
    <s v="二组"/>
    <s v="上海二组"/>
    <s v="普通员工"/>
    <n v="6000.68"/>
    <n v="2020"/>
    <x v="2"/>
  </r>
  <r>
    <x v="87"/>
    <n v="1000011828"/>
    <s v="借呗6期"/>
    <n v="2"/>
    <n v="19500.189999999999"/>
    <s v="借呗"/>
    <x v="1"/>
    <x v="0"/>
    <x v="0"/>
    <s v="二组"/>
    <s v="杭州二组"/>
    <s v="普通员工"/>
    <n v="9750.0949999999993"/>
    <n v="2020"/>
    <x v="2"/>
  </r>
  <r>
    <x v="87"/>
    <n v="1000011828"/>
    <s v="借呗12期"/>
    <n v="3"/>
    <n v="28000.48"/>
    <s v="借呗"/>
    <x v="0"/>
    <x v="0"/>
    <x v="0"/>
    <s v="二组"/>
    <s v="杭州二组"/>
    <s v="普通员工"/>
    <n v="9333.4933333333338"/>
    <n v="2020"/>
    <x v="2"/>
  </r>
  <r>
    <x v="87"/>
    <n v="1000012096"/>
    <s v="借呗6期"/>
    <n v="2"/>
    <n v="42000.86"/>
    <s v="借呗"/>
    <x v="1"/>
    <x v="0"/>
    <x v="0"/>
    <s v="一组"/>
    <s v="杭州一组"/>
    <s v="普通员工"/>
    <n v="21000.43"/>
    <n v="2020"/>
    <x v="2"/>
  </r>
  <r>
    <x v="87"/>
    <n v="1000012099"/>
    <s v="借呗6期"/>
    <n v="2"/>
    <n v="42000.08"/>
    <s v="借呗"/>
    <x v="1"/>
    <x v="0"/>
    <x v="0"/>
    <s v="二组"/>
    <s v="杭州二组"/>
    <s v="普通员工"/>
    <n v="21000.04"/>
    <n v="2020"/>
    <x v="2"/>
  </r>
  <r>
    <x v="87"/>
    <n v="1000012099"/>
    <s v="借呗12期"/>
    <n v="2"/>
    <n v="33001.32"/>
    <s v="借呗"/>
    <x v="0"/>
    <x v="0"/>
    <x v="0"/>
    <s v="二组"/>
    <s v="杭州二组"/>
    <s v="普通员工"/>
    <n v="16500.66"/>
    <n v="2020"/>
    <x v="2"/>
  </r>
  <r>
    <x v="87"/>
    <n v="1000012099"/>
    <s v="借呗18期"/>
    <n v="1"/>
    <n v="25000.26"/>
    <s v="借呗"/>
    <x v="2"/>
    <x v="0"/>
    <x v="0"/>
    <s v="二组"/>
    <s v="杭州二组"/>
    <s v="普通员工"/>
    <n v="25000.26"/>
    <n v="2020"/>
    <x v="2"/>
  </r>
  <r>
    <x v="87"/>
    <n v="1000012112"/>
    <s v="借呗12期"/>
    <n v="1"/>
    <n v="20000.18"/>
    <s v="借呗"/>
    <x v="0"/>
    <x v="0"/>
    <x v="0"/>
    <s v="三组"/>
    <s v="杭州三组"/>
    <s v="管理人员"/>
    <n v="20000.18"/>
    <n v="2020"/>
    <x v="2"/>
  </r>
  <r>
    <x v="87"/>
    <n v="1000012124"/>
    <s v="借呗6期"/>
    <n v="1"/>
    <n v="12000.36"/>
    <s v="借呗"/>
    <x v="1"/>
    <x v="0"/>
    <x v="0"/>
    <s v="一组"/>
    <s v="杭州一组"/>
    <s v="普通员工"/>
    <n v="12000.36"/>
    <n v="2020"/>
    <x v="2"/>
  </r>
  <r>
    <x v="87"/>
    <n v="1000012126"/>
    <s v="借呗1期"/>
    <n v="1"/>
    <n v="12000.44"/>
    <s v="借呗"/>
    <x v="5"/>
    <x v="0"/>
    <x v="0"/>
    <s v="一组"/>
    <s v="杭州一组"/>
    <s v="普通员工"/>
    <n v="12000.44"/>
    <n v="2020"/>
    <x v="2"/>
  </r>
  <r>
    <x v="87"/>
    <n v="1000012126"/>
    <s v="借呗12期"/>
    <n v="3"/>
    <n v="62001.3"/>
    <s v="借呗"/>
    <x v="0"/>
    <x v="0"/>
    <x v="0"/>
    <s v="一组"/>
    <s v="杭州一组"/>
    <s v="普通员工"/>
    <n v="20667.100000000002"/>
    <n v="2020"/>
    <x v="2"/>
  </r>
  <r>
    <x v="87"/>
    <n v="1000012234"/>
    <s v="借呗6期"/>
    <n v="3"/>
    <n v="34001.629999999997"/>
    <s v="借呗"/>
    <x v="1"/>
    <x v="0"/>
    <x v="1"/>
    <s v="一组"/>
    <s v="苏州一组"/>
    <s v="普通员工"/>
    <n v="11333.876666666665"/>
    <n v="2020"/>
    <x v="2"/>
  </r>
  <r>
    <x v="87"/>
    <n v="1000012313"/>
    <s v="借呗1期"/>
    <n v="1"/>
    <n v="6000.36"/>
    <s v="借呗"/>
    <x v="5"/>
    <x v="2"/>
    <x v="11"/>
    <s v="一组"/>
    <s v="南宁一组"/>
    <s v="普通员工"/>
    <n v="6000.36"/>
    <n v="2020"/>
    <x v="2"/>
  </r>
  <r>
    <x v="87"/>
    <n v="1000012446"/>
    <s v="借呗6期"/>
    <n v="1"/>
    <n v="13000.37"/>
    <s v="借呗"/>
    <x v="1"/>
    <x v="1"/>
    <x v="2"/>
    <s v="三组"/>
    <s v="北京三组"/>
    <s v="普通员工"/>
    <n v="13000.37"/>
    <n v="2020"/>
    <x v="2"/>
  </r>
  <r>
    <x v="87"/>
    <n v="1000012675"/>
    <s v="借呗6期"/>
    <n v="1"/>
    <n v="18000.63"/>
    <s v="借呗"/>
    <x v="1"/>
    <x v="0"/>
    <x v="3"/>
    <s v="一组"/>
    <s v="上海一组"/>
    <s v="普通员工"/>
    <n v="18000.63"/>
    <n v="2020"/>
    <x v="2"/>
  </r>
  <r>
    <x v="87"/>
    <n v="1000012675"/>
    <s v="借呗12期"/>
    <n v="1"/>
    <n v="1999.96"/>
    <s v="借呗"/>
    <x v="0"/>
    <x v="0"/>
    <x v="3"/>
    <s v="一组"/>
    <s v="上海一组"/>
    <s v="普通员工"/>
    <n v="1999.96"/>
    <n v="2020"/>
    <x v="2"/>
  </r>
  <r>
    <x v="87"/>
    <n v="1000013607"/>
    <s v="借呗6期"/>
    <n v="2"/>
    <n v="3000.85"/>
    <s v="借呗"/>
    <x v="1"/>
    <x v="0"/>
    <x v="1"/>
    <s v="一组"/>
    <s v="苏州一组"/>
    <s v="普通员工"/>
    <n v="1500.425"/>
    <n v="2020"/>
    <x v="2"/>
  </r>
  <r>
    <x v="87"/>
    <n v="1000014037"/>
    <s v="借呗6期"/>
    <n v="1"/>
    <n v="6000.24"/>
    <s v="借呗"/>
    <x v="1"/>
    <x v="0"/>
    <x v="1"/>
    <s v="三组"/>
    <s v="苏州三组"/>
    <s v="普通员工"/>
    <n v="6000.24"/>
    <n v="2020"/>
    <x v="2"/>
  </r>
  <r>
    <x v="87"/>
    <n v="1000014291"/>
    <s v="借呗6期"/>
    <n v="1"/>
    <n v="17000.759999999998"/>
    <s v="借呗"/>
    <x v="1"/>
    <x v="2"/>
    <x v="6"/>
    <s v="二组"/>
    <s v="广州二组"/>
    <s v="管理人员"/>
    <n v="17000.759999999998"/>
    <n v="2020"/>
    <x v="2"/>
  </r>
  <r>
    <x v="87"/>
    <n v="1000014452"/>
    <s v="借呗6期"/>
    <n v="1"/>
    <n v="9000.4"/>
    <s v="借呗"/>
    <x v="1"/>
    <x v="0"/>
    <x v="3"/>
    <s v="三组"/>
    <s v="上海三组"/>
    <s v="普通员工"/>
    <n v="9000.4"/>
    <n v="2020"/>
    <x v="2"/>
  </r>
  <r>
    <x v="87"/>
    <n v="1000014572"/>
    <s v="借呗6期"/>
    <n v="1"/>
    <n v="10000.09"/>
    <s v="借呗"/>
    <x v="1"/>
    <x v="0"/>
    <x v="3"/>
    <s v="一组"/>
    <s v="上海一组"/>
    <s v="普通员工"/>
    <n v="10000.09"/>
    <n v="2020"/>
    <x v="2"/>
  </r>
  <r>
    <x v="87"/>
    <n v="1000014572"/>
    <s v="借呗12期"/>
    <n v="1"/>
    <n v="13000.13"/>
    <s v="借呗"/>
    <x v="0"/>
    <x v="0"/>
    <x v="3"/>
    <s v="一组"/>
    <s v="上海一组"/>
    <s v="普通员工"/>
    <n v="13000.13"/>
    <n v="2020"/>
    <x v="2"/>
  </r>
  <r>
    <x v="87"/>
    <n v="1000014588"/>
    <s v="借呗18期"/>
    <n v="1"/>
    <n v="15000.53"/>
    <s v="借呗"/>
    <x v="2"/>
    <x v="0"/>
    <x v="5"/>
    <s v="二组"/>
    <s v="合肥二组"/>
    <s v="普通员工"/>
    <n v="15000.53"/>
    <n v="2020"/>
    <x v="2"/>
  </r>
  <r>
    <x v="87"/>
    <n v="1000014879"/>
    <s v="借呗6期"/>
    <n v="2"/>
    <n v="32000.31"/>
    <s v="借呗"/>
    <x v="1"/>
    <x v="0"/>
    <x v="5"/>
    <s v="一组"/>
    <s v="合肥一组"/>
    <s v="普通员工"/>
    <n v="16000.155000000001"/>
    <n v="2020"/>
    <x v="2"/>
  </r>
  <r>
    <x v="87"/>
    <n v="1000014879"/>
    <s v="借呗12期"/>
    <n v="1"/>
    <n v="9000.07"/>
    <s v="借呗"/>
    <x v="0"/>
    <x v="0"/>
    <x v="5"/>
    <s v="一组"/>
    <s v="合肥一组"/>
    <s v="普通员工"/>
    <n v="9000.07"/>
    <n v="2020"/>
    <x v="2"/>
  </r>
  <r>
    <x v="87"/>
    <n v="1000014996"/>
    <s v="借呗6期"/>
    <n v="1"/>
    <n v="16000.68"/>
    <s v="借呗"/>
    <x v="1"/>
    <x v="1"/>
    <x v="8"/>
    <s v="一组"/>
    <s v="西安一组"/>
    <s v="普通员工"/>
    <n v="16000.68"/>
    <n v="2020"/>
    <x v="2"/>
  </r>
  <r>
    <x v="87"/>
    <n v="1000015013"/>
    <s v="借呗12期"/>
    <n v="1"/>
    <n v="1220.3800000000001"/>
    <s v="借呗"/>
    <x v="0"/>
    <x v="0"/>
    <x v="0"/>
    <s v="一组"/>
    <s v="杭州一组"/>
    <s v="普通员工"/>
    <n v="1220.3800000000001"/>
    <n v="2020"/>
    <x v="2"/>
  </r>
  <r>
    <x v="87"/>
    <n v="1000015015"/>
    <s v="借呗12期"/>
    <n v="2"/>
    <n v="15500.58"/>
    <s v="借呗"/>
    <x v="0"/>
    <x v="0"/>
    <x v="10"/>
    <s v="一组"/>
    <s v="南京一组"/>
    <s v="普通员工"/>
    <n v="7750.29"/>
    <n v="2020"/>
    <x v="2"/>
  </r>
  <r>
    <x v="87"/>
    <n v="1000015015"/>
    <s v="借呗18期"/>
    <n v="1"/>
    <n v="25000.68"/>
    <s v="借呗"/>
    <x v="2"/>
    <x v="0"/>
    <x v="10"/>
    <s v="一组"/>
    <s v="南京一组"/>
    <s v="普通员工"/>
    <n v="25000.68"/>
    <n v="2020"/>
    <x v="2"/>
  </r>
  <r>
    <x v="87"/>
    <n v="1000015133"/>
    <s v="借呗6期"/>
    <n v="1"/>
    <n v="5000.45"/>
    <s v="借呗"/>
    <x v="1"/>
    <x v="1"/>
    <x v="2"/>
    <s v="三组"/>
    <s v="北京三组"/>
    <s v="普通员工"/>
    <n v="5000.45"/>
    <n v="2020"/>
    <x v="2"/>
  </r>
  <r>
    <x v="87"/>
    <n v="1000015133"/>
    <s v="借呗12期"/>
    <n v="2"/>
    <n v="25000.77"/>
    <s v="借呗"/>
    <x v="0"/>
    <x v="1"/>
    <x v="2"/>
    <s v="三组"/>
    <s v="北京三组"/>
    <s v="普通员工"/>
    <n v="12500.385"/>
    <n v="2020"/>
    <x v="2"/>
  </r>
  <r>
    <x v="87"/>
    <n v="1000015203"/>
    <s v="借呗6期"/>
    <n v="1"/>
    <n v="5000.62"/>
    <s v="借呗"/>
    <x v="1"/>
    <x v="2"/>
    <x v="11"/>
    <s v="一组"/>
    <s v="南宁一组"/>
    <s v="普通员工"/>
    <n v="5000.62"/>
    <n v="2020"/>
    <x v="2"/>
  </r>
  <r>
    <x v="87"/>
    <n v="1000015788"/>
    <s v="借呗18期"/>
    <n v="1"/>
    <n v="16000.63"/>
    <s v="借呗"/>
    <x v="2"/>
    <x v="1"/>
    <x v="2"/>
    <s v="三组"/>
    <s v="北京三组"/>
    <s v="普通员工"/>
    <n v="16000.63"/>
    <n v="2020"/>
    <x v="2"/>
  </r>
  <r>
    <x v="87"/>
    <n v="1000017576"/>
    <s v="借呗12期"/>
    <n v="1"/>
    <n v="6999.97"/>
    <s v="借呗"/>
    <x v="0"/>
    <x v="0"/>
    <x v="0"/>
    <s v="三组"/>
    <s v="杭州三组"/>
    <s v="普通员工"/>
    <n v="6999.97"/>
    <n v="2020"/>
    <x v="2"/>
  </r>
  <r>
    <x v="87"/>
    <n v="1000017700"/>
    <s v="借呗18期"/>
    <n v="2"/>
    <n v="13500.75"/>
    <s v="借呗"/>
    <x v="2"/>
    <x v="2"/>
    <x v="11"/>
    <s v="一组"/>
    <s v="南宁一组"/>
    <s v="普通员工"/>
    <n v="6750.375"/>
    <n v="2020"/>
    <x v="2"/>
  </r>
  <r>
    <x v="87"/>
    <n v="1000018132"/>
    <s v="借呗18期"/>
    <n v="1"/>
    <n v="6500.54"/>
    <s v="借呗"/>
    <x v="2"/>
    <x v="2"/>
    <x v="11"/>
    <s v="一组"/>
    <s v="南宁一组"/>
    <s v="普通员工"/>
    <n v="6500.54"/>
    <n v="2020"/>
    <x v="2"/>
  </r>
  <r>
    <x v="87"/>
    <n v="1000018298"/>
    <s v="借呗6期"/>
    <n v="1"/>
    <n v="2500.35"/>
    <s v="借呗"/>
    <x v="1"/>
    <x v="0"/>
    <x v="3"/>
    <s v="二组"/>
    <s v="上海二组"/>
    <s v="普通员工"/>
    <n v="2500.35"/>
    <n v="2020"/>
    <x v="2"/>
  </r>
  <r>
    <x v="87"/>
    <n v="1000018298"/>
    <s v="借呗12期"/>
    <n v="1"/>
    <n v="5000.5"/>
    <s v="借呗"/>
    <x v="0"/>
    <x v="0"/>
    <x v="3"/>
    <s v="二组"/>
    <s v="上海二组"/>
    <s v="普通员工"/>
    <n v="5000.5"/>
    <n v="2020"/>
    <x v="2"/>
  </r>
  <r>
    <x v="87"/>
    <n v="1000019959"/>
    <s v="借呗6期"/>
    <n v="1"/>
    <n v="15000.31"/>
    <s v="借呗"/>
    <x v="1"/>
    <x v="0"/>
    <x v="5"/>
    <s v="一组"/>
    <s v="合肥一组"/>
    <s v="管理人员"/>
    <n v="15000.31"/>
    <n v="2020"/>
    <x v="2"/>
  </r>
  <r>
    <x v="87"/>
    <n v="1000020084"/>
    <s v="借呗6期"/>
    <n v="2"/>
    <n v="21001.1"/>
    <s v="借呗"/>
    <x v="1"/>
    <x v="2"/>
    <x v="9"/>
    <s v="一组"/>
    <s v="深圳一组"/>
    <s v="普通员工"/>
    <n v="10500.55"/>
    <n v="2020"/>
    <x v="2"/>
  </r>
  <r>
    <x v="87"/>
    <n v="1000020084"/>
    <s v="借呗12期"/>
    <n v="2"/>
    <n v="24000.43"/>
    <s v="借呗"/>
    <x v="0"/>
    <x v="2"/>
    <x v="9"/>
    <s v="一组"/>
    <s v="深圳一组"/>
    <s v="普通员工"/>
    <n v="12000.215"/>
    <n v="2020"/>
    <x v="2"/>
  </r>
  <r>
    <x v="87"/>
    <n v="1000020128"/>
    <s v="借呗6期"/>
    <n v="1"/>
    <n v="7499.99"/>
    <s v="借呗"/>
    <x v="1"/>
    <x v="1"/>
    <x v="8"/>
    <s v="一组"/>
    <s v="西安一组"/>
    <s v="管理人员"/>
    <n v="7499.99"/>
    <n v="2020"/>
    <x v="2"/>
  </r>
  <r>
    <x v="87"/>
    <n v="1000020128"/>
    <s v="借呗12期"/>
    <n v="2"/>
    <n v="37000.81"/>
    <s v="借呗"/>
    <x v="0"/>
    <x v="1"/>
    <x v="8"/>
    <s v="一组"/>
    <s v="西安一组"/>
    <s v="管理人员"/>
    <n v="18500.404999999999"/>
    <n v="2020"/>
    <x v="2"/>
  </r>
  <r>
    <x v="87"/>
    <n v="1000020726"/>
    <s v="借呗6期"/>
    <n v="1"/>
    <n v="6000.6"/>
    <s v="借呗"/>
    <x v="1"/>
    <x v="0"/>
    <x v="10"/>
    <s v="四组"/>
    <s v="南京四组"/>
    <s v="普通员工"/>
    <n v="6000.6"/>
    <n v="2020"/>
    <x v="2"/>
  </r>
  <r>
    <x v="87"/>
    <n v="1000020921"/>
    <s v="借呗12期"/>
    <n v="1"/>
    <n v="9000.2199999999993"/>
    <s v="借呗"/>
    <x v="0"/>
    <x v="2"/>
    <x v="11"/>
    <s v="一组"/>
    <s v="南宁一组"/>
    <s v="普通员工"/>
    <n v="9000.2199999999993"/>
    <n v="2020"/>
    <x v="2"/>
  </r>
  <r>
    <x v="87"/>
    <n v="1000020921"/>
    <s v="借呗18期"/>
    <n v="1"/>
    <n v="20000.560000000001"/>
    <s v="借呗"/>
    <x v="2"/>
    <x v="2"/>
    <x v="11"/>
    <s v="一组"/>
    <s v="南宁一组"/>
    <s v="普通员工"/>
    <n v="20000.560000000001"/>
    <n v="2020"/>
    <x v="2"/>
  </r>
  <r>
    <x v="87"/>
    <n v="1000021227"/>
    <s v="借呗6期"/>
    <n v="1"/>
    <n v="500.26"/>
    <s v="借呗"/>
    <x v="1"/>
    <x v="2"/>
    <x v="9"/>
    <s v="一组"/>
    <s v="深圳一组"/>
    <s v="管理人员"/>
    <n v="500.26"/>
    <n v="2020"/>
    <x v="2"/>
  </r>
  <r>
    <x v="88"/>
    <n v="1000000029"/>
    <s v="借呗1期"/>
    <n v="1"/>
    <n v="500.37"/>
    <s v="借呗"/>
    <x v="5"/>
    <x v="0"/>
    <x v="0"/>
    <s v="二组"/>
    <s v="杭州二组"/>
    <s v="普通员工"/>
    <n v="500.37"/>
    <n v="2020"/>
    <x v="2"/>
  </r>
  <r>
    <x v="88"/>
    <n v="1000000029"/>
    <s v="借呗3期"/>
    <n v="1"/>
    <n v="1000.74"/>
    <s v="借呗"/>
    <x v="4"/>
    <x v="0"/>
    <x v="0"/>
    <s v="二组"/>
    <s v="杭州二组"/>
    <s v="普通员工"/>
    <n v="1000.74"/>
    <n v="2020"/>
    <x v="2"/>
  </r>
  <r>
    <x v="88"/>
    <n v="1000000029"/>
    <s v="借呗6期"/>
    <n v="2"/>
    <n v="7000.07"/>
    <s v="借呗"/>
    <x v="1"/>
    <x v="0"/>
    <x v="0"/>
    <s v="二组"/>
    <s v="杭州二组"/>
    <s v="普通员工"/>
    <n v="3500.0349999999999"/>
    <n v="2020"/>
    <x v="2"/>
  </r>
  <r>
    <x v="88"/>
    <n v="1000000029"/>
    <s v="借呗12期"/>
    <n v="1"/>
    <n v="6000.54"/>
    <s v="借呗"/>
    <x v="0"/>
    <x v="0"/>
    <x v="0"/>
    <s v="二组"/>
    <s v="杭州二组"/>
    <s v="普通员工"/>
    <n v="6000.54"/>
    <n v="2020"/>
    <x v="2"/>
  </r>
  <r>
    <x v="88"/>
    <n v="1000000030"/>
    <s v="借呗12期"/>
    <n v="1"/>
    <n v="11000.26"/>
    <s v="借呗"/>
    <x v="0"/>
    <x v="2"/>
    <x v="6"/>
    <s v="三组"/>
    <s v="广州三组"/>
    <s v="普通员工"/>
    <n v="11000.26"/>
    <n v="2020"/>
    <x v="2"/>
  </r>
  <r>
    <x v="88"/>
    <n v="1000000031"/>
    <s v="借呗3期"/>
    <n v="1"/>
    <n v="2624.29"/>
    <s v="借呗"/>
    <x v="4"/>
    <x v="0"/>
    <x v="0"/>
    <s v="一组"/>
    <s v="杭州一组"/>
    <s v="管理人员"/>
    <n v="2624.29"/>
    <n v="2020"/>
    <x v="2"/>
  </r>
  <r>
    <x v="88"/>
    <n v="1000000031"/>
    <s v="借呗12期"/>
    <n v="3"/>
    <n v="28500.79"/>
    <s v="借呗"/>
    <x v="0"/>
    <x v="0"/>
    <x v="0"/>
    <s v="一组"/>
    <s v="杭州一组"/>
    <s v="管理人员"/>
    <n v="9500.2633333333342"/>
    <n v="2020"/>
    <x v="2"/>
  </r>
  <r>
    <x v="88"/>
    <n v="1000000032"/>
    <s v="借呗6期"/>
    <n v="1"/>
    <n v="500.65"/>
    <s v="借呗"/>
    <x v="1"/>
    <x v="0"/>
    <x v="1"/>
    <s v="一组"/>
    <s v="苏州一组"/>
    <s v="管理人员"/>
    <n v="500.65"/>
    <n v="2020"/>
    <x v="2"/>
  </r>
  <r>
    <x v="88"/>
    <n v="1000000032"/>
    <s v="借呗12期"/>
    <n v="1"/>
    <n v="13000.52"/>
    <s v="借呗"/>
    <x v="0"/>
    <x v="0"/>
    <x v="1"/>
    <s v="一组"/>
    <s v="苏州一组"/>
    <s v="管理人员"/>
    <n v="13000.52"/>
    <n v="2020"/>
    <x v="2"/>
  </r>
  <r>
    <x v="88"/>
    <n v="1000000032"/>
    <s v="借呗18期"/>
    <n v="2"/>
    <n v="35000.85"/>
    <s v="借呗"/>
    <x v="2"/>
    <x v="0"/>
    <x v="1"/>
    <s v="一组"/>
    <s v="苏州一组"/>
    <s v="管理人员"/>
    <n v="17500.424999999999"/>
    <n v="2020"/>
    <x v="2"/>
  </r>
  <r>
    <x v="88"/>
    <n v="1000000036"/>
    <s v="借呗6期"/>
    <n v="1"/>
    <n v="17000.63"/>
    <s v="借呗"/>
    <x v="1"/>
    <x v="2"/>
    <x v="6"/>
    <s v="三组"/>
    <s v="广州三组"/>
    <s v="管理人员"/>
    <n v="17000.63"/>
    <n v="2020"/>
    <x v="2"/>
  </r>
  <r>
    <x v="88"/>
    <n v="1000000039"/>
    <s v="借呗3期"/>
    <n v="1"/>
    <n v="500.11"/>
    <s v="借呗"/>
    <x v="4"/>
    <x v="0"/>
    <x v="1"/>
    <s v="二组"/>
    <s v="苏州二组"/>
    <s v="管理人员"/>
    <n v="500.11"/>
    <n v="2020"/>
    <x v="2"/>
  </r>
  <r>
    <x v="88"/>
    <n v="1000000039"/>
    <s v="借呗6期"/>
    <n v="1"/>
    <n v="14000.47"/>
    <s v="借呗"/>
    <x v="1"/>
    <x v="0"/>
    <x v="1"/>
    <s v="二组"/>
    <s v="苏州二组"/>
    <s v="管理人员"/>
    <n v="14000.47"/>
    <n v="2020"/>
    <x v="2"/>
  </r>
  <r>
    <x v="88"/>
    <n v="1000000040"/>
    <s v="借呗9期"/>
    <n v="1"/>
    <n v="3386.98"/>
    <s v="借呗"/>
    <x v="3"/>
    <x v="1"/>
    <x v="2"/>
    <s v="四组"/>
    <s v="北京四组"/>
    <s v="管理人员"/>
    <n v="3386.98"/>
    <n v="2020"/>
    <x v="2"/>
  </r>
  <r>
    <x v="88"/>
    <n v="1000000040"/>
    <s v="借呗12期"/>
    <n v="2"/>
    <n v="47000.490000000005"/>
    <s v="借呗"/>
    <x v="0"/>
    <x v="1"/>
    <x v="2"/>
    <s v="四组"/>
    <s v="北京四组"/>
    <s v="管理人员"/>
    <n v="23500.245000000003"/>
    <n v="2020"/>
    <x v="2"/>
  </r>
  <r>
    <x v="88"/>
    <n v="1000000041"/>
    <s v="借呗6期"/>
    <n v="3"/>
    <n v="54501.79"/>
    <s v="借呗"/>
    <x v="1"/>
    <x v="1"/>
    <x v="2"/>
    <s v="四组"/>
    <s v="北京四组"/>
    <s v="普通员工"/>
    <n v="18167.263333333332"/>
    <n v="2020"/>
    <x v="2"/>
  </r>
  <r>
    <x v="88"/>
    <n v="1000000043"/>
    <s v="借呗6期"/>
    <n v="1"/>
    <n v="15000.6"/>
    <s v="借呗"/>
    <x v="1"/>
    <x v="1"/>
    <x v="4"/>
    <s v="一组"/>
    <s v="成都一组"/>
    <s v="普通员工"/>
    <n v="15000.6"/>
    <n v="2020"/>
    <x v="2"/>
  </r>
  <r>
    <x v="88"/>
    <n v="1000000044"/>
    <s v="借呗3期"/>
    <n v="1"/>
    <n v="2000.12"/>
    <s v="借呗"/>
    <x v="4"/>
    <x v="1"/>
    <x v="2"/>
    <s v="三组"/>
    <s v="北京三组"/>
    <s v="管理人员"/>
    <n v="2000.12"/>
    <n v="2020"/>
    <x v="2"/>
  </r>
  <r>
    <x v="88"/>
    <n v="1000000044"/>
    <s v="借呗12期"/>
    <n v="1"/>
    <n v="12000.71"/>
    <s v="借呗"/>
    <x v="0"/>
    <x v="1"/>
    <x v="2"/>
    <s v="三组"/>
    <s v="北京三组"/>
    <s v="管理人员"/>
    <n v="12000.71"/>
    <n v="2020"/>
    <x v="2"/>
  </r>
  <r>
    <x v="88"/>
    <n v="1000000046"/>
    <s v="借呗1期"/>
    <n v="2"/>
    <n v="1164.9299999999998"/>
    <s v="借呗"/>
    <x v="5"/>
    <x v="1"/>
    <x v="4"/>
    <s v="一组"/>
    <s v="成都一组"/>
    <s v="普通员工"/>
    <n v="582.46499999999992"/>
    <n v="2020"/>
    <x v="2"/>
  </r>
  <r>
    <x v="88"/>
    <n v="1000000054"/>
    <s v="借呗6期"/>
    <n v="1"/>
    <n v="9000.7000000000007"/>
    <s v="借呗"/>
    <x v="1"/>
    <x v="0"/>
    <x v="3"/>
    <s v="一组"/>
    <s v="上海一组"/>
    <s v="普通员工"/>
    <n v="9000.7000000000007"/>
    <n v="2020"/>
    <x v="2"/>
  </r>
  <r>
    <x v="88"/>
    <n v="1000000054"/>
    <s v="借呗12期"/>
    <n v="1"/>
    <n v="6500.38"/>
    <s v="借呗"/>
    <x v="0"/>
    <x v="0"/>
    <x v="3"/>
    <s v="一组"/>
    <s v="上海一组"/>
    <s v="普通员工"/>
    <n v="6500.38"/>
    <n v="2020"/>
    <x v="2"/>
  </r>
  <r>
    <x v="88"/>
    <n v="1000000056"/>
    <s v="借呗6期"/>
    <n v="2"/>
    <n v="10000.84"/>
    <s v="借呗"/>
    <x v="1"/>
    <x v="0"/>
    <x v="3"/>
    <s v="一组"/>
    <s v="上海一组"/>
    <s v="管理人员"/>
    <n v="5000.42"/>
    <n v="2020"/>
    <x v="2"/>
  </r>
  <r>
    <x v="88"/>
    <n v="1000000056"/>
    <s v="借呗12期"/>
    <n v="1"/>
    <n v="20000.37"/>
    <s v="借呗"/>
    <x v="0"/>
    <x v="0"/>
    <x v="3"/>
    <s v="一组"/>
    <s v="上海一组"/>
    <s v="管理人员"/>
    <n v="20000.37"/>
    <n v="2020"/>
    <x v="2"/>
  </r>
  <r>
    <x v="88"/>
    <n v="1000000067"/>
    <s v="借呗6期"/>
    <n v="1"/>
    <n v="30000.13"/>
    <s v="借呗"/>
    <x v="1"/>
    <x v="0"/>
    <x v="1"/>
    <s v="二组"/>
    <s v="苏州二组"/>
    <s v="普通员工"/>
    <n v="30000.13"/>
    <n v="2020"/>
    <x v="2"/>
  </r>
  <r>
    <x v="88"/>
    <n v="1000000068"/>
    <s v="借呗3期"/>
    <n v="1"/>
    <n v="1457.4"/>
    <s v="借呗"/>
    <x v="4"/>
    <x v="1"/>
    <x v="7"/>
    <s v="一组"/>
    <s v="重庆一组"/>
    <s v="管理人员"/>
    <n v="1457.4"/>
    <n v="2020"/>
    <x v="2"/>
  </r>
  <r>
    <x v="88"/>
    <n v="1000000068"/>
    <s v="借呗6期"/>
    <n v="3"/>
    <n v="19000.480000000003"/>
    <s v="借呗"/>
    <x v="1"/>
    <x v="1"/>
    <x v="7"/>
    <s v="一组"/>
    <s v="重庆一组"/>
    <s v="管理人员"/>
    <n v="6333.4933333333347"/>
    <n v="2020"/>
    <x v="2"/>
  </r>
  <r>
    <x v="88"/>
    <n v="1000000068"/>
    <s v="借呗12期"/>
    <n v="1"/>
    <n v="15000.07"/>
    <s v="借呗"/>
    <x v="0"/>
    <x v="1"/>
    <x v="7"/>
    <s v="一组"/>
    <s v="重庆一组"/>
    <s v="管理人员"/>
    <n v="15000.07"/>
    <n v="2020"/>
    <x v="2"/>
  </r>
  <r>
    <x v="88"/>
    <n v="1000000104"/>
    <s v="借呗6期"/>
    <n v="1"/>
    <n v="6000"/>
    <s v="借呗"/>
    <x v="1"/>
    <x v="0"/>
    <x v="5"/>
    <s v="一组"/>
    <s v="合肥一组"/>
    <s v="普通员工"/>
    <n v="6000"/>
    <n v="2020"/>
    <x v="2"/>
  </r>
  <r>
    <x v="88"/>
    <n v="1000000104"/>
    <s v="借呗18期"/>
    <n v="1"/>
    <n v="1500.46"/>
    <s v="借呗"/>
    <x v="2"/>
    <x v="0"/>
    <x v="5"/>
    <s v="一组"/>
    <s v="合肥一组"/>
    <s v="普通员工"/>
    <n v="1500.46"/>
    <n v="2020"/>
    <x v="2"/>
  </r>
  <r>
    <x v="88"/>
    <n v="1000000566"/>
    <s v="借呗6期"/>
    <n v="1"/>
    <n v="3500.65"/>
    <s v="借呗"/>
    <x v="1"/>
    <x v="2"/>
    <x v="6"/>
    <s v="三组"/>
    <s v="广州三组"/>
    <s v="普通员工"/>
    <n v="3500.65"/>
    <n v="2020"/>
    <x v="2"/>
  </r>
  <r>
    <x v="88"/>
    <n v="1000000566"/>
    <s v="借呗9期"/>
    <n v="1"/>
    <n v="8500.0300000000007"/>
    <s v="借呗"/>
    <x v="3"/>
    <x v="2"/>
    <x v="6"/>
    <s v="三组"/>
    <s v="广州三组"/>
    <s v="普通员工"/>
    <n v="8500.0300000000007"/>
    <n v="2020"/>
    <x v="2"/>
  </r>
  <r>
    <x v="88"/>
    <n v="1000000566"/>
    <s v="借呗12期"/>
    <n v="1"/>
    <n v="12000.43"/>
    <s v="借呗"/>
    <x v="0"/>
    <x v="2"/>
    <x v="6"/>
    <s v="三组"/>
    <s v="广州三组"/>
    <s v="普通员工"/>
    <n v="12000.43"/>
    <n v="2020"/>
    <x v="2"/>
  </r>
  <r>
    <x v="88"/>
    <n v="1000000928"/>
    <s v="借呗12期"/>
    <n v="1"/>
    <n v="25000.65"/>
    <s v="借呗"/>
    <x v="0"/>
    <x v="1"/>
    <x v="8"/>
    <s v="一组"/>
    <s v="西安一组"/>
    <s v="普通员工"/>
    <n v="25000.65"/>
    <n v="2020"/>
    <x v="2"/>
  </r>
  <r>
    <x v="88"/>
    <n v="1000001513"/>
    <s v="借呗18期"/>
    <n v="1"/>
    <n v="5000.2"/>
    <s v="借呗"/>
    <x v="2"/>
    <x v="0"/>
    <x v="3"/>
    <s v="二组"/>
    <s v="上海二组"/>
    <s v="普通员工"/>
    <n v="5000.2"/>
    <n v="2020"/>
    <x v="2"/>
  </r>
  <r>
    <x v="88"/>
    <n v="1000001524"/>
    <s v="借呗12期"/>
    <n v="1"/>
    <n v="10000.040000000001"/>
    <s v="借呗"/>
    <x v="0"/>
    <x v="0"/>
    <x v="1"/>
    <s v="二组"/>
    <s v="苏州二组"/>
    <s v="普通员工"/>
    <n v="10000.040000000001"/>
    <n v="2020"/>
    <x v="2"/>
  </r>
  <r>
    <x v="88"/>
    <n v="1000002134"/>
    <s v="借呗6期"/>
    <n v="1"/>
    <n v="16000.59"/>
    <s v="借呗"/>
    <x v="1"/>
    <x v="0"/>
    <x v="5"/>
    <s v="二组"/>
    <s v="合肥二组"/>
    <s v="普通员工"/>
    <n v="16000.59"/>
    <n v="2020"/>
    <x v="2"/>
  </r>
  <r>
    <x v="88"/>
    <n v="1000002134"/>
    <s v="借呗12期"/>
    <n v="1"/>
    <n v="5500.56"/>
    <s v="借呗"/>
    <x v="0"/>
    <x v="0"/>
    <x v="5"/>
    <s v="二组"/>
    <s v="合肥二组"/>
    <s v="普通员工"/>
    <n v="5500.56"/>
    <n v="2020"/>
    <x v="2"/>
  </r>
  <r>
    <x v="88"/>
    <n v="1000002861"/>
    <s v="借呗18期"/>
    <n v="2"/>
    <n v="22001.07"/>
    <s v="借呗"/>
    <x v="2"/>
    <x v="2"/>
    <x v="6"/>
    <s v="三组"/>
    <s v="广州三组"/>
    <s v="普通员工"/>
    <n v="11000.535"/>
    <n v="2020"/>
    <x v="2"/>
  </r>
  <r>
    <x v="88"/>
    <n v="1000003489"/>
    <s v="借呗6期"/>
    <n v="1"/>
    <n v="10000.51"/>
    <s v="借呗"/>
    <x v="1"/>
    <x v="2"/>
    <x v="6"/>
    <s v="一组"/>
    <s v="广州一组"/>
    <s v="普通员工"/>
    <n v="10000.51"/>
    <n v="2020"/>
    <x v="2"/>
  </r>
  <r>
    <x v="88"/>
    <n v="1000003926"/>
    <s v="借呗6期"/>
    <n v="2"/>
    <n v="41000.58"/>
    <s v="借呗"/>
    <x v="1"/>
    <x v="2"/>
    <x v="6"/>
    <s v="一组"/>
    <s v="广州一组"/>
    <s v="管理人员"/>
    <n v="20500.29"/>
    <n v="2020"/>
    <x v="2"/>
  </r>
  <r>
    <x v="88"/>
    <n v="1000003989"/>
    <s v="借呗9期"/>
    <n v="2"/>
    <n v="2800.5299999999997"/>
    <s v="借呗"/>
    <x v="3"/>
    <x v="1"/>
    <x v="2"/>
    <s v="三组"/>
    <s v="北京三组"/>
    <s v="普通员工"/>
    <n v="1400.2649999999999"/>
    <n v="2020"/>
    <x v="2"/>
  </r>
  <r>
    <x v="88"/>
    <n v="1000003989"/>
    <s v="借呗12期"/>
    <n v="1"/>
    <n v="14000.68"/>
    <s v="借呗"/>
    <x v="0"/>
    <x v="1"/>
    <x v="2"/>
    <s v="三组"/>
    <s v="北京三组"/>
    <s v="普通员工"/>
    <n v="14000.68"/>
    <n v="2020"/>
    <x v="2"/>
  </r>
  <r>
    <x v="88"/>
    <n v="1000004170"/>
    <s v="借呗6期"/>
    <n v="4"/>
    <n v="65001.75"/>
    <s v="借呗"/>
    <x v="1"/>
    <x v="0"/>
    <x v="3"/>
    <s v="二组"/>
    <s v="上海二组"/>
    <s v="管理人员"/>
    <n v="16250.4375"/>
    <n v="2020"/>
    <x v="2"/>
  </r>
  <r>
    <x v="88"/>
    <n v="1000004170"/>
    <s v="借呗9期"/>
    <n v="1"/>
    <n v="1261"/>
    <s v="借呗"/>
    <x v="3"/>
    <x v="0"/>
    <x v="3"/>
    <s v="二组"/>
    <s v="上海二组"/>
    <s v="管理人员"/>
    <n v="1261"/>
    <n v="2020"/>
    <x v="2"/>
  </r>
  <r>
    <x v="88"/>
    <n v="1000004256"/>
    <s v="借呗12期"/>
    <n v="1"/>
    <n v="16000.23"/>
    <s v="借呗"/>
    <x v="0"/>
    <x v="0"/>
    <x v="5"/>
    <s v="一组"/>
    <s v="合肥一组"/>
    <s v="普通员工"/>
    <n v="16000.23"/>
    <n v="2020"/>
    <x v="2"/>
  </r>
  <r>
    <x v="88"/>
    <n v="1000004256"/>
    <s v="借呗18期"/>
    <n v="1"/>
    <n v="12000.47"/>
    <s v="借呗"/>
    <x v="2"/>
    <x v="0"/>
    <x v="5"/>
    <s v="一组"/>
    <s v="合肥一组"/>
    <s v="普通员工"/>
    <n v="12000.47"/>
    <n v="2020"/>
    <x v="2"/>
  </r>
  <r>
    <x v="88"/>
    <n v="1000005873"/>
    <s v="借呗6期"/>
    <n v="1"/>
    <n v="16000.65"/>
    <s v="借呗"/>
    <x v="1"/>
    <x v="0"/>
    <x v="0"/>
    <s v="二组"/>
    <s v="杭州二组"/>
    <s v="管理人员"/>
    <n v="16000.65"/>
    <n v="2020"/>
    <x v="2"/>
  </r>
  <r>
    <x v="88"/>
    <n v="1000005873"/>
    <s v="借呗9期"/>
    <n v="1"/>
    <n v="2000.13"/>
    <s v="借呗"/>
    <x v="3"/>
    <x v="0"/>
    <x v="0"/>
    <s v="二组"/>
    <s v="杭州二组"/>
    <s v="管理人员"/>
    <n v="2000.13"/>
    <n v="2020"/>
    <x v="2"/>
  </r>
  <r>
    <x v="88"/>
    <n v="1000006064"/>
    <s v="借呗18期"/>
    <n v="2"/>
    <n v="35001.089999999997"/>
    <s v="借呗"/>
    <x v="2"/>
    <x v="0"/>
    <x v="5"/>
    <s v="一组"/>
    <s v="合肥一组"/>
    <s v="普通员工"/>
    <n v="17500.544999999998"/>
    <n v="2020"/>
    <x v="2"/>
  </r>
  <r>
    <x v="88"/>
    <n v="1000006860"/>
    <s v="借呗9期"/>
    <n v="1"/>
    <n v="874.94"/>
    <s v="借呗"/>
    <x v="3"/>
    <x v="0"/>
    <x v="10"/>
    <s v="一组"/>
    <s v="南京一组"/>
    <s v="普通员工"/>
    <n v="874.94"/>
    <n v="2020"/>
    <x v="2"/>
  </r>
  <r>
    <x v="88"/>
    <n v="1000007197"/>
    <s v="借呗9期"/>
    <n v="1"/>
    <n v="500.36"/>
    <s v="借呗"/>
    <x v="3"/>
    <x v="0"/>
    <x v="5"/>
    <s v="一组"/>
    <s v="合肥一组"/>
    <s v="普通员工"/>
    <n v="500.36"/>
    <n v="2020"/>
    <x v="2"/>
  </r>
  <r>
    <x v="88"/>
    <n v="1000007320"/>
    <s v="借呗12期"/>
    <n v="2"/>
    <n v="17000.62"/>
    <s v="借呗"/>
    <x v="0"/>
    <x v="0"/>
    <x v="3"/>
    <s v="一组"/>
    <s v="上海一组"/>
    <s v="普通员工"/>
    <n v="8500.31"/>
    <n v="2020"/>
    <x v="2"/>
  </r>
  <r>
    <x v="88"/>
    <n v="1000008239"/>
    <s v="借呗6期"/>
    <n v="1"/>
    <n v="10000.66"/>
    <s v="借呗"/>
    <x v="1"/>
    <x v="0"/>
    <x v="10"/>
    <s v="一组"/>
    <s v="南京一组"/>
    <s v="管理人员"/>
    <n v="10000.66"/>
    <n v="2020"/>
    <x v="2"/>
  </r>
  <r>
    <x v="88"/>
    <n v="1000008542"/>
    <s v="借呗18期"/>
    <n v="1"/>
    <n v="10000.74"/>
    <s v="借呗"/>
    <x v="2"/>
    <x v="0"/>
    <x v="5"/>
    <s v="一组"/>
    <s v="合肥一组"/>
    <s v="普通员工"/>
    <n v="10000.74"/>
    <n v="2020"/>
    <x v="2"/>
  </r>
  <r>
    <x v="88"/>
    <n v="1000009288"/>
    <s v="借呗6期"/>
    <n v="4"/>
    <n v="49001.55"/>
    <s v="借呗"/>
    <x v="1"/>
    <x v="0"/>
    <x v="1"/>
    <s v="二组"/>
    <s v="苏州二组"/>
    <s v="普通员工"/>
    <n v="12250.387500000001"/>
    <n v="2020"/>
    <x v="2"/>
  </r>
  <r>
    <x v="88"/>
    <n v="1000010837"/>
    <s v="借呗3期"/>
    <n v="1"/>
    <n v="4000.21"/>
    <s v="借呗"/>
    <x v="4"/>
    <x v="0"/>
    <x v="10"/>
    <s v="一组"/>
    <s v="南京一组"/>
    <s v="普通员工"/>
    <n v="4000.21"/>
    <n v="2020"/>
    <x v="2"/>
  </r>
  <r>
    <x v="88"/>
    <n v="1000010837"/>
    <s v="借呗12期"/>
    <n v="1"/>
    <n v="20000.689999999999"/>
    <s v="借呗"/>
    <x v="0"/>
    <x v="0"/>
    <x v="10"/>
    <s v="一组"/>
    <s v="南京一组"/>
    <s v="普通员工"/>
    <n v="20000.689999999999"/>
    <n v="2020"/>
    <x v="2"/>
  </r>
  <r>
    <x v="88"/>
    <n v="1000010881"/>
    <s v="借呗18期"/>
    <n v="1"/>
    <n v="5999.93"/>
    <s v="借呗"/>
    <x v="2"/>
    <x v="2"/>
    <x v="6"/>
    <s v="一组"/>
    <s v="广州一组"/>
    <s v="普通员工"/>
    <n v="5999.93"/>
    <n v="2020"/>
    <x v="2"/>
  </r>
  <r>
    <x v="88"/>
    <n v="1000011697"/>
    <s v="借呗6期"/>
    <n v="1"/>
    <n v="15000.3"/>
    <s v="借呗"/>
    <x v="1"/>
    <x v="0"/>
    <x v="3"/>
    <s v="二组"/>
    <s v="上海二组"/>
    <s v="普通员工"/>
    <n v="15000.3"/>
    <n v="2020"/>
    <x v="2"/>
  </r>
  <r>
    <x v="88"/>
    <n v="1000011697"/>
    <s v="借呗12期"/>
    <n v="1"/>
    <n v="11000.67"/>
    <s v="借呗"/>
    <x v="0"/>
    <x v="0"/>
    <x v="3"/>
    <s v="二组"/>
    <s v="上海二组"/>
    <s v="普通员工"/>
    <n v="11000.67"/>
    <n v="2020"/>
    <x v="2"/>
  </r>
  <r>
    <x v="88"/>
    <n v="1000011698"/>
    <s v="借呗6期"/>
    <n v="3"/>
    <n v="34000.83"/>
    <s v="借呗"/>
    <x v="1"/>
    <x v="0"/>
    <x v="3"/>
    <s v="二组"/>
    <s v="上海二组"/>
    <s v="普通员工"/>
    <n v="11333.61"/>
    <n v="2020"/>
    <x v="2"/>
  </r>
  <r>
    <x v="88"/>
    <n v="1000012112"/>
    <s v="借呗6期"/>
    <n v="1"/>
    <n v="9000.6200000000008"/>
    <s v="借呗"/>
    <x v="1"/>
    <x v="0"/>
    <x v="0"/>
    <s v="三组"/>
    <s v="杭州三组"/>
    <s v="管理人员"/>
    <n v="9000.6200000000008"/>
    <n v="2020"/>
    <x v="2"/>
  </r>
  <r>
    <x v="88"/>
    <n v="1000012126"/>
    <s v="借呗18期"/>
    <n v="1"/>
    <n v="17000.46"/>
    <s v="借呗"/>
    <x v="2"/>
    <x v="0"/>
    <x v="0"/>
    <s v="一组"/>
    <s v="杭州一组"/>
    <s v="普通员工"/>
    <n v="17000.46"/>
    <n v="2020"/>
    <x v="2"/>
  </r>
  <r>
    <x v="88"/>
    <n v="1000012234"/>
    <s v="借呗6期"/>
    <n v="4"/>
    <n v="60001.1"/>
    <s v="借呗"/>
    <x v="1"/>
    <x v="0"/>
    <x v="1"/>
    <s v="一组"/>
    <s v="苏州一组"/>
    <s v="普通员工"/>
    <n v="15000.275"/>
    <n v="2020"/>
    <x v="2"/>
  </r>
  <r>
    <x v="88"/>
    <n v="1000012313"/>
    <s v="借呗6期"/>
    <n v="1"/>
    <n v="10000"/>
    <s v="借呗"/>
    <x v="1"/>
    <x v="2"/>
    <x v="11"/>
    <s v="一组"/>
    <s v="南宁一组"/>
    <s v="普通员工"/>
    <n v="10000"/>
    <n v="2020"/>
    <x v="2"/>
  </r>
  <r>
    <x v="88"/>
    <n v="1000012446"/>
    <s v="借呗12期"/>
    <n v="1"/>
    <n v="14000.1"/>
    <s v="借呗"/>
    <x v="0"/>
    <x v="1"/>
    <x v="2"/>
    <s v="三组"/>
    <s v="北京三组"/>
    <s v="普通员工"/>
    <n v="14000.1"/>
    <n v="2020"/>
    <x v="2"/>
  </r>
  <r>
    <x v="88"/>
    <n v="1000014072"/>
    <s v="借呗12期"/>
    <n v="1"/>
    <n v="15000.28"/>
    <s v="借呗"/>
    <x v="0"/>
    <x v="2"/>
    <x v="11"/>
    <s v="一组"/>
    <s v="南宁一组"/>
    <s v="普通员工"/>
    <n v="15000.28"/>
    <n v="2020"/>
    <x v="2"/>
  </r>
  <r>
    <x v="88"/>
    <n v="1000014273"/>
    <s v="借呗6期"/>
    <n v="1"/>
    <n v="17000.54"/>
    <s v="借呗"/>
    <x v="1"/>
    <x v="0"/>
    <x v="0"/>
    <s v="二组"/>
    <s v="杭州二组"/>
    <s v="普通员工"/>
    <n v="17000.54"/>
    <n v="2020"/>
    <x v="2"/>
  </r>
  <r>
    <x v="88"/>
    <n v="1000014291"/>
    <s v="借呗6期"/>
    <n v="3"/>
    <n v="27001.39"/>
    <s v="借呗"/>
    <x v="1"/>
    <x v="2"/>
    <x v="6"/>
    <s v="二组"/>
    <s v="广州二组"/>
    <s v="管理人员"/>
    <n v="9000.4633333333331"/>
    <n v="2020"/>
    <x v="2"/>
  </r>
  <r>
    <x v="88"/>
    <n v="1000014291"/>
    <s v="借呗12期"/>
    <n v="2"/>
    <n v="16000.53"/>
    <s v="借呗"/>
    <x v="0"/>
    <x v="2"/>
    <x v="6"/>
    <s v="二组"/>
    <s v="广州二组"/>
    <s v="管理人员"/>
    <n v="8000.2650000000003"/>
    <n v="2020"/>
    <x v="2"/>
  </r>
  <r>
    <x v="88"/>
    <n v="1000014452"/>
    <s v="借呗12期"/>
    <n v="1"/>
    <n v="16000.48"/>
    <s v="借呗"/>
    <x v="0"/>
    <x v="0"/>
    <x v="3"/>
    <s v="三组"/>
    <s v="上海三组"/>
    <s v="普通员工"/>
    <n v="16000.48"/>
    <n v="2020"/>
    <x v="2"/>
  </r>
  <r>
    <x v="88"/>
    <n v="1000014530"/>
    <s v="借呗6期"/>
    <n v="1"/>
    <n v="15000.17"/>
    <s v="借呗"/>
    <x v="1"/>
    <x v="2"/>
    <x v="11"/>
    <s v="一组"/>
    <s v="南宁一组"/>
    <s v="普通员工"/>
    <n v="15000.17"/>
    <n v="2020"/>
    <x v="2"/>
  </r>
  <r>
    <x v="88"/>
    <n v="1000014572"/>
    <s v="借呗6期"/>
    <n v="2"/>
    <n v="29000.400000000001"/>
    <s v="借呗"/>
    <x v="1"/>
    <x v="0"/>
    <x v="3"/>
    <s v="一组"/>
    <s v="上海一组"/>
    <s v="普通员工"/>
    <n v="14500.2"/>
    <n v="2020"/>
    <x v="2"/>
  </r>
  <r>
    <x v="88"/>
    <n v="1000014572"/>
    <s v="借呗12期"/>
    <n v="1"/>
    <n v="10000.44"/>
    <s v="借呗"/>
    <x v="0"/>
    <x v="0"/>
    <x v="3"/>
    <s v="一组"/>
    <s v="上海一组"/>
    <s v="普通员工"/>
    <n v="10000.44"/>
    <n v="2020"/>
    <x v="2"/>
  </r>
  <r>
    <x v="88"/>
    <n v="1000014588"/>
    <s v="借呗18期"/>
    <n v="3"/>
    <n v="23500.91"/>
    <s v="借呗"/>
    <x v="2"/>
    <x v="0"/>
    <x v="5"/>
    <s v="二组"/>
    <s v="合肥二组"/>
    <s v="普通员工"/>
    <n v="7833.6366666666663"/>
    <n v="2020"/>
    <x v="2"/>
  </r>
  <r>
    <x v="88"/>
    <n v="1000014879"/>
    <s v="借呗6期"/>
    <n v="3"/>
    <n v="53000.94"/>
    <s v="借呗"/>
    <x v="1"/>
    <x v="0"/>
    <x v="5"/>
    <s v="一组"/>
    <s v="合肥一组"/>
    <s v="普通员工"/>
    <n v="17666.98"/>
    <n v="2020"/>
    <x v="2"/>
  </r>
  <r>
    <x v="88"/>
    <n v="1000014996"/>
    <s v="借呗18期"/>
    <n v="1"/>
    <n v="25000.05"/>
    <s v="借呗"/>
    <x v="2"/>
    <x v="1"/>
    <x v="8"/>
    <s v="一组"/>
    <s v="西安一组"/>
    <s v="普通员工"/>
    <n v="25000.05"/>
    <n v="2020"/>
    <x v="2"/>
  </r>
  <r>
    <x v="88"/>
    <n v="1000015013"/>
    <s v="借呗12期"/>
    <n v="1"/>
    <n v="10000.42"/>
    <s v="借呗"/>
    <x v="0"/>
    <x v="0"/>
    <x v="0"/>
    <s v="一组"/>
    <s v="杭州一组"/>
    <s v="普通员工"/>
    <n v="10000.42"/>
    <n v="2020"/>
    <x v="2"/>
  </r>
  <r>
    <x v="88"/>
    <n v="1000015015"/>
    <s v="借呗12期"/>
    <n v="2"/>
    <n v="17000.79"/>
    <s v="借呗"/>
    <x v="0"/>
    <x v="0"/>
    <x v="10"/>
    <s v="一组"/>
    <s v="南京一组"/>
    <s v="普通员工"/>
    <n v="8500.3950000000004"/>
    <n v="2020"/>
    <x v="2"/>
  </r>
  <r>
    <x v="88"/>
    <n v="1000015203"/>
    <s v="借呗12期"/>
    <n v="1"/>
    <n v="12000.49"/>
    <s v="借呗"/>
    <x v="0"/>
    <x v="2"/>
    <x v="11"/>
    <s v="一组"/>
    <s v="南宁一组"/>
    <s v="普通员工"/>
    <n v="12000.49"/>
    <n v="2020"/>
    <x v="2"/>
  </r>
  <r>
    <x v="88"/>
    <n v="1000017576"/>
    <s v="借呗6期"/>
    <n v="1"/>
    <n v="10000.41"/>
    <s v="借呗"/>
    <x v="1"/>
    <x v="0"/>
    <x v="0"/>
    <s v="三组"/>
    <s v="杭州三组"/>
    <s v="普通员工"/>
    <n v="10000.41"/>
    <n v="2020"/>
    <x v="2"/>
  </r>
  <r>
    <x v="88"/>
    <n v="1000017576"/>
    <s v="借呗12期"/>
    <n v="3"/>
    <n v="47000.32"/>
    <s v="借呗"/>
    <x v="0"/>
    <x v="0"/>
    <x v="0"/>
    <s v="三组"/>
    <s v="杭州三组"/>
    <s v="普通员工"/>
    <n v="15666.773333333333"/>
    <n v="2020"/>
    <x v="2"/>
  </r>
  <r>
    <x v="88"/>
    <n v="1000017688"/>
    <s v="借呗6期"/>
    <n v="2"/>
    <n v="25000.54"/>
    <s v="借呗"/>
    <x v="1"/>
    <x v="2"/>
    <x v="6"/>
    <s v="三组"/>
    <s v="广州三组"/>
    <s v="普通员工"/>
    <n v="12500.27"/>
    <n v="2020"/>
    <x v="2"/>
  </r>
  <r>
    <x v="88"/>
    <n v="1000017700"/>
    <s v="借呗12期"/>
    <n v="1"/>
    <n v="7000.22"/>
    <s v="借呗"/>
    <x v="0"/>
    <x v="2"/>
    <x v="11"/>
    <s v="一组"/>
    <s v="南宁一组"/>
    <s v="普通员工"/>
    <n v="7000.22"/>
    <n v="2020"/>
    <x v="2"/>
  </r>
  <r>
    <x v="88"/>
    <n v="1000017700"/>
    <s v="借呗18期"/>
    <n v="1"/>
    <n v="8000.22"/>
    <s v="借呗"/>
    <x v="2"/>
    <x v="2"/>
    <x v="11"/>
    <s v="一组"/>
    <s v="南宁一组"/>
    <s v="普通员工"/>
    <n v="8000.22"/>
    <n v="2020"/>
    <x v="2"/>
  </r>
  <r>
    <x v="88"/>
    <n v="1000018134"/>
    <s v="借呗12期"/>
    <n v="1"/>
    <n v="22000.38"/>
    <s v="借呗"/>
    <x v="0"/>
    <x v="0"/>
    <x v="5"/>
    <s v="一组"/>
    <s v="合肥一组"/>
    <s v="普通员工"/>
    <n v="22000.38"/>
    <n v="2020"/>
    <x v="2"/>
  </r>
  <r>
    <x v="88"/>
    <n v="1000018134"/>
    <s v="借呗18期"/>
    <n v="1"/>
    <n v="12000.07"/>
    <s v="借呗"/>
    <x v="2"/>
    <x v="0"/>
    <x v="5"/>
    <s v="一组"/>
    <s v="合肥一组"/>
    <s v="普通员工"/>
    <n v="12000.07"/>
    <n v="2020"/>
    <x v="2"/>
  </r>
  <r>
    <x v="88"/>
    <n v="1000018298"/>
    <s v="借呗9期"/>
    <n v="1"/>
    <n v="1500.39"/>
    <s v="借呗"/>
    <x v="3"/>
    <x v="0"/>
    <x v="3"/>
    <s v="二组"/>
    <s v="上海二组"/>
    <s v="普通员工"/>
    <n v="1500.39"/>
    <n v="2020"/>
    <x v="2"/>
  </r>
  <r>
    <x v="88"/>
    <n v="1000020084"/>
    <s v="借呗6期"/>
    <n v="1"/>
    <n v="6000.72"/>
    <s v="借呗"/>
    <x v="1"/>
    <x v="2"/>
    <x v="9"/>
    <s v="一组"/>
    <s v="深圳一组"/>
    <s v="普通员工"/>
    <n v="6000.72"/>
    <n v="2020"/>
    <x v="2"/>
  </r>
  <r>
    <x v="88"/>
    <n v="1000020084"/>
    <s v="借呗18期"/>
    <n v="1"/>
    <n v="20000.43"/>
    <s v="借呗"/>
    <x v="2"/>
    <x v="2"/>
    <x v="9"/>
    <s v="一组"/>
    <s v="深圳一组"/>
    <s v="普通员工"/>
    <n v="20000.43"/>
    <n v="2020"/>
    <x v="2"/>
  </r>
  <r>
    <x v="88"/>
    <n v="1000020128"/>
    <s v="借呗6期"/>
    <n v="1"/>
    <n v="14000.07"/>
    <s v="借呗"/>
    <x v="1"/>
    <x v="1"/>
    <x v="8"/>
    <s v="一组"/>
    <s v="西安一组"/>
    <s v="管理人员"/>
    <n v="14000.07"/>
    <n v="2020"/>
    <x v="2"/>
  </r>
  <r>
    <x v="88"/>
    <n v="1000020128"/>
    <s v="借呗18期"/>
    <n v="1"/>
    <n v="12000.13"/>
    <s v="借呗"/>
    <x v="2"/>
    <x v="1"/>
    <x v="8"/>
    <s v="一组"/>
    <s v="西安一组"/>
    <s v="管理人员"/>
    <n v="12000.13"/>
    <n v="2020"/>
    <x v="2"/>
  </r>
  <r>
    <x v="88"/>
    <n v="1000020526"/>
    <s v="借呗6期"/>
    <n v="1"/>
    <n v="17000.009999999998"/>
    <s v="借呗"/>
    <x v="1"/>
    <x v="0"/>
    <x v="3"/>
    <s v="一组"/>
    <s v="上海一组"/>
    <s v="普通员工"/>
    <n v="17000.009999999998"/>
    <n v="2020"/>
    <x v="2"/>
  </r>
  <r>
    <x v="88"/>
    <n v="1000020754"/>
    <s v="借呗6期"/>
    <n v="1"/>
    <n v="13000.5"/>
    <s v="借呗"/>
    <x v="1"/>
    <x v="0"/>
    <x v="1"/>
    <s v="二组"/>
    <s v="苏州二组"/>
    <s v="普通员工"/>
    <n v="13000.5"/>
    <n v="2020"/>
    <x v="2"/>
  </r>
  <r>
    <x v="88"/>
    <n v="1000021167"/>
    <s v="借呗12期"/>
    <n v="1"/>
    <n v="15000.36"/>
    <s v="借呗"/>
    <x v="0"/>
    <x v="0"/>
    <x v="0"/>
    <s v="二组"/>
    <s v="杭州二组"/>
    <s v="普通员工"/>
    <n v="15000.36"/>
    <n v="2020"/>
    <x v="2"/>
  </r>
  <r>
    <x v="88"/>
    <n v="1000021227"/>
    <s v="借呗6期"/>
    <n v="2"/>
    <n v="15000.46"/>
    <s v="借呗"/>
    <x v="1"/>
    <x v="2"/>
    <x v="9"/>
    <s v="一组"/>
    <s v="深圳一组"/>
    <s v="管理人员"/>
    <n v="7500.23"/>
    <n v="2020"/>
    <x v="2"/>
  </r>
  <r>
    <x v="89"/>
    <n v="1000000029"/>
    <s v="借呗3期"/>
    <n v="1"/>
    <n v="2647.44"/>
    <s v="借呗"/>
    <x v="4"/>
    <x v="0"/>
    <x v="0"/>
    <s v="二组"/>
    <s v="杭州二组"/>
    <s v="普通员工"/>
    <n v="2647.44"/>
    <n v="2020"/>
    <x v="2"/>
  </r>
  <r>
    <x v="89"/>
    <n v="1000000029"/>
    <s v="借呗6期"/>
    <n v="3"/>
    <n v="27713.38"/>
    <s v="借呗"/>
    <x v="1"/>
    <x v="0"/>
    <x v="0"/>
    <s v="二组"/>
    <s v="杭州二组"/>
    <s v="普通员工"/>
    <n v="9237.7933333333331"/>
    <n v="2020"/>
    <x v="2"/>
  </r>
  <r>
    <x v="89"/>
    <n v="1000000030"/>
    <s v="借呗12期"/>
    <n v="1"/>
    <n v="16000.16"/>
    <s v="借呗"/>
    <x v="0"/>
    <x v="2"/>
    <x v="6"/>
    <s v="三组"/>
    <s v="广州三组"/>
    <s v="普通员工"/>
    <n v="16000.16"/>
    <n v="2020"/>
    <x v="2"/>
  </r>
  <r>
    <x v="89"/>
    <n v="1000000031"/>
    <s v="借呗3期"/>
    <n v="1"/>
    <n v="1000.17"/>
    <s v="借呗"/>
    <x v="4"/>
    <x v="0"/>
    <x v="0"/>
    <s v="一组"/>
    <s v="杭州一组"/>
    <s v="管理人员"/>
    <n v="1000.17"/>
    <n v="2020"/>
    <x v="2"/>
  </r>
  <r>
    <x v="89"/>
    <n v="1000000031"/>
    <s v="借呗6期"/>
    <n v="1"/>
    <n v="15000.69"/>
    <s v="借呗"/>
    <x v="1"/>
    <x v="0"/>
    <x v="0"/>
    <s v="一组"/>
    <s v="杭州一组"/>
    <s v="管理人员"/>
    <n v="15000.69"/>
    <n v="2020"/>
    <x v="2"/>
  </r>
  <r>
    <x v="89"/>
    <n v="1000000031"/>
    <s v="借呗18期"/>
    <n v="1"/>
    <n v="12000.39"/>
    <s v="借呗"/>
    <x v="2"/>
    <x v="0"/>
    <x v="0"/>
    <s v="一组"/>
    <s v="杭州一组"/>
    <s v="管理人员"/>
    <n v="12000.39"/>
    <n v="2020"/>
    <x v="2"/>
  </r>
  <r>
    <x v="89"/>
    <n v="1000000033"/>
    <s v="借呗6期"/>
    <n v="2"/>
    <n v="26499.899999999998"/>
    <s v="借呗"/>
    <x v="1"/>
    <x v="0"/>
    <x v="1"/>
    <s v="一组"/>
    <s v="苏州一组"/>
    <s v="普通员工"/>
    <n v="13249.949999999999"/>
    <n v="2020"/>
    <x v="2"/>
  </r>
  <r>
    <x v="89"/>
    <n v="1000000034"/>
    <s v="借呗18期"/>
    <n v="1"/>
    <n v="16000.49"/>
    <s v="借呗"/>
    <x v="2"/>
    <x v="0"/>
    <x v="1"/>
    <s v="一组"/>
    <s v="苏州一组"/>
    <s v="普通员工"/>
    <n v="16000.49"/>
    <n v="2020"/>
    <x v="2"/>
  </r>
  <r>
    <x v="89"/>
    <n v="1000000036"/>
    <s v="借呗6期"/>
    <n v="3"/>
    <n v="33000.82"/>
    <s v="借呗"/>
    <x v="1"/>
    <x v="2"/>
    <x v="6"/>
    <s v="三组"/>
    <s v="广州三组"/>
    <s v="管理人员"/>
    <n v="11000.273333333333"/>
    <n v="2020"/>
    <x v="2"/>
  </r>
  <r>
    <x v="89"/>
    <n v="1000000037"/>
    <s v="借呗6期"/>
    <n v="1"/>
    <n v="24000.69"/>
    <s v="借呗"/>
    <x v="1"/>
    <x v="0"/>
    <x v="0"/>
    <s v="二组"/>
    <s v="杭州二组"/>
    <s v="普通员工"/>
    <n v="24000.69"/>
    <n v="2020"/>
    <x v="2"/>
  </r>
  <r>
    <x v="89"/>
    <n v="1000000037"/>
    <s v="借呗12期"/>
    <n v="1"/>
    <n v="16000.48"/>
    <s v="借呗"/>
    <x v="0"/>
    <x v="0"/>
    <x v="0"/>
    <s v="二组"/>
    <s v="杭州二组"/>
    <s v="普通员工"/>
    <n v="16000.48"/>
    <n v="2020"/>
    <x v="2"/>
  </r>
  <r>
    <x v="89"/>
    <n v="1000000039"/>
    <s v="借呗1期"/>
    <n v="1"/>
    <n v="1763.52"/>
    <s v="借呗"/>
    <x v="5"/>
    <x v="0"/>
    <x v="1"/>
    <s v="二组"/>
    <s v="苏州二组"/>
    <s v="管理人员"/>
    <n v="1763.52"/>
    <n v="2020"/>
    <x v="2"/>
  </r>
  <r>
    <x v="89"/>
    <n v="1000000039"/>
    <s v="借呗18期"/>
    <n v="1"/>
    <n v="9500.42"/>
    <s v="借呗"/>
    <x v="2"/>
    <x v="0"/>
    <x v="1"/>
    <s v="二组"/>
    <s v="苏州二组"/>
    <s v="管理人员"/>
    <n v="9500.42"/>
    <n v="2020"/>
    <x v="2"/>
  </r>
  <r>
    <x v="89"/>
    <n v="1000000040"/>
    <s v="借呗12期"/>
    <n v="1"/>
    <n v="2000.64"/>
    <s v="借呗"/>
    <x v="0"/>
    <x v="1"/>
    <x v="2"/>
    <s v="四组"/>
    <s v="北京四组"/>
    <s v="管理人员"/>
    <n v="2000.64"/>
    <n v="2020"/>
    <x v="2"/>
  </r>
  <r>
    <x v="89"/>
    <n v="1000000043"/>
    <s v="借呗3期"/>
    <n v="1"/>
    <n v="640.44000000000005"/>
    <s v="借呗"/>
    <x v="4"/>
    <x v="1"/>
    <x v="4"/>
    <s v="一组"/>
    <s v="成都一组"/>
    <s v="普通员工"/>
    <n v="640.44000000000005"/>
    <n v="2020"/>
    <x v="2"/>
  </r>
  <r>
    <x v="89"/>
    <n v="1000000043"/>
    <s v="借呗6期"/>
    <n v="1"/>
    <n v="20000.66"/>
    <s v="借呗"/>
    <x v="1"/>
    <x v="1"/>
    <x v="4"/>
    <s v="一组"/>
    <s v="成都一组"/>
    <s v="普通员工"/>
    <n v="20000.66"/>
    <n v="2020"/>
    <x v="2"/>
  </r>
  <r>
    <x v="89"/>
    <n v="1000000044"/>
    <s v="借呗3期"/>
    <n v="1"/>
    <n v="2000.19"/>
    <s v="借呗"/>
    <x v="4"/>
    <x v="1"/>
    <x v="2"/>
    <s v="三组"/>
    <s v="北京三组"/>
    <s v="管理人员"/>
    <n v="2000.19"/>
    <n v="2020"/>
    <x v="2"/>
  </r>
  <r>
    <x v="89"/>
    <n v="1000000046"/>
    <s v="借呗6期"/>
    <n v="2"/>
    <n v="22500.43"/>
    <s v="借呗"/>
    <x v="1"/>
    <x v="1"/>
    <x v="4"/>
    <s v="一组"/>
    <s v="成都一组"/>
    <s v="普通员工"/>
    <n v="11250.215"/>
    <n v="2020"/>
    <x v="2"/>
  </r>
  <r>
    <x v="89"/>
    <n v="1000000054"/>
    <s v="借呗1期"/>
    <n v="1"/>
    <n v="1264.73"/>
    <s v="借呗"/>
    <x v="5"/>
    <x v="0"/>
    <x v="3"/>
    <s v="一组"/>
    <s v="上海一组"/>
    <s v="普通员工"/>
    <n v="1264.73"/>
    <n v="2020"/>
    <x v="2"/>
  </r>
  <r>
    <x v="89"/>
    <n v="1000000056"/>
    <s v="借呗6期"/>
    <n v="1"/>
    <n v="13000.29"/>
    <s v="借呗"/>
    <x v="1"/>
    <x v="0"/>
    <x v="3"/>
    <s v="一组"/>
    <s v="上海一组"/>
    <s v="管理人员"/>
    <n v="13000.29"/>
    <n v="2020"/>
    <x v="2"/>
  </r>
  <r>
    <x v="89"/>
    <n v="1000000056"/>
    <s v="借呗12期"/>
    <n v="1"/>
    <n v="4000.28"/>
    <s v="借呗"/>
    <x v="0"/>
    <x v="0"/>
    <x v="3"/>
    <s v="一组"/>
    <s v="上海一组"/>
    <s v="管理人员"/>
    <n v="4000.28"/>
    <n v="2020"/>
    <x v="2"/>
  </r>
  <r>
    <x v="89"/>
    <n v="1000000058"/>
    <s v="借呗3期"/>
    <n v="1"/>
    <n v="1299.97"/>
    <s v="借呗"/>
    <x v="4"/>
    <x v="0"/>
    <x v="3"/>
    <s v="二组"/>
    <s v="上海二组"/>
    <s v="普通员工"/>
    <n v="1299.97"/>
    <n v="2020"/>
    <x v="2"/>
  </r>
  <r>
    <x v="89"/>
    <n v="1000000060"/>
    <s v="借呗1期"/>
    <n v="1"/>
    <n v="6700.68"/>
    <s v="借呗"/>
    <x v="5"/>
    <x v="0"/>
    <x v="5"/>
    <s v="一组"/>
    <s v="合肥一组"/>
    <s v="普通员工"/>
    <n v="6700.68"/>
    <n v="2020"/>
    <x v="2"/>
  </r>
  <r>
    <x v="89"/>
    <n v="1000000068"/>
    <s v="借呗6期"/>
    <n v="1"/>
    <n v="2500.31"/>
    <s v="借呗"/>
    <x v="1"/>
    <x v="1"/>
    <x v="7"/>
    <s v="一组"/>
    <s v="重庆一组"/>
    <s v="管理人员"/>
    <n v="2500.31"/>
    <n v="2020"/>
    <x v="2"/>
  </r>
  <r>
    <x v="89"/>
    <n v="1000000068"/>
    <s v="借呗12期"/>
    <n v="2"/>
    <n v="19000.690000000002"/>
    <s v="借呗"/>
    <x v="0"/>
    <x v="1"/>
    <x v="7"/>
    <s v="一组"/>
    <s v="重庆一组"/>
    <s v="管理人员"/>
    <n v="9500.3450000000012"/>
    <n v="2020"/>
    <x v="2"/>
  </r>
  <r>
    <x v="89"/>
    <n v="1000000104"/>
    <s v="借呗6期"/>
    <n v="1"/>
    <n v="20000.580000000002"/>
    <s v="借呗"/>
    <x v="1"/>
    <x v="0"/>
    <x v="5"/>
    <s v="一组"/>
    <s v="合肥一组"/>
    <s v="普通员工"/>
    <n v="20000.580000000002"/>
    <n v="2020"/>
    <x v="2"/>
  </r>
  <r>
    <x v="89"/>
    <n v="1000000237"/>
    <s v="借呗18期"/>
    <n v="2"/>
    <n v="9000.7100000000009"/>
    <s v="借呗"/>
    <x v="2"/>
    <x v="0"/>
    <x v="5"/>
    <s v="一组"/>
    <s v="合肥一组"/>
    <s v="普通员工"/>
    <n v="4500.3550000000005"/>
    <n v="2020"/>
    <x v="2"/>
  </r>
  <r>
    <x v="89"/>
    <n v="1000000566"/>
    <s v="借呗6期"/>
    <n v="1"/>
    <n v="5500.63"/>
    <s v="借呗"/>
    <x v="1"/>
    <x v="2"/>
    <x v="6"/>
    <s v="三组"/>
    <s v="广州三组"/>
    <s v="普通员工"/>
    <n v="5500.63"/>
    <n v="2020"/>
    <x v="2"/>
  </r>
  <r>
    <x v="89"/>
    <n v="1000000594"/>
    <s v="借呗12期"/>
    <n v="1"/>
    <n v="9000.5"/>
    <s v="借呗"/>
    <x v="0"/>
    <x v="0"/>
    <x v="1"/>
    <s v="二组"/>
    <s v="苏州二组"/>
    <s v="普通员工"/>
    <n v="9000.5"/>
    <n v="2020"/>
    <x v="2"/>
  </r>
  <r>
    <x v="89"/>
    <n v="1000001524"/>
    <s v="借呗12期"/>
    <n v="2"/>
    <n v="38000.69"/>
    <s v="借呗"/>
    <x v="0"/>
    <x v="0"/>
    <x v="1"/>
    <s v="二组"/>
    <s v="苏州二组"/>
    <s v="普通员工"/>
    <n v="19000.345000000001"/>
    <n v="2020"/>
    <x v="2"/>
  </r>
  <r>
    <x v="89"/>
    <n v="1000001524"/>
    <s v="借呗18期"/>
    <n v="1"/>
    <n v="18000.259999999998"/>
    <s v="借呗"/>
    <x v="2"/>
    <x v="0"/>
    <x v="1"/>
    <s v="二组"/>
    <s v="苏州二组"/>
    <s v="普通员工"/>
    <n v="18000.259999999998"/>
    <n v="2020"/>
    <x v="2"/>
  </r>
  <r>
    <x v="89"/>
    <n v="1000002861"/>
    <s v="借呗12期"/>
    <n v="2"/>
    <n v="23001.53"/>
    <s v="借呗"/>
    <x v="0"/>
    <x v="2"/>
    <x v="6"/>
    <s v="三组"/>
    <s v="广州三组"/>
    <s v="普通员工"/>
    <n v="11500.764999999999"/>
    <n v="2020"/>
    <x v="2"/>
  </r>
  <r>
    <x v="89"/>
    <n v="1000002861"/>
    <s v="借呗18期"/>
    <n v="1"/>
    <n v="7500.75"/>
    <s v="借呗"/>
    <x v="2"/>
    <x v="2"/>
    <x v="6"/>
    <s v="三组"/>
    <s v="广州三组"/>
    <s v="普通员工"/>
    <n v="7500.75"/>
    <n v="2020"/>
    <x v="2"/>
  </r>
  <r>
    <x v="89"/>
    <n v="1000003926"/>
    <s v="借呗6期"/>
    <n v="1"/>
    <n v="20000.240000000002"/>
    <s v="借呗"/>
    <x v="1"/>
    <x v="2"/>
    <x v="6"/>
    <s v="一组"/>
    <s v="广州一组"/>
    <s v="管理人员"/>
    <n v="20000.240000000002"/>
    <n v="2020"/>
    <x v="2"/>
  </r>
  <r>
    <x v="89"/>
    <n v="1000003989"/>
    <s v="借呗6期"/>
    <n v="1"/>
    <n v="20000.580000000002"/>
    <s v="借呗"/>
    <x v="1"/>
    <x v="1"/>
    <x v="2"/>
    <s v="三组"/>
    <s v="北京三组"/>
    <s v="普通员工"/>
    <n v="20000.580000000002"/>
    <n v="2020"/>
    <x v="2"/>
  </r>
  <r>
    <x v="89"/>
    <n v="1000004170"/>
    <s v="借呗6期"/>
    <n v="1"/>
    <n v="11000.6"/>
    <s v="借呗"/>
    <x v="1"/>
    <x v="0"/>
    <x v="3"/>
    <s v="二组"/>
    <s v="上海二组"/>
    <s v="管理人员"/>
    <n v="11000.6"/>
    <n v="2020"/>
    <x v="2"/>
  </r>
  <r>
    <x v="89"/>
    <n v="1000004256"/>
    <s v="借呗12期"/>
    <n v="1"/>
    <n v="15000.4"/>
    <s v="借呗"/>
    <x v="0"/>
    <x v="0"/>
    <x v="5"/>
    <s v="一组"/>
    <s v="合肥一组"/>
    <s v="普通员工"/>
    <n v="15000.4"/>
    <n v="2020"/>
    <x v="2"/>
  </r>
  <r>
    <x v="89"/>
    <n v="1000004256"/>
    <s v="借呗18期"/>
    <n v="2"/>
    <n v="21001.1"/>
    <s v="借呗"/>
    <x v="2"/>
    <x v="0"/>
    <x v="5"/>
    <s v="一组"/>
    <s v="合肥一组"/>
    <s v="普通员工"/>
    <n v="10500.55"/>
    <n v="2020"/>
    <x v="2"/>
  </r>
  <r>
    <x v="89"/>
    <n v="1000006064"/>
    <s v="花呗6期"/>
    <n v="1"/>
    <n v="9.3800000000000008"/>
    <s v="花呗"/>
    <x v="1"/>
    <x v="0"/>
    <x v="5"/>
    <s v="一组"/>
    <s v="合肥一组"/>
    <s v="普通员工"/>
    <n v="9.3800000000000008"/>
    <n v="2020"/>
    <x v="2"/>
  </r>
  <r>
    <x v="89"/>
    <n v="1000006867"/>
    <s v="借呗12期"/>
    <n v="1"/>
    <n v="1138.72"/>
    <s v="借呗"/>
    <x v="0"/>
    <x v="0"/>
    <x v="10"/>
    <s v="一组"/>
    <s v="南京一组"/>
    <s v="普通员工"/>
    <n v="1138.72"/>
    <n v="2020"/>
    <x v="2"/>
  </r>
  <r>
    <x v="89"/>
    <n v="1000007320"/>
    <s v="借呗6期"/>
    <n v="1"/>
    <n v="9500.09"/>
    <s v="借呗"/>
    <x v="1"/>
    <x v="0"/>
    <x v="3"/>
    <s v="一组"/>
    <s v="上海一组"/>
    <s v="普通员工"/>
    <n v="9500.09"/>
    <n v="2020"/>
    <x v="2"/>
  </r>
  <r>
    <x v="89"/>
    <n v="1000007320"/>
    <s v="借呗18期"/>
    <n v="1"/>
    <n v="18000.7"/>
    <s v="借呗"/>
    <x v="2"/>
    <x v="0"/>
    <x v="3"/>
    <s v="一组"/>
    <s v="上海一组"/>
    <s v="普通员工"/>
    <n v="18000.7"/>
    <n v="2020"/>
    <x v="2"/>
  </r>
  <r>
    <x v="89"/>
    <n v="1000008228"/>
    <s v="借呗1期"/>
    <n v="1"/>
    <n v="1000.52"/>
    <s v="借呗"/>
    <x v="5"/>
    <x v="1"/>
    <x v="2"/>
    <s v="三组"/>
    <s v="北京三组"/>
    <s v="普通员工"/>
    <n v="1000.52"/>
    <n v="2020"/>
    <x v="2"/>
  </r>
  <r>
    <x v="89"/>
    <n v="1000008228"/>
    <s v="借呗6期"/>
    <n v="1"/>
    <n v="14000.03"/>
    <s v="借呗"/>
    <x v="1"/>
    <x v="1"/>
    <x v="2"/>
    <s v="三组"/>
    <s v="北京三组"/>
    <s v="普通员工"/>
    <n v="14000.03"/>
    <n v="2020"/>
    <x v="2"/>
  </r>
  <r>
    <x v="89"/>
    <n v="1000008542"/>
    <s v="借呗6期"/>
    <n v="1"/>
    <n v="2000.24"/>
    <s v="借呗"/>
    <x v="1"/>
    <x v="0"/>
    <x v="5"/>
    <s v="一组"/>
    <s v="合肥一组"/>
    <s v="普通员工"/>
    <n v="2000.24"/>
    <n v="2020"/>
    <x v="2"/>
  </r>
  <r>
    <x v="89"/>
    <n v="1000008542"/>
    <s v="借呗12期"/>
    <n v="1"/>
    <n v="13999.96"/>
    <s v="借呗"/>
    <x v="0"/>
    <x v="0"/>
    <x v="5"/>
    <s v="一组"/>
    <s v="合肥一组"/>
    <s v="普通员工"/>
    <n v="13999.96"/>
    <n v="2020"/>
    <x v="2"/>
  </r>
  <r>
    <x v="89"/>
    <n v="1000008957"/>
    <s v="借呗6期"/>
    <n v="1"/>
    <n v="20000.41"/>
    <s v="借呗"/>
    <x v="1"/>
    <x v="0"/>
    <x v="3"/>
    <s v="二组"/>
    <s v="上海二组"/>
    <s v="普通员工"/>
    <n v="20000.41"/>
    <n v="2020"/>
    <x v="2"/>
  </r>
  <r>
    <x v="89"/>
    <n v="1000009288"/>
    <s v="借呗6期"/>
    <n v="3"/>
    <n v="24000"/>
    <s v="借呗"/>
    <x v="1"/>
    <x v="0"/>
    <x v="1"/>
    <s v="二组"/>
    <s v="苏州二组"/>
    <s v="普通员工"/>
    <n v="8000"/>
    <n v="2020"/>
    <x v="2"/>
  </r>
  <r>
    <x v="89"/>
    <n v="1000011697"/>
    <s v="借呗6期"/>
    <n v="2"/>
    <n v="11001.259999999998"/>
    <s v="借呗"/>
    <x v="1"/>
    <x v="0"/>
    <x v="3"/>
    <s v="二组"/>
    <s v="上海二组"/>
    <s v="普通员工"/>
    <n v="5500.6299999999992"/>
    <n v="2020"/>
    <x v="2"/>
  </r>
  <r>
    <x v="89"/>
    <n v="1000011697"/>
    <s v="借呗12期"/>
    <n v="1"/>
    <n v="18000.02"/>
    <s v="借呗"/>
    <x v="0"/>
    <x v="0"/>
    <x v="3"/>
    <s v="二组"/>
    <s v="上海二组"/>
    <s v="普通员工"/>
    <n v="18000.02"/>
    <n v="2020"/>
    <x v="2"/>
  </r>
  <r>
    <x v="89"/>
    <n v="1000011698"/>
    <s v="借呗6期"/>
    <n v="2"/>
    <n v="44000.61"/>
    <s v="借呗"/>
    <x v="1"/>
    <x v="0"/>
    <x v="3"/>
    <s v="二组"/>
    <s v="上海二组"/>
    <s v="普通员工"/>
    <n v="22000.305"/>
    <n v="2020"/>
    <x v="2"/>
  </r>
  <r>
    <x v="89"/>
    <n v="1000011828"/>
    <s v="借呗12期"/>
    <n v="1"/>
    <n v="20000.71"/>
    <s v="借呗"/>
    <x v="0"/>
    <x v="0"/>
    <x v="0"/>
    <s v="二组"/>
    <s v="杭州二组"/>
    <s v="普通员工"/>
    <n v="20000.71"/>
    <n v="2020"/>
    <x v="2"/>
  </r>
  <r>
    <x v="89"/>
    <n v="1000012096"/>
    <s v="借呗12期"/>
    <n v="1"/>
    <n v="14000.48"/>
    <s v="借呗"/>
    <x v="0"/>
    <x v="0"/>
    <x v="0"/>
    <s v="一组"/>
    <s v="杭州一组"/>
    <s v="普通员工"/>
    <n v="14000.48"/>
    <n v="2020"/>
    <x v="2"/>
  </r>
  <r>
    <x v="89"/>
    <n v="1000012099"/>
    <s v="借呗18期"/>
    <n v="1"/>
    <n v="13000.62"/>
    <s v="借呗"/>
    <x v="2"/>
    <x v="0"/>
    <x v="0"/>
    <s v="二组"/>
    <s v="杭州二组"/>
    <s v="普通员工"/>
    <n v="13000.62"/>
    <n v="2020"/>
    <x v="2"/>
  </r>
  <r>
    <x v="89"/>
    <n v="1000012124"/>
    <s v="借呗6期"/>
    <n v="1"/>
    <n v="5500.69"/>
    <s v="借呗"/>
    <x v="1"/>
    <x v="0"/>
    <x v="0"/>
    <s v="一组"/>
    <s v="杭州一组"/>
    <s v="普通员工"/>
    <n v="5500.69"/>
    <n v="2020"/>
    <x v="2"/>
  </r>
  <r>
    <x v="89"/>
    <n v="1000012124"/>
    <s v="借呗18期"/>
    <n v="1"/>
    <n v="15000.44"/>
    <s v="借呗"/>
    <x v="2"/>
    <x v="0"/>
    <x v="0"/>
    <s v="一组"/>
    <s v="杭州一组"/>
    <s v="普通员工"/>
    <n v="15000.44"/>
    <n v="2020"/>
    <x v="2"/>
  </r>
  <r>
    <x v="89"/>
    <n v="1000012126"/>
    <s v="借呗6期"/>
    <n v="2"/>
    <n v="25000.65"/>
    <s v="借呗"/>
    <x v="1"/>
    <x v="0"/>
    <x v="0"/>
    <s v="一组"/>
    <s v="杭州一组"/>
    <s v="普通员工"/>
    <n v="12500.325000000001"/>
    <n v="2020"/>
    <x v="2"/>
  </r>
  <r>
    <x v="89"/>
    <n v="1000012126"/>
    <s v="借呗12期"/>
    <n v="1"/>
    <n v="11000.32"/>
    <s v="借呗"/>
    <x v="0"/>
    <x v="0"/>
    <x v="0"/>
    <s v="一组"/>
    <s v="杭州一组"/>
    <s v="普通员工"/>
    <n v="11000.32"/>
    <n v="2020"/>
    <x v="2"/>
  </r>
  <r>
    <x v="89"/>
    <n v="1000012234"/>
    <s v="借呗6期"/>
    <n v="1"/>
    <n v="4000.48"/>
    <s v="借呗"/>
    <x v="1"/>
    <x v="0"/>
    <x v="1"/>
    <s v="一组"/>
    <s v="苏州一组"/>
    <s v="普通员工"/>
    <n v="4000.48"/>
    <n v="2020"/>
    <x v="2"/>
  </r>
  <r>
    <x v="89"/>
    <n v="1000012234"/>
    <s v="借呗12期"/>
    <n v="1"/>
    <n v="15000.01"/>
    <s v="借呗"/>
    <x v="0"/>
    <x v="0"/>
    <x v="1"/>
    <s v="一组"/>
    <s v="苏州一组"/>
    <s v="普通员工"/>
    <n v="15000.01"/>
    <n v="2020"/>
    <x v="2"/>
  </r>
  <r>
    <x v="89"/>
    <n v="1000012446"/>
    <s v="借呗9期"/>
    <n v="1"/>
    <n v="2500.65"/>
    <s v="借呗"/>
    <x v="3"/>
    <x v="1"/>
    <x v="2"/>
    <s v="三组"/>
    <s v="北京三组"/>
    <s v="普通员工"/>
    <n v="2500.65"/>
    <n v="2020"/>
    <x v="2"/>
  </r>
  <r>
    <x v="89"/>
    <n v="1000013607"/>
    <s v="借呗6期"/>
    <n v="1"/>
    <n v="17000.169999999998"/>
    <s v="借呗"/>
    <x v="1"/>
    <x v="0"/>
    <x v="1"/>
    <s v="一组"/>
    <s v="苏州一组"/>
    <s v="普通员工"/>
    <n v="17000.169999999998"/>
    <n v="2020"/>
    <x v="2"/>
  </r>
  <r>
    <x v="89"/>
    <n v="1000013607"/>
    <s v="借呗12期"/>
    <n v="1"/>
    <n v="23000.47"/>
    <s v="借呗"/>
    <x v="0"/>
    <x v="0"/>
    <x v="1"/>
    <s v="一组"/>
    <s v="苏州一组"/>
    <s v="普通员工"/>
    <n v="23000.47"/>
    <n v="2020"/>
    <x v="2"/>
  </r>
  <r>
    <x v="89"/>
    <n v="1000014037"/>
    <s v="借呗6期"/>
    <n v="1"/>
    <n v="4000.45"/>
    <s v="借呗"/>
    <x v="1"/>
    <x v="0"/>
    <x v="1"/>
    <s v="三组"/>
    <s v="苏州三组"/>
    <s v="普通员工"/>
    <n v="4000.45"/>
    <n v="2020"/>
    <x v="2"/>
  </r>
  <r>
    <x v="89"/>
    <n v="1000014037"/>
    <s v="借呗12期"/>
    <n v="1"/>
    <n v="20000.080000000002"/>
    <s v="借呗"/>
    <x v="0"/>
    <x v="0"/>
    <x v="1"/>
    <s v="三组"/>
    <s v="苏州三组"/>
    <s v="普通员工"/>
    <n v="20000.080000000002"/>
    <n v="2020"/>
    <x v="2"/>
  </r>
  <r>
    <x v="89"/>
    <n v="1000014072"/>
    <s v="借呗12期"/>
    <n v="1"/>
    <n v="3800.62"/>
    <s v="借呗"/>
    <x v="0"/>
    <x v="2"/>
    <x v="11"/>
    <s v="一组"/>
    <s v="南宁一组"/>
    <s v="普通员工"/>
    <n v="3800.62"/>
    <n v="2020"/>
    <x v="2"/>
  </r>
  <r>
    <x v="89"/>
    <n v="1000014291"/>
    <s v="借呗6期"/>
    <n v="1"/>
    <n v="5000.76"/>
    <s v="借呗"/>
    <x v="1"/>
    <x v="2"/>
    <x v="6"/>
    <s v="二组"/>
    <s v="广州二组"/>
    <s v="管理人员"/>
    <n v="5000.76"/>
    <n v="2020"/>
    <x v="2"/>
  </r>
  <r>
    <x v="89"/>
    <n v="1000014291"/>
    <s v="借呗12期"/>
    <n v="3"/>
    <n v="24000.899999999998"/>
    <s v="借呗"/>
    <x v="0"/>
    <x v="2"/>
    <x v="6"/>
    <s v="二组"/>
    <s v="广州二组"/>
    <s v="管理人员"/>
    <n v="8000.2999999999993"/>
    <n v="2020"/>
    <x v="2"/>
  </r>
  <r>
    <x v="89"/>
    <n v="1000014452"/>
    <s v="借呗18期"/>
    <n v="1"/>
    <n v="7000.23"/>
    <s v="借呗"/>
    <x v="2"/>
    <x v="0"/>
    <x v="3"/>
    <s v="三组"/>
    <s v="上海三组"/>
    <s v="普通员工"/>
    <n v="7000.23"/>
    <n v="2020"/>
    <x v="2"/>
  </r>
  <r>
    <x v="89"/>
    <n v="1000014572"/>
    <s v="借呗6期"/>
    <n v="2"/>
    <n v="32000.33"/>
    <s v="借呗"/>
    <x v="1"/>
    <x v="0"/>
    <x v="3"/>
    <s v="一组"/>
    <s v="上海一组"/>
    <s v="普通员工"/>
    <n v="16000.165000000001"/>
    <n v="2020"/>
    <x v="2"/>
  </r>
  <r>
    <x v="89"/>
    <n v="1000015013"/>
    <s v="借呗12期"/>
    <n v="2"/>
    <n v="19441.260000000002"/>
    <s v="借呗"/>
    <x v="0"/>
    <x v="0"/>
    <x v="0"/>
    <s v="一组"/>
    <s v="杭州一组"/>
    <s v="普通员工"/>
    <n v="9720.630000000001"/>
    <n v="2020"/>
    <x v="2"/>
  </r>
  <r>
    <x v="89"/>
    <n v="1000015203"/>
    <s v="借呗18期"/>
    <n v="1"/>
    <n v="8000.37"/>
    <s v="借呗"/>
    <x v="2"/>
    <x v="2"/>
    <x v="11"/>
    <s v="一组"/>
    <s v="南宁一组"/>
    <s v="普通员工"/>
    <n v="8000.37"/>
    <n v="2020"/>
    <x v="2"/>
  </r>
  <r>
    <x v="89"/>
    <n v="1000017576"/>
    <s v="借呗6期"/>
    <n v="2"/>
    <n v="24001.089999999997"/>
    <s v="借呗"/>
    <x v="1"/>
    <x v="0"/>
    <x v="0"/>
    <s v="三组"/>
    <s v="杭州三组"/>
    <s v="普通员工"/>
    <n v="12000.544999999998"/>
    <n v="2020"/>
    <x v="2"/>
  </r>
  <r>
    <x v="89"/>
    <n v="1000017576"/>
    <s v="借呗12期"/>
    <n v="2"/>
    <n v="40000.67"/>
    <s v="借呗"/>
    <x v="0"/>
    <x v="0"/>
    <x v="0"/>
    <s v="三组"/>
    <s v="杭州三组"/>
    <s v="普通员工"/>
    <n v="20000.334999999999"/>
    <n v="2020"/>
    <x v="2"/>
  </r>
  <r>
    <x v="89"/>
    <n v="1000017688"/>
    <s v="借呗18期"/>
    <n v="1"/>
    <n v="25000.38"/>
    <s v="借呗"/>
    <x v="2"/>
    <x v="2"/>
    <x v="6"/>
    <s v="三组"/>
    <s v="广州三组"/>
    <s v="普通员工"/>
    <n v="25000.38"/>
    <n v="2020"/>
    <x v="2"/>
  </r>
  <r>
    <x v="89"/>
    <n v="1000017700"/>
    <s v="借呗12期"/>
    <n v="1"/>
    <n v="8000.19"/>
    <s v="借呗"/>
    <x v="0"/>
    <x v="2"/>
    <x v="11"/>
    <s v="一组"/>
    <s v="南宁一组"/>
    <s v="普通员工"/>
    <n v="8000.19"/>
    <n v="2020"/>
    <x v="2"/>
  </r>
  <r>
    <x v="89"/>
    <n v="1000017700"/>
    <s v="借呗18期"/>
    <n v="3"/>
    <n v="34000.879999999997"/>
    <s v="借呗"/>
    <x v="2"/>
    <x v="2"/>
    <x v="11"/>
    <s v="一组"/>
    <s v="南宁一组"/>
    <s v="普通员工"/>
    <n v="11333.626666666665"/>
    <n v="2020"/>
    <x v="2"/>
  </r>
  <r>
    <x v="89"/>
    <n v="1000018132"/>
    <s v="借呗12期"/>
    <n v="1"/>
    <n v="13000.62"/>
    <s v="借呗"/>
    <x v="0"/>
    <x v="2"/>
    <x v="11"/>
    <s v="一组"/>
    <s v="南宁一组"/>
    <s v="普通员工"/>
    <n v="13000.62"/>
    <n v="2020"/>
    <x v="2"/>
  </r>
  <r>
    <x v="89"/>
    <n v="1000018134"/>
    <s v="借呗18期"/>
    <n v="1"/>
    <n v="11000.39"/>
    <s v="借呗"/>
    <x v="2"/>
    <x v="0"/>
    <x v="5"/>
    <s v="一组"/>
    <s v="合肥一组"/>
    <s v="普通员工"/>
    <n v="11000.39"/>
    <n v="2020"/>
    <x v="2"/>
  </r>
  <r>
    <x v="89"/>
    <n v="1000018298"/>
    <s v="借呗6期"/>
    <n v="1"/>
    <n v="7000.18"/>
    <s v="借呗"/>
    <x v="1"/>
    <x v="0"/>
    <x v="3"/>
    <s v="二组"/>
    <s v="上海二组"/>
    <s v="普通员工"/>
    <n v="7000.18"/>
    <n v="2020"/>
    <x v="2"/>
  </r>
  <r>
    <x v="89"/>
    <n v="1000018298"/>
    <s v="借呗12期"/>
    <n v="1"/>
    <n v="14000.45"/>
    <s v="借呗"/>
    <x v="0"/>
    <x v="0"/>
    <x v="3"/>
    <s v="二组"/>
    <s v="上海二组"/>
    <s v="普通员工"/>
    <n v="14000.45"/>
    <n v="2020"/>
    <x v="2"/>
  </r>
  <r>
    <x v="89"/>
    <n v="1000018922"/>
    <s v="借呗6期"/>
    <n v="1"/>
    <n v="5000.38"/>
    <s v="借呗"/>
    <x v="1"/>
    <x v="2"/>
    <x v="6"/>
    <s v="一组"/>
    <s v="广州一组"/>
    <s v="普通员工"/>
    <n v="5000.38"/>
    <n v="2020"/>
    <x v="2"/>
  </r>
  <r>
    <x v="89"/>
    <n v="1000020084"/>
    <s v="借呗6期"/>
    <n v="2"/>
    <n v="36000.479999999996"/>
    <s v="借呗"/>
    <x v="1"/>
    <x v="2"/>
    <x v="9"/>
    <s v="一组"/>
    <s v="深圳一组"/>
    <s v="普通员工"/>
    <n v="18000.239999999998"/>
    <n v="2020"/>
    <x v="2"/>
  </r>
  <r>
    <x v="89"/>
    <n v="1000020084"/>
    <s v="借呗12期"/>
    <n v="1"/>
    <n v="6500.09"/>
    <s v="借呗"/>
    <x v="0"/>
    <x v="2"/>
    <x v="9"/>
    <s v="一组"/>
    <s v="深圳一组"/>
    <s v="普通员工"/>
    <n v="6500.09"/>
    <n v="2020"/>
    <x v="2"/>
  </r>
  <r>
    <x v="89"/>
    <n v="1000020128"/>
    <s v="借呗12期"/>
    <n v="1"/>
    <n v="6000.61"/>
    <s v="借呗"/>
    <x v="0"/>
    <x v="1"/>
    <x v="8"/>
    <s v="一组"/>
    <s v="西安一组"/>
    <s v="管理人员"/>
    <n v="6000.61"/>
    <n v="2020"/>
    <x v="2"/>
  </r>
  <r>
    <x v="89"/>
    <n v="1000020754"/>
    <s v="借呗6期"/>
    <n v="1"/>
    <n v="8000.61"/>
    <s v="借呗"/>
    <x v="1"/>
    <x v="0"/>
    <x v="1"/>
    <s v="二组"/>
    <s v="苏州二组"/>
    <s v="普通员工"/>
    <n v="8000.61"/>
    <n v="2020"/>
    <x v="2"/>
  </r>
  <r>
    <x v="89"/>
    <n v="1000020754"/>
    <s v="借呗12期"/>
    <n v="1"/>
    <n v="20000.02"/>
    <s v="借呗"/>
    <x v="0"/>
    <x v="0"/>
    <x v="1"/>
    <s v="二组"/>
    <s v="苏州二组"/>
    <s v="普通员工"/>
    <n v="20000.02"/>
    <n v="2020"/>
    <x v="2"/>
  </r>
  <r>
    <x v="89"/>
    <n v="1000020921"/>
    <s v="借呗12期"/>
    <n v="1"/>
    <n v="20000.61"/>
    <s v="借呗"/>
    <x v="0"/>
    <x v="2"/>
    <x v="11"/>
    <s v="一组"/>
    <s v="南宁一组"/>
    <s v="普通员工"/>
    <n v="20000.61"/>
    <n v="2020"/>
    <x v="2"/>
  </r>
  <r>
    <x v="89"/>
    <n v="1000020921"/>
    <s v="借呗18期"/>
    <n v="2"/>
    <n v="25001.149999999998"/>
    <s v="借呗"/>
    <x v="2"/>
    <x v="2"/>
    <x v="11"/>
    <s v="一组"/>
    <s v="南宁一组"/>
    <s v="普通员工"/>
    <n v="12500.574999999999"/>
    <n v="2020"/>
    <x v="2"/>
  </r>
  <r>
    <x v="89"/>
    <n v="1000021167"/>
    <s v="借呗6期"/>
    <n v="1"/>
    <n v="15000.13"/>
    <s v="借呗"/>
    <x v="1"/>
    <x v="0"/>
    <x v="0"/>
    <s v="二组"/>
    <s v="杭州二组"/>
    <s v="普通员工"/>
    <n v="15000.13"/>
    <n v="2020"/>
    <x v="2"/>
  </r>
  <r>
    <x v="89"/>
    <n v="1000021167"/>
    <s v="借呗12期"/>
    <n v="2"/>
    <n v="13000.35"/>
    <s v="借呗"/>
    <x v="0"/>
    <x v="0"/>
    <x v="0"/>
    <s v="二组"/>
    <s v="杭州二组"/>
    <s v="普通员工"/>
    <n v="6500.1750000000002"/>
    <n v="2020"/>
    <x v="2"/>
  </r>
  <r>
    <x v="89"/>
    <n v="1000021227"/>
    <s v="借呗6期"/>
    <n v="3"/>
    <n v="25000.29"/>
    <s v="借呗"/>
    <x v="1"/>
    <x v="2"/>
    <x v="9"/>
    <s v="一组"/>
    <s v="深圳一组"/>
    <s v="管理人员"/>
    <n v="8333.43"/>
    <n v="2020"/>
    <x v="2"/>
  </r>
  <r>
    <x v="89"/>
    <n v="1000021227"/>
    <s v="借呗12期"/>
    <n v="1"/>
    <n v="33000.589999999997"/>
    <s v="借呗"/>
    <x v="0"/>
    <x v="2"/>
    <x v="9"/>
    <s v="一组"/>
    <s v="深圳一组"/>
    <s v="管理人员"/>
    <n v="33000.589999999997"/>
    <n v="2020"/>
    <x v="2"/>
  </r>
  <r>
    <x v="89"/>
    <n v="1000021227"/>
    <s v="借呗18期"/>
    <n v="1"/>
    <n v="22000.66"/>
    <s v="借呗"/>
    <x v="2"/>
    <x v="2"/>
    <x v="9"/>
    <s v="一组"/>
    <s v="深圳一组"/>
    <s v="管理人员"/>
    <n v="22000.66"/>
    <n v="2020"/>
    <x v="2"/>
  </r>
  <r>
    <x v="90"/>
    <n v="1000000029"/>
    <s v="借呗3期"/>
    <n v="1"/>
    <n v="834.7"/>
    <s v="借呗"/>
    <x v="4"/>
    <x v="0"/>
    <x v="0"/>
    <s v="二组"/>
    <s v="杭州二组"/>
    <s v="普通员工"/>
    <n v="834.7"/>
    <n v="2020"/>
    <x v="2"/>
  </r>
  <r>
    <x v="90"/>
    <n v="1000000030"/>
    <s v="借呗12期"/>
    <n v="1"/>
    <n v="13000.53"/>
    <s v="借呗"/>
    <x v="0"/>
    <x v="2"/>
    <x v="6"/>
    <s v="三组"/>
    <s v="广州三组"/>
    <s v="普通员工"/>
    <n v="13000.53"/>
    <n v="2020"/>
    <x v="2"/>
  </r>
  <r>
    <x v="90"/>
    <n v="1000000032"/>
    <s v="借呗1期"/>
    <n v="1"/>
    <n v="2372.44"/>
    <s v="借呗"/>
    <x v="5"/>
    <x v="0"/>
    <x v="1"/>
    <s v="一组"/>
    <s v="苏州一组"/>
    <s v="管理人员"/>
    <n v="2372.44"/>
    <n v="2020"/>
    <x v="2"/>
  </r>
  <r>
    <x v="90"/>
    <n v="1000000032"/>
    <s v="借呗18期"/>
    <n v="1"/>
    <n v="3000.07"/>
    <s v="借呗"/>
    <x v="2"/>
    <x v="0"/>
    <x v="1"/>
    <s v="一组"/>
    <s v="苏州一组"/>
    <s v="管理人员"/>
    <n v="3000.07"/>
    <n v="2020"/>
    <x v="2"/>
  </r>
  <r>
    <x v="90"/>
    <n v="1000000034"/>
    <s v="借呗18期"/>
    <n v="1"/>
    <n v="18000.22"/>
    <s v="借呗"/>
    <x v="2"/>
    <x v="0"/>
    <x v="1"/>
    <s v="一组"/>
    <s v="苏州一组"/>
    <s v="普通员工"/>
    <n v="18000.22"/>
    <n v="2020"/>
    <x v="2"/>
  </r>
  <r>
    <x v="90"/>
    <n v="1000000035"/>
    <s v="借呗12期"/>
    <n v="1"/>
    <n v="2000.39"/>
    <s v="借呗"/>
    <x v="0"/>
    <x v="0"/>
    <x v="1"/>
    <s v="三组"/>
    <s v="苏州三组"/>
    <s v="普通员工"/>
    <n v="2000.39"/>
    <n v="2020"/>
    <x v="2"/>
  </r>
  <r>
    <x v="90"/>
    <n v="1000000036"/>
    <s v="借呗1期"/>
    <n v="1"/>
    <n v="1999.99"/>
    <s v="借呗"/>
    <x v="5"/>
    <x v="2"/>
    <x v="6"/>
    <s v="三组"/>
    <s v="广州三组"/>
    <s v="管理人员"/>
    <n v="1999.99"/>
    <n v="2020"/>
    <x v="2"/>
  </r>
  <r>
    <x v="90"/>
    <n v="1000000036"/>
    <s v="借呗6期"/>
    <n v="1"/>
    <n v="3000.46"/>
    <s v="借呗"/>
    <x v="1"/>
    <x v="2"/>
    <x v="6"/>
    <s v="三组"/>
    <s v="广州三组"/>
    <s v="管理人员"/>
    <n v="3000.46"/>
    <n v="2020"/>
    <x v="2"/>
  </r>
  <r>
    <x v="90"/>
    <n v="1000000037"/>
    <s v="借呗3期"/>
    <n v="1"/>
    <n v="1261.6600000000001"/>
    <s v="借呗"/>
    <x v="4"/>
    <x v="0"/>
    <x v="0"/>
    <s v="二组"/>
    <s v="杭州二组"/>
    <s v="普通员工"/>
    <n v="1261.6600000000001"/>
    <n v="2020"/>
    <x v="2"/>
  </r>
  <r>
    <x v="90"/>
    <n v="1000000037"/>
    <s v="借呗12期"/>
    <n v="2"/>
    <n v="1635.49"/>
    <s v="借呗"/>
    <x v="0"/>
    <x v="0"/>
    <x v="0"/>
    <s v="二组"/>
    <s v="杭州二组"/>
    <s v="普通员工"/>
    <n v="817.745"/>
    <n v="2020"/>
    <x v="2"/>
  </r>
  <r>
    <x v="90"/>
    <n v="1000000039"/>
    <s v="借呗12期"/>
    <n v="1"/>
    <n v="12000.67"/>
    <s v="借呗"/>
    <x v="0"/>
    <x v="0"/>
    <x v="1"/>
    <s v="二组"/>
    <s v="苏州二组"/>
    <s v="管理人员"/>
    <n v="12000.67"/>
    <n v="2020"/>
    <x v="2"/>
  </r>
  <r>
    <x v="90"/>
    <n v="1000000040"/>
    <s v="借呗6期"/>
    <n v="1"/>
    <n v="14999.97"/>
    <s v="借呗"/>
    <x v="1"/>
    <x v="1"/>
    <x v="2"/>
    <s v="四组"/>
    <s v="北京四组"/>
    <s v="管理人员"/>
    <n v="14999.97"/>
    <n v="2020"/>
    <x v="2"/>
  </r>
  <r>
    <x v="90"/>
    <n v="1000000043"/>
    <s v="借呗6期"/>
    <n v="1"/>
    <n v="5000.63"/>
    <s v="借呗"/>
    <x v="1"/>
    <x v="1"/>
    <x v="4"/>
    <s v="一组"/>
    <s v="成都一组"/>
    <s v="普通员工"/>
    <n v="5000.63"/>
    <n v="2020"/>
    <x v="2"/>
  </r>
  <r>
    <x v="90"/>
    <n v="1000000044"/>
    <s v="借呗6期"/>
    <n v="2"/>
    <n v="1721.55"/>
    <s v="借呗"/>
    <x v="1"/>
    <x v="1"/>
    <x v="2"/>
    <s v="三组"/>
    <s v="北京三组"/>
    <s v="管理人员"/>
    <n v="860.77499999999998"/>
    <n v="2020"/>
    <x v="2"/>
  </r>
  <r>
    <x v="90"/>
    <n v="1000000045"/>
    <s v="借呗3期"/>
    <n v="1"/>
    <n v="1021.16"/>
    <s v="借呗"/>
    <x v="4"/>
    <x v="2"/>
    <x v="9"/>
    <s v="一组"/>
    <s v="深圳一组"/>
    <s v="普通员工"/>
    <n v="1021.16"/>
    <n v="2020"/>
    <x v="2"/>
  </r>
  <r>
    <x v="90"/>
    <n v="1000000047"/>
    <s v="借呗9期"/>
    <n v="1"/>
    <n v="1000.28"/>
    <s v="借呗"/>
    <x v="3"/>
    <x v="2"/>
    <x v="6"/>
    <s v="一组"/>
    <s v="广州一组"/>
    <s v="普通员工"/>
    <n v="1000.28"/>
    <n v="2020"/>
    <x v="2"/>
  </r>
  <r>
    <x v="90"/>
    <n v="1000000054"/>
    <s v="借呗6期"/>
    <n v="1"/>
    <n v="10000.69"/>
    <s v="借呗"/>
    <x v="1"/>
    <x v="0"/>
    <x v="3"/>
    <s v="一组"/>
    <s v="上海一组"/>
    <s v="普通员工"/>
    <n v="10000.69"/>
    <n v="2020"/>
    <x v="2"/>
  </r>
  <r>
    <x v="90"/>
    <n v="1000000056"/>
    <s v="借呗1期"/>
    <n v="1"/>
    <n v="1000.59"/>
    <s v="借呗"/>
    <x v="5"/>
    <x v="0"/>
    <x v="3"/>
    <s v="一组"/>
    <s v="上海一组"/>
    <s v="管理人员"/>
    <n v="1000.59"/>
    <n v="2020"/>
    <x v="2"/>
  </r>
  <r>
    <x v="90"/>
    <n v="1000000056"/>
    <s v="借呗6期"/>
    <n v="1"/>
    <n v="499.99"/>
    <s v="借呗"/>
    <x v="1"/>
    <x v="0"/>
    <x v="3"/>
    <s v="一组"/>
    <s v="上海一组"/>
    <s v="管理人员"/>
    <n v="499.99"/>
    <n v="2020"/>
    <x v="2"/>
  </r>
  <r>
    <x v="90"/>
    <n v="1000000056"/>
    <s v="借呗12期"/>
    <n v="3"/>
    <n v="25001.35"/>
    <s v="借呗"/>
    <x v="0"/>
    <x v="0"/>
    <x v="3"/>
    <s v="一组"/>
    <s v="上海一组"/>
    <s v="管理人员"/>
    <n v="8333.7833333333328"/>
    <n v="2020"/>
    <x v="2"/>
  </r>
  <r>
    <x v="90"/>
    <n v="1000000068"/>
    <s v="借呗1期"/>
    <n v="1"/>
    <n v="1500.38"/>
    <s v="借呗"/>
    <x v="5"/>
    <x v="1"/>
    <x v="7"/>
    <s v="一组"/>
    <s v="重庆一组"/>
    <s v="管理人员"/>
    <n v="1500.38"/>
    <n v="2020"/>
    <x v="2"/>
  </r>
  <r>
    <x v="90"/>
    <n v="1000000068"/>
    <s v="借呗6期"/>
    <n v="1"/>
    <n v="11000.66"/>
    <s v="借呗"/>
    <x v="1"/>
    <x v="1"/>
    <x v="7"/>
    <s v="一组"/>
    <s v="重庆一组"/>
    <s v="管理人员"/>
    <n v="11000.66"/>
    <n v="2020"/>
    <x v="2"/>
  </r>
  <r>
    <x v="90"/>
    <n v="1000000104"/>
    <s v="借呗1期"/>
    <n v="1"/>
    <n v="2000.24"/>
    <s v="借呗"/>
    <x v="5"/>
    <x v="0"/>
    <x v="5"/>
    <s v="一组"/>
    <s v="合肥一组"/>
    <s v="普通员工"/>
    <n v="2000.24"/>
    <n v="2020"/>
    <x v="2"/>
  </r>
  <r>
    <x v="90"/>
    <n v="1000000114"/>
    <s v="借呗12期"/>
    <n v="1"/>
    <n v="2000.12"/>
    <s v="借呗"/>
    <x v="0"/>
    <x v="0"/>
    <x v="5"/>
    <s v="一组"/>
    <s v="合肥一组"/>
    <s v="普通员工"/>
    <n v="2000.12"/>
    <n v="2020"/>
    <x v="2"/>
  </r>
  <r>
    <x v="90"/>
    <n v="1000000237"/>
    <s v="借呗1期"/>
    <n v="1"/>
    <n v="686.18"/>
    <s v="借呗"/>
    <x v="5"/>
    <x v="0"/>
    <x v="5"/>
    <s v="一组"/>
    <s v="合肥一组"/>
    <s v="普通员工"/>
    <n v="686.18"/>
    <n v="2020"/>
    <x v="2"/>
  </r>
  <r>
    <x v="90"/>
    <n v="1000000566"/>
    <s v="借呗6期"/>
    <n v="1"/>
    <n v="3500.76"/>
    <s v="借呗"/>
    <x v="1"/>
    <x v="2"/>
    <x v="6"/>
    <s v="三组"/>
    <s v="广州三组"/>
    <s v="普通员工"/>
    <n v="3500.76"/>
    <n v="2020"/>
    <x v="2"/>
  </r>
  <r>
    <x v="90"/>
    <n v="1000000566"/>
    <s v="借呗18期"/>
    <n v="1"/>
    <n v="14000.15"/>
    <s v="借呗"/>
    <x v="2"/>
    <x v="2"/>
    <x v="6"/>
    <s v="三组"/>
    <s v="广州三组"/>
    <s v="普通员工"/>
    <n v="14000.15"/>
    <n v="2020"/>
    <x v="2"/>
  </r>
  <r>
    <x v="90"/>
    <n v="1000000928"/>
    <s v="借呗6期"/>
    <n v="1"/>
    <n v="8999.94"/>
    <s v="借呗"/>
    <x v="1"/>
    <x v="1"/>
    <x v="8"/>
    <s v="一组"/>
    <s v="西安一组"/>
    <s v="普通员工"/>
    <n v="8999.94"/>
    <n v="2020"/>
    <x v="2"/>
  </r>
  <r>
    <x v="90"/>
    <n v="1000001524"/>
    <s v="借呗6期"/>
    <n v="1"/>
    <n v="15000.7"/>
    <s v="借呗"/>
    <x v="1"/>
    <x v="0"/>
    <x v="1"/>
    <s v="二组"/>
    <s v="苏州二组"/>
    <s v="普通员工"/>
    <n v="15000.7"/>
    <n v="2020"/>
    <x v="2"/>
  </r>
  <r>
    <x v="90"/>
    <n v="1000002134"/>
    <s v="借呗18期"/>
    <n v="1"/>
    <n v="24000.15"/>
    <s v="借呗"/>
    <x v="2"/>
    <x v="0"/>
    <x v="5"/>
    <s v="二组"/>
    <s v="合肥二组"/>
    <s v="普通员工"/>
    <n v="24000.15"/>
    <n v="2020"/>
    <x v="2"/>
  </r>
  <r>
    <x v="90"/>
    <n v="1000003926"/>
    <s v="借呗1期"/>
    <n v="1"/>
    <n v="1257.49"/>
    <s v="借呗"/>
    <x v="5"/>
    <x v="2"/>
    <x v="6"/>
    <s v="一组"/>
    <s v="广州一组"/>
    <s v="管理人员"/>
    <n v="1257.49"/>
    <n v="2020"/>
    <x v="2"/>
  </r>
  <r>
    <x v="90"/>
    <n v="1000003926"/>
    <s v="借呗6期"/>
    <n v="2"/>
    <n v="10000.380000000001"/>
    <s v="借呗"/>
    <x v="1"/>
    <x v="2"/>
    <x v="6"/>
    <s v="一组"/>
    <s v="广州一组"/>
    <s v="管理人员"/>
    <n v="5000.1900000000005"/>
    <n v="2020"/>
    <x v="2"/>
  </r>
  <r>
    <x v="90"/>
    <n v="1000004170"/>
    <s v="借呗6期"/>
    <n v="4"/>
    <n v="34001.35"/>
    <s v="借呗"/>
    <x v="1"/>
    <x v="0"/>
    <x v="3"/>
    <s v="二组"/>
    <s v="上海二组"/>
    <s v="管理人员"/>
    <n v="8500.3374999999996"/>
    <n v="2020"/>
    <x v="2"/>
  </r>
  <r>
    <x v="90"/>
    <n v="1000004170"/>
    <s v="借呗12期"/>
    <n v="1"/>
    <n v="7500.07"/>
    <s v="借呗"/>
    <x v="0"/>
    <x v="0"/>
    <x v="3"/>
    <s v="二组"/>
    <s v="上海二组"/>
    <s v="管理人员"/>
    <n v="7500.07"/>
    <n v="2020"/>
    <x v="2"/>
  </r>
  <r>
    <x v="90"/>
    <n v="1000004170"/>
    <s v="借呗18期"/>
    <n v="1"/>
    <n v="15000.67"/>
    <s v="借呗"/>
    <x v="2"/>
    <x v="0"/>
    <x v="3"/>
    <s v="二组"/>
    <s v="上海二组"/>
    <s v="管理人员"/>
    <n v="15000.67"/>
    <n v="2020"/>
    <x v="2"/>
  </r>
  <r>
    <x v="90"/>
    <n v="1000005873"/>
    <s v="借呗1期"/>
    <n v="2"/>
    <n v="4262.17"/>
    <s v="借呗"/>
    <x v="5"/>
    <x v="0"/>
    <x v="0"/>
    <s v="二组"/>
    <s v="杭州二组"/>
    <s v="管理人员"/>
    <n v="2131.085"/>
    <n v="2020"/>
    <x v="2"/>
  </r>
  <r>
    <x v="90"/>
    <n v="1000005873"/>
    <s v="借呗12期"/>
    <n v="1"/>
    <n v="10000.61"/>
    <s v="借呗"/>
    <x v="0"/>
    <x v="0"/>
    <x v="0"/>
    <s v="二组"/>
    <s v="杭州二组"/>
    <s v="管理人员"/>
    <n v="10000.61"/>
    <n v="2020"/>
    <x v="2"/>
  </r>
  <r>
    <x v="90"/>
    <n v="1000006064"/>
    <s v="借呗12期"/>
    <n v="2"/>
    <n v="35001.440000000002"/>
    <s v="借呗"/>
    <x v="0"/>
    <x v="0"/>
    <x v="5"/>
    <s v="一组"/>
    <s v="合肥一组"/>
    <s v="普通员工"/>
    <n v="17500.72"/>
    <n v="2020"/>
    <x v="2"/>
  </r>
  <r>
    <x v="90"/>
    <n v="1000007320"/>
    <s v="借呗12期"/>
    <n v="1"/>
    <n v="5500.38"/>
    <s v="借呗"/>
    <x v="0"/>
    <x v="0"/>
    <x v="3"/>
    <s v="一组"/>
    <s v="上海一组"/>
    <s v="普通员工"/>
    <n v="5500.38"/>
    <n v="2020"/>
    <x v="2"/>
  </r>
  <r>
    <x v="90"/>
    <n v="1000008228"/>
    <s v="借呗6期"/>
    <n v="1"/>
    <n v="7500.13"/>
    <s v="借呗"/>
    <x v="1"/>
    <x v="1"/>
    <x v="2"/>
    <s v="三组"/>
    <s v="北京三组"/>
    <s v="普通员工"/>
    <n v="7500.13"/>
    <n v="2020"/>
    <x v="2"/>
  </r>
  <r>
    <x v="90"/>
    <n v="1000008239"/>
    <s v="借呗12期"/>
    <n v="1"/>
    <n v="22000.04"/>
    <s v="借呗"/>
    <x v="0"/>
    <x v="0"/>
    <x v="10"/>
    <s v="一组"/>
    <s v="南京一组"/>
    <s v="管理人员"/>
    <n v="22000.04"/>
    <n v="2020"/>
    <x v="2"/>
  </r>
  <r>
    <x v="90"/>
    <n v="1000008542"/>
    <s v="借呗18期"/>
    <n v="1"/>
    <n v="7000.03"/>
    <s v="借呗"/>
    <x v="2"/>
    <x v="0"/>
    <x v="5"/>
    <s v="一组"/>
    <s v="合肥一组"/>
    <s v="普通员工"/>
    <n v="7000.03"/>
    <n v="2020"/>
    <x v="2"/>
  </r>
  <r>
    <x v="90"/>
    <n v="1000008957"/>
    <s v="借呗12期"/>
    <n v="1"/>
    <n v="9999.9500000000007"/>
    <s v="借呗"/>
    <x v="0"/>
    <x v="0"/>
    <x v="3"/>
    <s v="二组"/>
    <s v="上海二组"/>
    <s v="普通员工"/>
    <n v="9999.9500000000007"/>
    <n v="2020"/>
    <x v="2"/>
  </r>
  <r>
    <x v="90"/>
    <n v="1000009288"/>
    <s v="借呗6期"/>
    <n v="2"/>
    <n v="26001.15"/>
    <s v="借呗"/>
    <x v="1"/>
    <x v="0"/>
    <x v="1"/>
    <s v="二组"/>
    <s v="苏州二组"/>
    <s v="普通员工"/>
    <n v="13000.575000000001"/>
    <n v="2020"/>
    <x v="2"/>
  </r>
  <r>
    <x v="90"/>
    <n v="1000010814"/>
    <s v="借呗6期"/>
    <n v="1"/>
    <n v="500.6"/>
    <s v="借呗"/>
    <x v="1"/>
    <x v="0"/>
    <x v="10"/>
    <s v="四组"/>
    <s v="南京四组"/>
    <s v="普通员工"/>
    <n v="500.6"/>
    <n v="2020"/>
    <x v="2"/>
  </r>
  <r>
    <x v="90"/>
    <n v="1000010837"/>
    <s v="借呗12期"/>
    <n v="1"/>
    <n v="16000.73"/>
    <s v="借呗"/>
    <x v="0"/>
    <x v="0"/>
    <x v="10"/>
    <s v="一组"/>
    <s v="南京一组"/>
    <s v="普通员工"/>
    <n v="16000.73"/>
    <n v="2020"/>
    <x v="2"/>
  </r>
  <r>
    <x v="90"/>
    <n v="1000011697"/>
    <s v="借呗18期"/>
    <n v="2"/>
    <n v="10800.52"/>
    <s v="借呗"/>
    <x v="2"/>
    <x v="0"/>
    <x v="3"/>
    <s v="二组"/>
    <s v="上海二组"/>
    <s v="普通员工"/>
    <n v="5400.26"/>
    <n v="2020"/>
    <x v="2"/>
  </r>
  <r>
    <x v="90"/>
    <n v="1000012096"/>
    <s v="借呗1期"/>
    <n v="1"/>
    <n v="500.38"/>
    <s v="借呗"/>
    <x v="5"/>
    <x v="0"/>
    <x v="0"/>
    <s v="一组"/>
    <s v="杭州一组"/>
    <s v="普通员工"/>
    <n v="500.38"/>
    <n v="2020"/>
    <x v="2"/>
  </r>
  <r>
    <x v="90"/>
    <n v="1000012096"/>
    <s v="借呗6期"/>
    <n v="1"/>
    <n v="10000.67"/>
    <s v="借呗"/>
    <x v="1"/>
    <x v="0"/>
    <x v="0"/>
    <s v="一组"/>
    <s v="杭州一组"/>
    <s v="普通员工"/>
    <n v="10000.67"/>
    <n v="2020"/>
    <x v="2"/>
  </r>
  <r>
    <x v="90"/>
    <n v="1000012124"/>
    <s v="借呗6期"/>
    <n v="1"/>
    <n v="2689.66"/>
    <s v="借呗"/>
    <x v="1"/>
    <x v="0"/>
    <x v="0"/>
    <s v="一组"/>
    <s v="杭州一组"/>
    <s v="普通员工"/>
    <n v="2689.66"/>
    <n v="2020"/>
    <x v="2"/>
  </r>
  <r>
    <x v="90"/>
    <n v="1000012675"/>
    <s v="借呗3期"/>
    <n v="1"/>
    <n v="500.64"/>
    <s v="借呗"/>
    <x v="4"/>
    <x v="0"/>
    <x v="3"/>
    <s v="一组"/>
    <s v="上海一组"/>
    <s v="普通员工"/>
    <n v="500.64"/>
    <n v="2020"/>
    <x v="2"/>
  </r>
  <r>
    <x v="90"/>
    <n v="1000012675"/>
    <s v="借呗12期"/>
    <n v="1"/>
    <n v="10000.35"/>
    <s v="借呗"/>
    <x v="0"/>
    <x v="0"/>
    <x v="3"/>
    <s v="一组"/>
    <s v="上海一组"/>
    <s v="普通员工"/>
    <n v="10000.35"/>
    <n v="2020"/>
    <x v="2"/>
  </r>
  <r>
    <x v="90"/>
    <n v="1000014037"/>
    <s v="借呗6期"/>
    <n v="1"/>
    <n v="6000.44"/>
    <s v="借呗"/>
    <x v="1"/>
    <x v="0"/>
    <x v="1"/>
    <s v="三组"/>
    <s v="苏州三组"/>
    <s v="普通员工"/>
    <n v="6000.44"/>
    <n v="2020"/>
    <x v="2"/>
  </r>
  <r>
    <x v="90"/>
    <n v="1000014291"/>
    <s v="借呗12期"/>
    <n v="1"/>
    <n v="14000.17"/>
    <s v="借呗"/>
    <x v="0"/>
    <x v="2"/>
    <x v="6"/>
    <s v="二组"/>
    <s v="广州二组"/>
    <s v="管理人员"/>
    <n v="14000.17"/>
    <n v="2020"/>
    <x v="2"/>
  </r>
  <r>
    <x v="90"/>
    <n v="1000014452"/>
    <s v="借呗6期"/>
    <n v="2"/>
    <n v="18000.64"/>
    <s v="借呗"/>
    <x v="1"/>
    <x v="0"/>
    <x v="3"/>
    <s v="三组"/>
    <s v="上海三组"/>
    <s v="普通员工"/>
    <n v="9000.32"/>
    <n v="2020"/>
    <x v="2"/>
  </r>
  <r>
    <x v="90"/>
    <n v="1000014530"/>
    <s v="借呗12期"/>
    <n v="2"/>
    <n v="17501.169999999998"/>
    <s v="借呗"/>
    <x v="0"/>
    <x v="2"/>
    <x v="11"/>
    <s v="一组"/>
    <s v="南宁一组"/>
    <s v="普通员工"/>
    <n v="8750.5849999999991"/>
    <n v="2020"/>
    <x v="2"/>
  </r>
  <r>
    <x v="90"/>
    <n v="1000015015"/>
    <s v="借呗12期"/>
    <n v="2"/>
    <n v="21001.14"/>
    <s v="借呗"/>
    <x v="0"/>
    <x v="0"/>
    <x v="10"/>
    <s v="一组"/>
    <s v="南京一组"/>
    <s v="普通员工"/>
    <n v="10500.57"/>
    <n v="2020"/>
    <x v="2"/>
  </r>
  <r>
    <x v="90"/>
    <n v="1000015203"/>
    <s v="借呗18期"/>
    <n v="1"/>
    <n v="11000.31"/>
    <s v="借呗"/>
    <x v="2"/>
    <x v="2"/>
    <x v="11"/>
    <s v="一组"/>
    <s v="南宁一组"/>
    <s v="普通员工"/>
    <n v="11000.31"/>
    <n v="2020"/>
    <x v="2"/>
  </r>
  <r>
    <x v="90"/>
    <n v="1000017688"/>
    <s v="借呗6期"/>
    <n v="1"/>
    <n v="13000.4"/>
    <s v="借呗"/>
    <x v="1"/>
    <x v="2"/>
    <x v="6"/>
    <s v="三组"/>
    <s v="广州三组"/>
    <s v="普通员工"/>
    <n v="13000.4"/>
    <n v="2020"/>
    <x v="2"/>
  </r>
  <r>
    <x v="90"/>
    <n v="1000017700"/>
    <s v="借呗18期"/>
    <n v="1"/>
    <n v="19000.599999999999"/>
    <s v="借呗"/>
    <x v="2"/>
    <x v="2"/>
    <x v="11"/>
    <s v="一组"/>
    <s v="南宁一组"/>
    <s v="普通员工"/>
    <n v="19000.599999999999"/>
    <n v="2020"/>
    <x v="2"/>
  </r>
  <r>
    <x v="90"/>
    <n v="1000018132"/>
    <s v="借呗6期"/>
    <n v="1"/>
    <n v="10000.42"/>
    <s v="借呗"/>
    <x v="1"/>
    <x v="2"/>
    <x v="11"/>
    <s v="一组"/>
    <s v="南宁一组"/>
    <s v="普通员工"/>
    <n v="10000.42"/>
    <n v="2020"/>
    <x v="2"/>
  </r>
  <r>
    <x v="90"/>
    <n v="1000018132"/>
    <s v="借呗12期"/>
    <n v="1"/>
    <n v="6500.3"/>
    <s v="借呗"/>
    <x v="0"/>
    <x v="2"/>
    <x v="11"/>
    <s v="一组"/>
    <s v="南宁一组"/>
    <s v="普通员工"/>
    <n v="6500.3"/>
    <n v="2020"/>
    <x v="2"/>
  </r>
  <r>
    <x v="90"/>
    <n v="1000018132"/>
    <s v="借呗18期"/>
    <n v="1"/>
    <n v="13000.18"/>
    <s v="借呗"/>
    <x v="2"/>
    <x v="2"/>
    <x v="11"/>
    <s v="一组"/>
    <s v="南宁一组"/>
    <s v="普通员工"/>
    <n v="13000.18"/>
    <n v="2020"/>
    <x v="2"/>
  </r>
  <r>
    <x v="90"/>
    <n v="1000018298"/>
    <s v="借呗6期"/>
    <n v="2"/>
    <n v="8500.94"/>
    <s v="借呗"/>
    <x v="1"/>
    <x v="0"/>
    <x v="3"/>
    <s v="二组"/>
    <s v="上海二组"/>
    <s v="普通员工"/>
    <n v="4250.47"/>
    <n v="2020"/>
    <x v="2"/>
  </r>
  <r>
    <x v="90"/>
    <n v="1000018298"/>
    <s v="借呗18期"/>
    <n v="1"/>
    <n v="4000.31"/>
    <s v="借呗"/>
    <x v="2"/>
    <x v="0"/>
    <x v="3"/>
    <s v="二组"/>
    <s v="上海二组"/>
    <s v="普通员工"/>
    <n v="4000.31"/>
    <n v="2020"/>
    <x v="2"/>
  </r>
  <r>
    <x v="90"/>
    <n v="1000019959"/>
    <s v="借呗12期"/>
    <n v="1"/>
    <n v="22000.09"/>
    <s v="借呗"/>
    <x v="0"/>
    <x v="0"/>
    <x v="5"/>
    <s v="一组"/>
    <s v="合肥一组"/>
    <s v="管理人员"/>
    <n v="22000.09"/>
    <n v="2020"/>
    <x v="2"/>
  </r>
  <r>
    <x v="90"/>
    <n v="1000020084"/>
    <s v="借呗12期"/>
    <n v="1"/>
    <n v="9999.98"/>
    <s v="借呗"/>
    <x v="0"/>
    <x v="2"/>
    <x v="9"/>
    <s v="一组"/>
    <s v="深圳一组"/>
    <s v="普通员工"/>
    <n v="9999.98"/>
    <n v="202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C317A-F6C7-4A07-B289-CF6A77D84641}" name="主指标表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C3:I7" firstHeaderRow="0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求和项:成交金额月环比" fld="4" showDataAs="percentDiff" baseField="14" baseItem="1048828" numFmtId="10"/>
    <dataField name="求和项:成交客户数" fld="3" baseField="0" baseItem="0"/>
    <dataField name="求和项:成交客户数月环比" fld="3" showDataAs="percentDiff" baseField="14" baseItem="1048828" numFmtId="10"/>
    <dataField name="求和项:总客单价" fld="15" baseField="0" baseItem="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EE09B-E4F2-49E6-B6CC-2B6B8F0531D9}" name="用于筛选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737E9-571E-4EA6-A271-5740FC86F323}" name="产品成交明细月环比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68:J87" firstHeaderRow="0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7">
        <item x="5"/>
        <item x="0"/>
        <item x="2"/>
        <item x="4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4"/>
  </rowFields>
  <rowItems count="19">
    <i>
      <x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 v="2"/>
    </i>
    <i>
      <x v="4"/>
    </i>
    <i r="1">
      <x/>
    </i>
    <i r="1">
      <x v="1"/>
    </i>
    <i r="1">
      <x v="2"/>
    </i>
    <i>
      <x v="5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C2C8C-5A8F-47D1-A466-F6FAC8B4F44C}" name="区域成交客户数占比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0">
  <location ref="H3:I7" firstHeaderRow="1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3" showDataAs="percentOfTotal" baseField="0" baseItem="0" numFmtId="9"/>
  </dataField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AB7CA-FF4E-433C-8042-104F910D4D1E}" name="产品成交明细" cacheId="11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5">
  <location ref="A68:E71" firstHeaderRow="0" firstDataRow="1" firstDataCol="1"/>
  <pivotFields count="18">
    <pivotField compact="0" numFmtId="14" outline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12">
        <item x="7"/>
        <item x="8"/>
        <item x="1"/>
        <item x="9"/>
        <item x="3"/>
        <item x="11"/>
        <item x="10"/>
        <item x="5"/>
        <item x="0"/>
        <item x="6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 v="2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成交金额" fld="4" baseField="0" baseItem="0"/>
    <dataField name="求和项:成交占比" fld="4" showDataAs="percentOfTotal" baseField="0" baseItem="0" numFmtId="10"/>
    <dataField name="求和项:成交客户数" fld="3" baseField="0" baseItem="0"/>
    <dataField name="求和项:总客单价" fld="15" baseField="0" baseItem="0"/>
  </dataFields>
  <chartFormats count="1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09E2-4C65-4938-B737-57D8E27DE26E}" name="区域成交金额占比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4" showDataAs="percentOfTotal" baseField="0" baseItem="0" numFmtId="9"/>
  </dataFields>
  <chartFormats count="4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E4C76-1DF9-45FF-9EFA-59C22DDDCE9E}" name="期数客单价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9">
  <location ref="N3:O7" firstHeaderRow="1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 v="2"/>
    </i>
    <i>
      <x v="4"/>
    </i>
    <i>
      <x v="5"/>
    </i>
    <i t="grand">
      <x/>
    </i>
  </rowItems>
  <colItems count="1">
    <i/>
  </colItems>
  <dataFields count="1">
    <dataField name="求和项:总客单价" fld="15" baseField="0" baseItem="0" numFmtId="176"/>
  </dataFields>
  <formats count="3">
    <format dxfId="9">
      <pivotArea collapsedLevelsAreSubtotals="1" fieldPosition="0">
        <references count="1">
          <reference field="6" count="1">
            <x v="5"/>
          </reference>
        </references>
      </pivotArea>
    </format>
    <format dxfId="8">
      <pivotArea collapsedLevelsAreSubtotals="1" fieldPosition="0">
        <references count="1">
          <reference field="6" count="1">
            <x v="2"/>
          </reference>
        </references>
      </pivotArea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183A2-B691-49E9-AF57-9542C4AB62A9}" name="每日区域成交金额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6">
  <location ref="A31:E64" firstHeaderRow="1" firstDataRow="2" firstDataCol="1"/>
  <pivotFields count="18">
    <pivotField axis="axisRow" numFmtId="178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7">
        <item x="5"/>
        <item x="4"/>
        <item x="3"/>
        <item x="1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6"/>
  </colFields>
  <colItems count="4">
    <i>
      <x v="3"/>
    </i>
    <i>
      <x v="4"/>
    </i>
    <i>
      <x v="5"/>
    </i>
    <i t="grand">
      <x/>
    </i>
  </colItems>
  <dataFields count="1">
    <dataField name="求和项:成交金额" fld="4" baseField="0" baseItem="0" numFmtId="179"/>
  </dataFields>
  <formats count="3">
    <format dxfId="12">
      <pivotArea dataOnly="0" labelOnly="1" fieldPosition="0">
        <references count="1">
          <reference field="0" count="0"/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field="0" type="button" dataOnly="0" labelOnly="1" outline="0" axis="axisRow" fieldPosition="0"/>
    </format>
  </formats>
  <chartFormats count="7"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1A78F-9F4D-4DB8-8613-67002A9BF10D}" name="省成交明细" cacheId="11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5">
  <location ref="A14:E25" firstHeaderRow="0" firstDataRow="1" firstDataCol="2"/>
  <pivotFields count="18">
    <pivotField compact="0" numFmtId="14" outline="0" showAll="0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2">
        <item x="7"/>
        <item x="8"/>
        <item x="1"/>
        <item x="9"/>
        <item x="3"/>
        <item x="11"/>
        <item x="10"/>
        <item x="5"/>
        <item x="0"/>
        <item x="6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11">
    <i>
      <x/>
      <x v="2"/>
    </i>
    <i r="1">
      <x v="8"/>
    </i>
    <i r="1">
      <x v="7"/>
    </i>
    <i r="1">
      <x v="4"/>
    </i>
    <i r="1">
      <x v="6"/>
    </i>
    <i>
      <x v="1"/>
      <x v="9"/>
    </i>
    <i r="1">
      <x v="3"/>
    </i>
    <i>
      <x v="2"/>
      <x v="11"/>
    </i>
    <i r="1">
      <x v="1"/>
    </i>
    <i r="1">
      <x v="10"/>
    </i>
    <i r="1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价" fld="15" baseField="0" baseItem="0"/>
  </dataFields>
  <chartFormats count="4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6A476-234B-4855-834B-FADDEA74A65B}" name="省份成交明细月环比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14:M63" firstHeaderRow="0" firstDataRow="1" firstDataCol="1"/>
  <pivotFields count="18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14"/>
  </rowFields>
  <rowItems count="49">
    <i>
      <x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 v="1"/>
    </i>
    <i r="2">
      <x v="2"/>
    </i>
    <i r="1">
      <x v="7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6"/>
    </i>
    <i r="2">
      <x v="2"/>
    </i>
    <i r="1">
      <x v="8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10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2BA0E-4E4E-4808-84AA-1B226DA60409}" name="产品成交趋势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8">
  <location ref="A91:E124" firstHeaderRow="1" firstDataRow="2" firstDataCol="1"/>
  <pivotFields count="18">
    <pivotField axis="axisRow" numFmtId="178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7">
        <item x="0"/>
        <item x="2"/>
        <item x="5"/>
        <item x="4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6"/>
  </colFields>
  <colItems count="4">
    <i>
      <x/>
    </i>
    <i>
      <x v="1"/>
    </i>
    <i>
      <x v="4"/>
    </i>
    <i t="grand">
      <x/>
    </i>
  </colItems>
  <dataFields count="1">
    <dataField name="求和项:成交金额" fld="4" baseField="0" baseItem="0" numFmtId="179"/>
  </dataFields>
  <formats count="3">
    <format dxfId="15">
      <pivotArea dataOnly="0" labelOnly="1" fieldPosition="0">
        <references count="1">
          <reference field="0" count="0"/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  <format dxfId="13">
      <pivotArea field="0" type="button" dataOnly="0" labelOnly="1" outline="0" axis="axisRow" fieldPosition="0"/>
    </format>
  </formats>
  <chartFormats count="6">
    <chartFormat chart="26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6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6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6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6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6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6B5D54D-A37F-4D1E-B010-D8DFDBED60B3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A8D7D1C0-1F31-4512-9314-258C9545CA86}" sourceName="成交月份">
  <pivotTables>
    <pivotTable tabId="4" name="用于筛选"/>
    <pivotTable tabId="5" name="区域成交金额占比"/>
    <pivotTable tabId="5" name="区域成交客户数占比"/>
    <pivotTable tabId="5" name="期数客单价"/>
    <pivotTable tabId="5" name="省成交明细"/>
    <pivotTable tabId="5" name="每日区域成交金额"/>
    <pivotTable tabId="5" name="产品成交明细"/>
    <pivotTable tabId="5" name="产品成交趋势"/>
  </pivotTables>
  <data>
    <tabular pivotCacheId="1373203719">
      <items count="3">
        <i x="0"/>
        <i x="1" s="1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5F3DC687-8E38-479F-841A-9323E99BFE3C}" sourceName="区域">
  <pivotTables>
    <pivotTable tabId="4" name="用于筛选"/>
    <pivotTable tabId="4" name="主指标表"/>
    <pivotTable tabId="5" name="区域成交金额占比"/>
    <pivotTable tabId="5" name="区域成交客户数占比"/>
    <pivotTable tabId="5" name="期数客单价"/>
    <pivotTable tabId="5" name="省份成交明细月环比"/>
    <pivotTable tabId="5" name="省成交明细"/>
    <pivotTable tabId="5" name="每日区域成交金额"/>
    <pivotTable tabId="5" name="产品成交明细"/>
    <pivotTable tabId="5" name="产品成交明细月环比"/>
    <pivotTable tabId="5" name="产品成交趋势"/>
  </pivotTables>
  <data>
    <tabular pivotCacheId="1373203719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成交月份 1" xr10:uid="{ABEEC875-0C35-4D86-BBD8-72FC24D6AEDA}" cache="切片器_成交月份" caption="成交月份" columnCount="4" showCaption="0" style="个人样式1" rowHeight="252000"/>
  <slicer name="区域 1" xr10:uid="{1D2E0F51-5853-49F4-8480-E06C114A292B}" cache="切片器_区域" caption="区域" columnCount="3" showCaption="0" style="个人样式1" rowHeight="25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72003-B47E-4519-87AC-56118CF1DDE4}" name="汇总数据" displayName="汇总数据" ref="A1:O3989" tableType="queryTable" totalsRowShown="0">
  <autoFilter ref="A1:O3989" xr:uid="{20872003-B47E-4519-87AC-56118CF1DDE4}"/>
  <tableColumns count="15">
    <tableColumn id="1" xr3:uid="{C454B5D2-0B40-4E02-B30E-3906F5060FC2}" uniqueName="1" name="成交日期" queryTableFieldId="1" dataDxfId="6"/>
    <tableColumn id="2" xr3:uid="{38483A8E-7437-4697-A878-B91F97FF79E8}" uniqueName="2" name="销售工号" queryTableFieldId="2"/>
    <tableColumn id="3" xr3:uid="{A3EB6BC0-BD68-4CCB-8A63-14EC2FA3DB4D}" uniqueName="3" name="产品" queryTableFieldId="3" dataDxfId="5"/>
    <tableColumn id="4" xr3:uid="{F2E822A2-9343-42AF-AD2A-6B5B42FBDE62}" uniqueName="4" name="成交客户数" queryTableFieldId="4"/>
    <tableColumn id="5" xr3:uid="{43991EB8-0AAD-4053-A51B-5C3B176F0AC6}" uniqueName="5" name="成交金额" queryTableFieldId="5"/>
    <tableColumn id="6" xr3:uid="{E21B6B8F-7A6B-46DF-98E9-6FC42D9041E9}" uniqueName="6" name="产品类型" queryTableFieldId="6" dataDxfId="4"/>
    <tableColumn id="7" xr3:uid="{432D03CC-C44E-4CD3-B474-258C6D894D65}" uniqueName="7" name="期数" queryTableFieldId="7" dataDxfId="3"/>
    <tableColumn id="8" xr3:uid="{F51A3898-AA1E-43B1-88C2-854ADEB7A54A}" uniqueName="8" name="区域" queryTableFieldId="8" dataDxfId="2"/>
    <tableColumn id="9" xr3:uid="{D8219170-0730-4CC3-A6FE-76499BC9D03F}" uniqueName="9" name="省份" queryTableFieldId="9" dataDxfId="1"/>
    <tableColumn id="10" xr3:uid="{EEB4F9BB-3C68-4F56-9A5B-5288591D71F7}" uniqueName="10" name="小组" queryTableFieldId="10" dataDxfId="0"/>
    <tableColumn id="11" xr3:uid="{AED1C265-50C0-40A8-8410-F93E28CA398E}" uniqueName="11" name="业务组" queryTableFieldId="11"/>
    <tableColumn id="12" xr3:uid="{36DFA98D-77E8-4608-95F8-7A508D0C33F6}" uniqueName="12" name="职务类别" queryTableFieldId="12"/>
    <tableColumn id="13" xr3:uid="{A535FD1D-A9C2-46AB-9B7A-27558AFD6C32}" uniqueName="13" name="客单价" queryTableFieldId="13"/>
    <tableColumn id="14" xr3:uid="{C12B406A-2D8C-4C15-83DB-F618FEEE62BE}" uniqueName="14" name="成交年份" queryTableFieldId="14"/>
    <tableColumn id="15" xr3:uid="{848DF392-F1A9-4FB5-950A-BD484DB44D1D}" uniqueName="15" name="成交月份" queryTableFieldId="15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A368-90E2-4454-B0A5-9BD624050E82}">
  <dimension ref="A1:I7"/>
  <sheetViews>
    <sheetView workbookViewId="0">
      <selection activeCell="N21" sqref="N21"/>
    </sheetView>
  </sheetViews>
  <sheetFormatPr defaultRowHeight="14" x14ac:dyDescent="0.3"/>
  <cols>
    <col min="1" max="1" width="8.75" bestFit="1" customWidth="1"/>
    <col min="2" max="2" width="4.25" bestFit="1" customWidth="1"/>
    <col min="3" max="3" width="8.75" bestFit="1" customWidth="1"/>
    <col min="4" max="4" width="14.75" bestFit="1" customWidth="1"/>
    <col min="5" max="5" width="20.6640625" bestFit="1" customWidth="1"/>
    <col min="6" max="6" width="16.75" bestFit="1" customWidth="1"/>
    <col min="7" max="7" width="22.6640625" bestFit="1" customWidth="1"/>
    <col min="8" max="8" width="14.75" bestFit="1" customWidth="1"/>
    <col min="9" max="9" width="20.6640625" bestFit="1" customWidth="1"/>
  </cols>
  <sheetData>
    <row r="1" spans="1:9" x14ac:dyDescent="0.3">
      <c r="A1" s="2" t="s">
        <v>14</v>
      </c>
      <c r="B1" s="3">
        <v>5</v>
      </c>
    </row>
    <row r="3" spans="1:9" x14ac:dyDescent="0.3">
      <c r="A3" s="2" t="s">
        <v>80</v>
      </c>
      <c r="C3" s="2" t="s">
        <v>80</v>
      </c>
      <c r="D3" t="s">
        <v>77</v>
      </c>
      <c r="E3" t="s">
        <v>82</v>
      </c>
      <c r="F3" t="s">
        <v>78</v>
      </c>
      <c r="G3" t="s">
        <v>83</v>
      </c>
      <c r="H3" t="s">
        <v>79</v>
      </c>
      <c r="I3" t="s">
        <v>84</v>
      </c>
    </row>
    <row r="4" spans="1:9" x14ac:dyDescent="0.3">
      <c r="A4" s="3" t="s">
        <v>18</v>
      </c>
      <c r="C4" s="3">
        <v>4</v>
      </c>
      <c r="D4">
        <v>8361887.9600000037</v>
      </c>
      <c r="E4" s="4"/>
      <c r="F4">
        <v>665</v>
      </c>
      <c r="G4" s="4"/>
      <c r="H4">
        <v>12574.267609022561</v>
      </c>
      <c r="I4" s="4"/>
    </row>
    <row r="5" spans="1:9" x14ac:dyDescent="0.3">
      <c r="A5" s="3" t="s">
        <v>47</v>
      </c>
      <c r="C5" s="3">
        <v>5</v>
      </c>
      <c r="D5">
        <v>16154830.129999984</v>
      </c>
      <c r="E5" s="4">
        <v>0.93195964921777985</v>
      </c>
      <c r="F5">
        <v>1540</v>
      </c>
      <c r="G5" s="4">
        <v>1.3157894736842106</v>
      </c>
      <c r="H5">
        <v>10490.149435064925</v>
      </c>
      <c r="I5" s="4">
        <v>-0.16574469692868593</v>
      </c>
    </row>
    <row r="6" spans="1:9" x14ac:dyDescent="0.3">
      <c r="A6" s="3" t="s">
        <v>30</v>
      </c>
      <c r="C6" s="3">
        <v>6</v>
      </c>
      <c r="D6">
        <v>33674469.040000036</v>
      </c>
      <c r="E6" s="4">
        <v>1.0844830164735424</v>
      </c>
      <c r="F6">
        <v>3242</v>
      </c>
      <c r="G6" s="4">
        <v>1.1051948051948053</v>
      </c>
      <c r="H6">
        <v>10386.94294879705</v>
      </c>
      <c r="I6" s="4">
        <v>-9.8384190717904357E-3</v>
      </c>
    </row>
    <row r="7" spans="1:9" x14ac:dyDescent="0.3">
      <c r="A7" s="3" t="s">
        <v>81</v>
      </c>
      <c r="C7" s="3" t="s">
        <v>81</v>
      </c>
      <c r="D7">
        <v>58191187.130000025</v>
      </c>
      <c r="E7" s="4"/>
      <c r="F7">
        <v>5447</v>
      </c>
      <c r="G7" s="4"/>
      <c r="H7">
        <v>10683.162682210383</v>
      </c>
      <c r="I7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8136-D8D0-4C94-A908-A375B56B3F68}">
  <dimension ref="A3:O124"/>
  <sheetViews>
    <sheetView topLeftCell="A35" workbookViewId="0">
      <selection activeCell="G32" sqref="G32"/>
    </sheetView>
  </sheetViews>
  <sheetFormatPr defaultRowHeight="14" x14ac:dyDescent="0.3"/>
  <cols>
    <col min="1" max="1" width="14.75" bestFit="1" customWidth="1"/>
    <col min="2" max="2" width="8.75" bestFit="1" customWidth="1"/>
    <col min="3" max="4" width="7" bestFit="1" customWidth="1"/>
    <col min="5" max="6" width="8" bestFit="1" customWidth="1"/>
    <col min="7" max="7" width="7" bestFit="1" customWidth="1"/>
    <col min="8" max="8" width="8.75" bestFit="1" customWidth="1"/>
    <col min="9" max="9" width="16.75" bestFit="1" customWidth="1"/>
    <col min="10" max="11" width="20.6640625" bestFit="1" customWidth="1"/>
    <col min="12" max="12" width="22.6640625" bestFit="1" customWidth="1"/>
    <col min="13" max="13" width="20.6640625" bestFit="1" customWidth="1"/>
    <col min="14" max="14" width="8.75" bestFit="1" customWidth="1"/>
    <col min="15" max="15" width="14.75" bestFit="1" customWidth="1"/>
    <col min="16" max="16" width="20.6640625" bestFit="1" customWidth="1"/>
  </cols>
  <sheetData>
    <row r="3" spans="1:15" x14ac:dyDescent="0.3">
      <c r="A3" s="2" t="s">
        <v>80</v>
      </c>
      <c r="B3" t="s">
        <v>77</v>
      </c>
      <c r="H3" s="2" t="s">
        <v>80</v>
      </c>
      <c r="I3" t="s">
        <v>78</v>
      </c>
      <c r="N3" s="2" t="s">
        <v>80</v>
      </c>
      <c r="O3" t="s">
        <v>79</v>
      </c>
    </row>
    <row r="4" spans="1:15" x14ac:dyDescent="0.3">
      <c r="A4" s="3" t="s">
        <v>18</v>
      </c>
      <c r="B4" s="5">
        <v>0.60162858673154018</v>
      </c>
      <c r="H4" s="3" t="s">
        <v>18</v>
      </c>
      <c r="I4" s="5">
        <v>0.61168831168831173</v>
      </c>
      <c r="N4" s="3" t="s">
        <v>24</v>
      </c>
      <c r="O4" s="6">
        <v>8624.3915953947289</v>
      </c>
    </row>
    <row r="5" spans="1:15" x14ac:dyDescent="0.3">
      <c r="A5" s="3" t="s">
        <v>47</v>
      </c>
      <c r="B5" s="5">
        <v>0.19979027102280017</v>
      </c>
      <c r="H5" s="3" t="s">
        <v>47</v>
      </c>
      <c r="I5" s="5">
        <v>0.19155844155844157</v>
      </c>
      <c r="N5" s="3" t="s">
        <v>17</v>
      </c>
      <c r="O5" s="6">
        <v>11741.556884735217</v>
      </c>
    </row>
    <row r="6" spans="1:15" x14ac:dyDescent="0.3">
      <c r="A6" s="3" t="s">
        <v>30</v>
      </c>
      <c r="B6" s="5">
        <v>0.19858114224565965</v>
      </c>
      <c r="H6" s="3" t="s">
        <v>30</v>
      </c>
      <c r="I6" s="5">
        <v>0.19675324675324676</v>
      </c>
      <c r="N6" s="3" t="s">
        <v>43</v>
      </c>
      <c r="O6" s="6">
        <v>11631.450068965531</v>
      </c>
    </row>
    <row r="7" spans="1:15" x14ac:dyDescent="0.3">
      <c r="A7" s="3" t="s">
        <v>81</v>
      </c>
      <c r="B7" s="5">
        <v>1</v>
      </c>
      <c r="H7" s="3" t="s">
        <v>81</v>
      </c>
      <c r="I7" s="5">
        <v>1</v>
      </c>
      <c r="N7" s="3" t="s">
        <v>81</v>
      </c>
      <c r="O7" s="6">
        <v>10490.14943506493</v>
      </c>
    </row>
    <row r="14" spans="1:15" x14ac:dyDescent="0.3">
      <c r="A14" s="2" t="s">
        <v>7</v>
      </c>
      <c r="B14" s="2" t="s">
        <v>8</v>
      </c>
      <c r="C14" t="s">
        <v>77</v>
      </c>
      <c r="D14" t="s">
        <v>78</v>
      </c>
      <c r="E14" t="s">
        <v>79</v>
      </c>
      <c r="J14" s="2" t="s">
        <v>80</v>
      </c>
      <c r="K14" t="s">
        <v>82</v>
      </c>
      <c r="L14" t="s">
        <v>83</v>
      </c>
      <c r="M14" t="s">
        <v>84</v>
      </c>
    </row>
    <row r="15" spans="1:15" x14ac:dyDescent="0.3">
      <c r="A15" t="s">
        <v>18</v>
      </c>
      <c r="B15" t="s">
        <v>25</v>
      </c>
      <c r="C15">
        <v>2622091.9200000004</v>
      </c>
      <c r="D15">
        <v>259</v>
      </c>
      <c r="E15">
        <v>10123.907027027028</v>
      </c>
      <c r="J15" s="3" t="s">
        <v>18</v>
      </c>
      <c r="K15" s="4"/>
      <c r="L15" s="4"/>
      <c r="M15" s="4"/>
    </row>
    <row r="16" spans="1:15" x14ac:dyDescent="0.3">
      <c r="A16" t="s">
        <v>18</v>
      </c>
      <c r="B16" t="s">
        <v>19</v>
      </c>
      <c r="C16">
        <v>2453590.1300000013</v>
      </c>
      <c r="D16">
        <v>247</v>
      </c>
      <c r="E16">
        <v>9933.5632793522327</v>
      </c>
      <c r="J16" s="7" t="s">
        <v>19</v>
      </c>
      <c r="K16" s="4"/>
      <c r="L16" s="4"/>
      <c r="M16" s="4"/>
    </row>
    <row r="17" spans="1:13" x14ac:dyDescent="0.3">
      <c r="A17" t="s">
        <v>18</v>
      </c>
      <c r="B17" t="s">
        <v>40</v>
      </c>
      <c r="C17">
        <v>1977254.2399999993</v>
      </c>
      <c r="D17">
        <v>190</v>
      </c>
      <c r="E17">
        <v>10406.601263157891</v>
      </c>
      <c r="J17" s="8">
        <v>4</v>
      </c>
      <c r="K17" s="4"/>
      <c r="L17" s="4"/>
      <c r="M17" s="4"/>
    </row>
    <row r="18" spans="1:13" x14ac:dyDescent="0.3">
      <c r="A18" t="s">
        <v>18</v>
      </c>
      <c r="B18" t="s">
        <v>34</v>
      </c>
      <c r="C18">
        <v>1629742.5500000003</v>
      </c>
      <c r="D18">
        <v>165</v>
      </c>
      <c r="E18">
        <v>9877.2275757575771</v>
      </c>
      <c r="J18" s="8">
        <v>5</v>
      </c>
      <c r="K18" s="4">
        <v>0.44194713129176416</v>
      </c>
      <c r="L18" s="4">
        <v>0.9296875</v>
      </c>
      <c r="M18" s="4">
        <v>-0.2527561424884785</v>
      </c>
    </row>
    <row r="19" spans="1:13" x14ac:dyDescent="0.3">
      <c r="A19" t="s">
        <v>18</v>
      </c>
      <c r="B19" t="s">
        <v>61</v>
      </c>
      <c r="C19">
        <v>1036528.78</v>
      </c>
      <c r="D19">
        <v>81</v>
      </c>
      <c r="E19">
        <v>12796.651604938272</v>
      </c>
      <c r="J19" s="8">
        <v>6</v>
      </c>
      <c r="K19" s="4">
        <v>1.3825674217233703</v>
      </c>
      <c r="L19" s="4">
        <v>1.214574898785425</v>
      </c>
      <c r="M19" s="4">
        <v>7.5857684032307915E-2</v>
      </c>
    </row>
    <row r="20" spans="1:13" x14ac:dyDescent="0.3">
      <c r="A20" t="s">
        <v>47</v>
      </c>
      <c r="B20" t="s">
        <v>48</v>
      </c>
      <c r="C20">
        <v>2806401.9699999997</v>
      </c>
      <c r="D20">
        <v>254</v>
      </c>
      <c r="E20">
        <v>11048.826653543307</v>
      </c>
      <c r="J20" s="7" t="s">
        <v>40</v>
      </c>
      <c r="K20" s="4"/>
      <c r="L20" s="4"/>
      <c r="M20" s="4"/>
    </row>
    <row r="21" spans="1:13" x14ac:dyDescent="0.3">
      <c r="A21" t="s">
        <v>47</v>
      </c>
      <c r="B21" t="s">
        <v>59</v>
      </c>
      <c r="C21">
        <v>421175.92000000004</v>
      </c>
      <c r="D21">
        <v>41</v>
      </c>
      <c r="E21">
        <v>10272.583414634148</v>
      </c>
      <c r="J21" s="8">
        <v>4</v>
      </c>
      <c r="K21" s="4"/>
      <c r="L21" s="4"/>
      <c r="M21" s="4"/>
    </row>
    <row r="22" spans="1:13" x14ac:dyDescent="0.3">
      <c r="A22" t="s">
        <v>30</v>
      </c>
      <c r="B22" t="s">
        <v>31</v>
      </c>
      <c r="C22">
        <v>1549098.27</v>
      </c>
      <c r="D22">
        <v>159</v>
      </c>
      <c r="E22">
        <v>9742.7564150943399</v>
      </c>
      <c r="J22" s="8">
        <v>5</v>
      </c>
      <c r="K22" s="4">
        <v>1.0638902648417765</v>
      </c>
      <c r="L22" s="4">
        <v>1.6388888888888888</v>
      </c>
      <c r="M22" s="4">
        <v>-0.21789421542837945</v>
      </c>
    </row>
    <row r="23" spans="1:13" x14ac:dyDescent="0.3">
      <c r="A23" t="s">
        <v>30</v>
      </c>
      <c r="B23" t="s">
        <v>57</v>
      </c>
      <c r="C23">
        <v>668899.0199999999</v>
      </c>
      <c r="D23">
        <v>47</v>
      </c>
      <c r="E23">
        <v>14231.894042553189</v>
      </c>
      <c r="J23" s="8">
        <v>6</v>
      </c>
      <c r="K23" s="4">
        <v>0.45524295348078242</v>
      </c>
      <c r="L23" s="4">
        <v>0.52105263157894732</v>
      </c>
      <c r="M23" s="4">
        <v>-4.3265878334433697E-2</v>
      </c>
    </row>
    <row r="24" spans="1:13" x14ac:dyDescent="0.3">
      <c r="A24" t="s">
        <v>30</v>
      </c>
      <c r="B24" t="s">
        <v>38</v>
      </c>
      <c r="C24">
        <v>565210.85</v>
      </c>
      <c r="D24">
        <v>54</v>
      </c>
      <c r="E24">
        <v>10466.867592592593</v>
      </c>
      <c r="J24" s="7" t="s">
        <v>61</v>
      </c>
      <c r="K24" s="4"/>
      <c r="L24" s="4"/>
      <c r="M24" s="4"/>
    </row>
    <row r="25" spans="1:13" x14ac:dyDescent="0.3">
      <c r="A25" t="s">
        <v>30</v>
      </c>
      <c r="B25" t="s">
        <v>55</v>
      </c>
      <c r="C25">
        <v>424836.4800000001</v>
      </c>
      <c r="D25">
        <v>43</v>
      </c>
      <c r="E25">
        <v>9879.918139534886</v>
      </c>
      <c r="J25" s="8">
        <v>5</v>
      </c>
      <c r="K25" s="4"/>
      <c r="L25" s="4"/>
      <c r="M25" s="4"/>
    </row>
    <row r="26" spans="1:13" x14ac:dyDescent="0.3">
      <c r="J26" s="8">
        <v>6</v>
      </c>
      <c r="K26" s="4">
        <v>1.515680037364713</v>
      </c>
      <c r="L26" s="4">
        <v>1.9382716049382716</v>
      </c>
      <c r="M26" s="4">
        <v>-0.143823180560749</v>
      </c>
    </row>
    <row r="27" spans="1:13" x14ac:dyDescent="0.3">
      <c r="J27" s="7" t="s">
        <v>34</v>
      </c>
      <c r="K27" s="4"/>
      <c r="L27" s="4"/>
      <c r="M27" s="4"/>
    </row>
    <row r="28" spans="1:13" x14ac:dyDescent="0.3">
      <c r="J28" s="8">
        <v>4</v>
      </c>
      <c r="K28" s="4"/>
      <c r="L28" s="4"/>
      <c r="M28" s="4"/>
    </row>
    <row r="29" spans="1:13" x14ac:dyDescent="0.3">
      <c r="J29" s="8">
        <v>5</v>
      </c>
      <c r="K29" s="4">
        <v>0.28891611225028196</v>
      </c>
      <c r="L29" s="4">
        <v>0.5714285714285714</v>
      </c>
      <c r="M29" s="4">
        <v>-0.17978065584072975</v>
      </c>
    </row>
    <row r="30" spans="1:13" x14ac:dyDescent="0.3">
      <c r="J30" s="8">
        <v>6</v>
      </c>
      <c r="K30" s="4">
        <v>2.1221467280215496</v>
      </c>
      <c r="L30" s="4">
        <v>2.0060606060606059</v>
      </c>
      <c r="M30" s="4">
        <v>3.8617359120071984E-2</v>
      </c>
    </row>
    <row r="31" spans="1:13" x14ac:dyDescent="0.3">
      <c r="A31" s="2" t="s">
        <v>77</v>
      </c>
      <c r="B31" s="2" t="s">
        <v>91</v>
      </c>
      <c r="J31" s="7" t="s">
        <v>25</v>
      </c>
      <c r="K31" s="4"/>
      <c r="L31" s="4"/>
      <c r="M31" s="4"/>
    </row>
    <row r="32" spans="1:13" x14ac:dyDescent="0.3">
      <c r="A32" s="11" t="s">
        <v>80</v>
      </c>
      <c r="B32" t="s">
        <v>24</v>
      </c>
      <c r="C32" t="s">
        <v>17</v>
      </c>
      <c r="D32" t="s">
        <v>43</v>
      </c>
      <c r="E32" t="s">
        <v>81</v>
      </c>
      <c r="J32" s="8">
        <v>4</v>
      </c>
      <c r="K32" s="4"/>
      <c r="L32" s="4"/>
      <c r="M32" s="4"/>
    </row>
    <row r="33" spans="1:13" x14ac:dyDescent="0.3">
      <c r="A33" s="9">
        <v>43952</v>
      </c>
      <c r="B33" s="10">
        <v>25001.079999999998</v>
      </c>
      <c r="C33" s="10">
        <v>118634.61000000002</v>
      </c>
      <c r="D33" s="10">
        <v>46500.46</v>
      </c>
      <c r="E33" s="10">
        <v>190136.15</v>
      </c>
      <c r="J33" s="8">
        <v>5</v>
      </c>
      <c r="K33" s="4">
        <v>0.51954620778026273</v>
      </c>
      <c r="L33" s="4">
        <v>0.96212121212121215</v>
      </c>
      <c r="M33" s="4">
        <v>-0.22555946167183513</v>
      </c>
    </row>
    <row r="34" spans="1:13" x14ac:dyDescent="0.3">
      <c r="A34" s="9">
        <v>43953</v>
      </c>
      <c r="B34" s="10">
        <v>72103.89</v>
      </c>
      <c r="C34" s="10">
        <v>87989.280000000013</v>
      </c>
      <c r="D34" s="10">
        <v>40002.159999999996</v>
      </c>
      <c r="E34" s="10">
        <v>200095.33000000002</v>
      </c>
      <c r="J34" s="8">
        <v>6</v>
      </c>
      <c r="K34" s="4">
        <v>0.78190996065462293</v>
      </c>
      <c r="L34" s="4">
        <v>0.76833976833976836</v>
      </c>
      <c r="M34" s="4">
        <v>7.6739733832910748E-3</v>
      </c>
    </row>
    <row r="35" spans="1:13" x14ac:dyDescent="0.3">
      <c r="A35" s="9">
        <v>43954</v>
      </c>
      <c r="B35" s="10">
        <v>87634.530000000013</v>
      </c>
      <c r="C35" s="10">
        <v>111180.44</v>
      </c>
      <c r="D35" s="10">
        <v>61189.360000000008</v>
      </c>
      <c r="E35" s="10">
        <v>260004.33000000005</v>
      </c>
      <c r="J35" s="3" t="s">
        <v>47</v>
      </c>
      <c r="K35" s="4"/>
      <c r="L35" s="4"/>
      <c r="M35" s="4"/>
    </row>
    <row r="36" spans="1:13" x14ac:dyDescent="0.3">
      <c r="A36" s="9">
        <v>43955</v>
      </c>
      <c r="B36" s="10">
        <v>104888.31</v>
      </c>
      <c r="C36" s="10">
        <v>254208.75999999998</v>
      </c>
      <c r="D36" s="10">
        <v>54001.34</v>
      </c>
      <c r="E36" s="10">
        <v>413098.40999999992</v>
      </c>
      <c r="J36" s="7" t="s">
        <v>48</v>
      </c>
      <c r="K36" s="4"/>
      <c r="L36" s="4"/>
      <c r="M36" s="4"/>
    </row>
    <row r="37" spans="1:13" x14ac:dyDescent="0.3">
      <c r="A37" s="9">
        <v>43956</v>
      </c>
      <c r="B37" s="10">
        <v>100665.43999999999</v>
      </c>
      <c r="C37" s="10">
        <v>215945.71999999997</v>
      </c>
      <c r="D37" s="10">
        <v>50002.380000000005</v>
      </c>
      <c r="E37" s="10">
        <v>366613.54</v>
      </c>
      <c r="J37" s="8">
        <v>4</v>
      </c>
      <c r="K37" s="4"/>
      <c r="L37" s="4"/>
      <c r="M37" s="4"/>
    </row>
    <row r="38" spans="1:13" x14ac:dyDescent="0.3">
      <c r="A38" s="9">
        <v>43957</v>
      </c>
      <c r="B38" s="10">
        <v>214275.16999999998</v>
      </c>
      <c r="C38" s="10">
        <v>177004.19</v>
      </c>
      <c r="D38" s="10">
        <v>59002.45</v>
      </c>
      <c r="E38" s="10">
        <v>450281.81</v>
      </c>
      <c r="J38" s="8">
        <v>5</v>
      </c>
      <c r="K38" s="4">
        <v>2.2796937176777017</v>
      </c>
      <c r="L38" s="4">
        <v>2.4324324324324325</v>
      </c>
      <c r="M38" s="4">
        <v>-4.4498680676575121E-2</v>
      </c>
    </row>
    <row r="39" spans="1:13" x14ac:dyDescent="0.3">
      <c r="A39" s="9">
        <v>43958</v>
      </c>
      <c r="B39" s="10">
        <v>178460.58</v>
      </c>
      <c r="C39" s="10">
        <v>238507.00999999998</v>
      </c>
      <c r="D39" s="10">
        <v>96002.739999999991</v>
      </c>
      <c r="E39" s="10">
        <v>512970.32999999996</v>
      </c>
      <c r="J39" s="8">
        <v>6</v>
      </c>
      <c r="K39" s="4">
        <v>0.74784056326756632</v>
      </c>
      <c r="L39" s="4">
        <v>0.91732283464566933</v>
      </c>
      <c r="M39" s="4">
        <v>-8.8395270903569134E-2</v>
      </c>
    </row>
    <row r="40" spans="1:13" x14ac:dyDescent="0.3">
      <c r="A40" s="9">
        <v>43959</v>
      </c>
      <c r="B40" s="10">
        <v>167855.78000000003</v>
      </c>
      <c r="C40" s="10">
        <v>171506.49</v>
      </c>
      <c r="D40" s="10">
        <v>143948.34999999998</v>
      </c>
      <c r="E40" s="10">
        <v>483310.62</v>
      </c>
      <c r="J40" s="7" t="s">
        <v>65</v>
      </c>
      <c r="K40" s="4"/>
      <c r="L40" s="4"/>
      <c r="M40" s="4"/>
    </row>
    <row r="41" spans="1:13" x14ac:dyDescent="0.3">
      <c r="A41" s="9">
        <v>43960</v>
      </c>
      <c r="B41" s="10">
        <v>212327.46999999997</v>
      </c>
      <c r="C41" s="10">
        <v>283010.0799999999</v>
      </c>
      <c r="D41" s="10">
        <v>88502.31</v>
      </c>
      <c r="E41" s="10">
        <v>583839.85999999987</v>
      </c>
      <c r="J41" s="8">
        <v>6</v>
      </c>
      <c r="K41" s="4"/>
      <c r="L41" s="4"/>
      <c r="M41" s="4"/>
    </row>
    <row r="42" spans="1:13" x14ac:dyDescent="0.3">
      <c r="A42" s="9">
        <v>43961</v>
      </c>
      <c r="B42" s="10">
        <v>160992.32000000001</v>
      </c>
      <c r="C42" s="10">
        <v>135881.44</v>
      </c>
      <c r="D42" s="10">
        <v>116002.45</v>
      </c>
      <c r="E42" s="10">
        <v>412876.21</v>
      </c>
      <c r="J42" s="7" t="s">
        <v>59</v>
      </c>
      <c r="K42" s="4"/>
      <c r="L42" s="4"/>
      <c r="M42" s="4"/>
    </row>
    <row r="43" spans="1:13" x14ac:dyDescent="0.3">
      <c r="A43" s="9">
        <v>43962</v>
      </c>
      <c r="B43" s="10">
        <v>140821.41999999998</v>
      </c>
      <c r="C43" s="10">
        <v>173506.79</v>
      </c>
      <c r="D43" s="10">
        <v>129504.99</v>
      </c>
      <c r="E43" s="10">
        <v>443833.19999999995</v>
      </c>
      <c r="J43" s="8">
        <v>4</v>
      </c>
      <c r="K43" s="4"/>
      <c r="L43" s="4"/>
      <c r="M43" s="4"/>
    </row>
    <row r="44" spans="1:13" x14ac:dyDescent="0.3">
      <c r="A44" s="9">
        <v>43963</v>
      </c>
      <c r="B44" s="10">
        <v>75127.429999999993</v>
      </c>
      <c r="C44" s="10">
        <v>152974.08000000002</v>
      </c>
      <c r="D44" s="10">
        <v>38000.949999999997</v>
      </c>
      <c r="E44" s="10">
        <v>266102.46000000002</v>
      </c>
      <c r="J44" s="8">
        <v>5</v>
      </c>
      <c r="K44" s="4">
        <v>1.4847399513748938</v>
      </c>
      <c r="L44" s="4">
        <v>1.7333333333333334</v>
      </c>
      <c r="M44" s="4">
        <v>-9.0948798277477816E-2</v>
      </c>
    </row>
    <row r="45" spans="1:13" x14ac:dyDescent="0.3">
      <c r="A45" s="9">
        <v>43964</v>
      </c>
      <c r="B45" s="10">
        <v>118276.25</v>
      </c>
      <c r="C45" s="10">
        <v>177292.61000000004</v>
      </c>
      <c r="D45" s="10">
        <v>86003.699999999968</v>
      </c>
      <c r="E45" s="10">
        <v>381572.56</v>
      </c>
      <c r="J45" s="8">
        <v>6</v>
      </c>
      <c r="K45" s="4">
        <v>0.9490267392304863</v>
      </c>
      <c r="L45" s="4">
        <v>1.0975609756097562</v>
      </c>
      <c r="M45" s="4">
        <v>-7.081283362267507E-2</v>
      </c>
    </row>
    <row r="46" spans="1:13" x14ac:dyDescent="0.3">
      <c r="A46" s="9">
        <v>43965</v>
      </c>
      <c r="B46" s="10">
        <v>140106.44999999998</v>
      </c>
      <c r="C46" s="10">
        <v>189006.16</v>
      </c>
      <c r="D46" s="10">
        <v>108002.16</v>
      </c>
      <c r="E46" s="10">
        <v>437114.77</v>
      </c>
      <c r="J46" s="3" t="s">
        <v>30</v>
      </c>
      <c r="K46" s="4"/>
      <c r="L46" s="4"/>
      <c r="M46" s="4"/>
    </row>
    <row r="47" spans="1:13" x14ac:dyDescent="0.3">
      <c r="A47" s="9">
        <v>43966</v>
      </c>
      <c r="B47" s="10">
        <v>215206.46000000002</v>
      </c>
      <c r="C47" s="10">
        <v>340508.98000000004</v>
      </c>
      <c r="D47" s="10">
        <v>181290.27000000002</v>
      </c>
      <c r="E47" s="10">
        <v>737005.71000000008</v>
      </c>
      <c r="J47" s="7" t="s">
        <v>31</v>
      </c>
      <c r="K47" s="4"/>
      <c r="L47" s="4"/>
      <c r="M47" s="4"/>
    </row>
    <row r="48" spans="1:13" x14ac:dyDescent="0.3">
      <c r="A48" s="9">
        <v>43967</v>
      </c>
      <c r="B48" s="10">
        <v>202005.89999999997</v>
      </c>
      <c r="C48" s="10">
        <v>239005.37</v>
      </c>
      <c r="D48" s="10">
        <v>117166.59</v>
      </c>
      <c r="E48" s="10">
        <v>558177.86</v>
      </c>
      <c r="J48" s="8">
        <v>4</v>
      </c>
      <c r="K48" s="4"/>
      <c r="L48" s="4"/>
      <c r="M48" s="4"/>
    </row>
    <row r="49" spans="1:13" x14ac:dyDescent="0.3">
      <c r="A49" s="9">
        <v>43968</v>
      </c>
      <c r="B49" s="10">
        <v>102235.78</v>
      </c>
      <c r="C49" s="10">
        <v>343633.90999999992</v>
      </c>
      <c r="D49" s="10">
        <v>126442.79000000001</v>
      </c>
      <c r="E49" s="10">
        <v>572312.48</v>
      </c>
      <c r="J49" s="8">
        <v>5</v>
      </c>
      <c r="K49" s="4">
        <v>0.67783864464105748</v>
      </c>
      <c r="L49" s="4">
        <v>1.178082191780822</v>
      </c>
      <c r="M49" s="4">
        <v>-0.22967156566794217</v>
      </c>
    </row>
    <row r="50" spans="1:13" x14ac:dyDescent="0.3">
      <c r="A50" s="9">
        <v>43969</v>
      </c>
      <c r="B50" s="10">
        <v>110458.17000000001</v>
      </c>
      <c r="C50" s="10">
        <v>188004.46000000002</v>
      </c>
      <c r="D50" s="10">
        <v>122795.10999999999</v>
      </c>
      <c r="E50" s="10">
        <v>421257.74</v>
      </c>
      <c r="J50" s="8">
        <v>6</v>
      </c>
      <c r="K50" s="4">
        <v>0.81167096649071901</v>
      </c>
      <c r="L50" s="4">
        <v>0.72955974842767291</v>
      </c>
      <c r="M50" s="4">
        <v>4.7475213352815612E-2</v>
      </c>
    </row>
    <row r="51" spans="1:13" x14ac:dyDescent="0.3">
      <c r="A51" s="9">
        <v>43970</v>
      </c>
      <c r="B51" s="10">
        <v>128580.84</v>
      </c>
      <c r="C51" s="10">
        <v>191304.38</v>
      </c>
      <c r="D51" s="10">
        <v>90502.719999999987</v>
      </c>
      <c r="E51" s="10">
        <v>410387.93999999994</v>
      </c>
      <c r="J51" s="7" t="s">
        <v>38</v>
      </c>
      <c r="K51" s="4"/>
      <c r="L51" s="4"/>
      <c r="M51" s="4"/>
    </row>
    <row r="52" spans="1:13" x14ac:dyDescent="0.3">
      <c r="A52" s="9">
        <v>43971</v>
      </c>
      <c r="B52" s="10">
        <v>166212.98000000001</v>
      </c>
      <c r="C52" s="10">
        <v>304992.3299999999</v>
      </c>
      <c r="D52" s="10">
        <v>137603.68</v>
      </c>
      <c r="E52" s="10">
        <v>608808.99</v>
      </c>
      <c r="J52" s="8">
        <v>4</v>
      </c>
      <c r="K52" s="4"/>
      <c r="L52" s="4"/>
      <c r="M52" s="4"/>
    </row>
    <row r="53" spans="1:13" x14ac:dyDescent="0.3">
      <c r="A53" s="9">
        <v>43972</v>
      </c>
      <c r="B53" s="10">
        <v>204835.03</v>
      </c>
      <c r="C53" s="10">
        <v>232507.41000000003</v>
      </c>
      <c r="D53" s="10">
        <v>93394.01</v>
      </c>
      <c r="E53" s="10">
        <v>530736.45000000007</v>
      </c>
      <c r="J53" s="8">
        <v>5</v>
      </c>
      <c r="K53" s="4">
        <v>0.60109385017267192</v>
      </c>
      <c r="L53" s="4">
        <v>0.45945945945945948</v>
      </c>
      <c r="M53" s="4">
        <v>9.7045786229423517E-2</v>
      </c>
    </row>
    <row r="54" spans="1:13" x14ac:dyDescent="0.3">
      <c r="A54" s="9">
        <v>43973</v>
      </c>
      <c r="B54" s="10">
        <v>296494.45000000007</v>
      </c>
      <c r="C54" s="10">
        <v>328893.03999999998</v>
      </c>
      <c r="D54" s="10">
        <v>43001.91</v>
      </c>
      <c r="E54" s="10">
        <v>668389.4</v>
      </c>
      <c r="J54" s="8">
        <v>6</v>
      </c>
      <c r="K54" s="4">
        <v>0.7066344356269878</v>
      </c>
      <c r="L54" s="4">
        <v>0.92592592592592593</v>
      </c>
      <c r="M54" s="4">
        <v>-0.11386288919367951</v>
      </c>
    </row>
    <row r="55" spans="1:13" x14ac:dyDescent="0.3">
      <c r="A55" s="9">
        <v>43974</v>
      </c>
      <c r="B55" s="10">
        <v>335363.48000000004</v>
      </c>
      <c r="C55" s="10">
        <v>380474.99999999994</v>
      </c>
      <c r="D55" s="10">
        <v>185764.58999999997</v>
      </c>
      <c r="E55" s="10">
        <v>901603.07</v>
      </c>
      <c r="J55" s="7" t="s">
        <v>57</v>
      </c>
      <c r="K55" s="4"/>
      <c r="L55" s="4"/>
      <c r="M55" s="4"/>
    </row>
    <row r="56" spans="1:13" x14ac:dyDescent="0.3">
      <c r="A56" s="9">
        <v>43975</v>
      </c>
      <c r="B56" s="10">
        <v>137174.49</v>
      </c>
      <c r="C56" s="10">
        <v>336572.80999999994</v>
      </c>
      <c r="D56" s="10">
        <v>181389.71000000002</v>
      </c>
      <c r="E56" s="10">
        <v>655137.01</v>
      </c>
      <c r="J56" s="8">
        <v>4</v>
      </c>
      <c r="K56" s="4"/>
      <c r="L56" s="4"/>
      <c r="M56" s="4"/>
    </row>
    <row r="57" spans="1:13" x14ac:dyDescent="0.3">
      <c r="A57" s="9">
        <v>43976</v>
      </c>
      <c r="B57" s="10">
        <v>200072.99</v>
      </c>
      <c r="C57" s="10">
        <v>414611.26</v>
      </c>
      <c r="D57" s="10">
        <v>152618.72</v>
      </c>
      <c r="E57" s="10">
        <v>767302.97</v>
      </c>
      <c r="J57" s="8">
        <v>5</v>
      </c>
      <c r="K57" s="4">
        <v>1.6230730296522189</v>
      </c>
      <c r="L57" s="4">
        <v>1.7647058823529411</v>
      </c>
      <c r="M57" s="4">
        <v>-5.1228904168346474E-2</v>
      </c>
    </row>
    <row r="58" spans="1:13" x14ac:dyDescent="0.3">
      <c r="A58" s="9">
        <v>43977</v>
      </c>
      <c r="B58" s="10">
        <v>149440.12</v>
      </c>
      <c r="C58" s="10">
        <v>254919.55000000005</v>
      </c>
      <c r="D58" s="10">
        <v>106202.98000000001</v>
      </c>
      <c r="E58" s="10">
        <v>510562.65</v>
      </c>
      <c r="J58" s="8">
        <v>6</v>
      </c>
      <c r="K58" s="4">
        <v>0.32392257055481993</v>
      </c>
      <c r="L58" s="4">
        <v>0.42553191489361702</v>
      </c>
      <c r="M58" s="4">
        <v>-7.1278196774977001E-2</v>
      </c>
    </row>
    <row r="59" spans="1:13" x14ac:dyDescent="0.3">
      <c r="A59" s="9">
        <v>43978</v>
      </c>
      <c r="B59" s="10">
        <v>244672.8</v>
      </c>
      <c r="C59" s="10">
        <v>313310.17</v>
      </c>
      <c r="D59" s="10">
        <v>98455.82</v>
      </c>
      <c r="E59" s="10">
        <v>656438.79</v>
      </c>
      <c r="J59" s="7" t="s">
        <v>55</v>
      </c>
      <c r="K59" s="4"/>
      <c r="L59" s="4"/>
      <c r="M59" s="4"/>
    </row>
    <row r="60" spans="1:13" x14ac:dyDescent="0.3">
      <c r="A60" s="9">
        <v>43979</v>
      </c>
      <c r="B60" s="10">
        <v>355917.03</v>
      </c>
      <c r="C60" s="10">
        <v>477009.25</v>
      </c>
      <c r="D60" s="10">
        <v>134404.10999999999</v>
      </c>
      <c r="E60" s="10">
        <v>967330.39</v>
      </c>
      <c r="J60" s="8">
        <v>4</v>
      </c>
      <c r="K60" s="4"/>
      <c r="L60" s="4"/>
      <c r="M60" s="4"/>
    </row>
    <row r="61" spans="1:13" x14ac:dyDescent="0.3">
      <c r="A61" s="9">
        <v>43980</v>
      </c>
      <c r="B61" s="10">
        <v>249907.62</v>
      </c>
      <c r="C61" s="10">
        <v>301710.52</v>
      </c>
      <c r="D61" s="10">
        <v>241797.78999999995</v>
      </c>
      <c r="E61" s="10">
        <v>793415.92999999993</v>
      </c>
      <c r="J61" s="8">
        <v>5</v>
      </c>
      <c r="K61" s="4">
        <v>1.7269337454364044</v>
      </c>
      <c r="L61" s="4">
        <v>2.5833333333333335</v>
      </c>
      <c r="M61" s="4">
        <v>-0.23899523383170101</v>
      </c>
    </row>
    <row r="62" spans="1:13" x14ac:dyDescent="0.3">
      <c r="A62" s="9">
        <v>43981</v>
      </c>
      <c r="B62" s="10">
        <v>250148.46000000002</v>
      </c>
      <c r="C62" s="10">
        <v>261464.44</v>
      </c>
      <c r="D62" s="10">
        <v>87391.920000000013</v>
      </c>
      <c r="E62" s="10">
        <v>599004.82000000007</v>
      </c>
      <c r="J62" s="8">
        <v>6</v>
      </c>
      <c r="K62" s="4">
        <v>0.28291473462919192</v>
      </c>
      <c r="L62" s="4">
        <v>0.46511627906976744</v>
      </c>
      <c r="M62" s="4">
        <v>-0.12435978430071029</v>
      </c>
    </row>
    <row r="63" spans="1:13" x14ac:dyDescent="0.3">
      <c r="A63" s="9">
        <v>43982</v>
      </c>
      <c r="B63" s="10">
        <v>96367.37</v>
      </c>
      <c r="C63" s="10">
        <v>142508.97999999998</v>
      </c>
      <c r="D63" s="10">
        <v>156232</v>
      </c>
      <c r="E63" s="10">
        <v>395108.35</v>
      </c>
      <c r="J63" s="3" t="s">
        <v>81</v>
      </c>
      <c r="K63" s="4"/>
      <c r="L63" s="4"/>
      <c r="M63" s="4"/>
    </row>
    <row r="64" spans="1:13" x14ac:dyDescent="0.3">
      <c r="A64" s="9" t="s">
        <v>81</v>
      </c>
      <c r="B64" s="10">
        <v>5243630.09</v>
      </c>
      <c r="C64" s="10">
        <v>7538079.5199999996</v>
      </c>
      <c r="D64" s="10">
        <v>3373120.5199999996</v>
      </c>
      <c r="E64" s="10">
        <v>16154830.130000001</v>
      </c>
    </row>
    <row r="68" spans="1:10" x14ac:dyDescent="0.3">
      <c r="A68" s="2" t="s">
        <v>6</v>
      </c>
      <c r="B68" t="s">
        <v>77</v>
      </c>
      <c r="C68" t="s">
        <v>94</v>
      </c>
      <c r="D68" t="s">
        <v>78</v>
      </c>
      <c r="E68" t="s">
        <v>79</v>
      </c>
      <c r="G68" s="2" t="s">
        <v>80</v>
      </c>
      <c r="H68" t="s">
        <v>82</v>
      </c>
      <c r="I68" t="s">
        <v>83</v>
      </c>
      <c r="J68" t="s">
        <v>84</v>
      </c>
    </row>
    <row r="69" spans="1:10" x14ac:dyDescent="0.3">
      <c r="A69" t="s">
        <v>24</v>
      </c>
      <c r="B69">
        <v>5243630.0899999952</v>
      </c>
      <c r="C69" s="4">
        <v>0.32458590079894528</v>
      </c>
      <c r="D69">
        <v>608</v>
      </c>
      <c r="E69">
        <v>8624.3915953947289</v>
      </c>
      <c r="G69" s="3" t="s">
        <v>76</v>
      </c>
      <c r="H69" s="4"/>
      <c r="I69" s="4"/>
      <c r="J69" s="4"/>
    </row>
    <row r="70" spans="1:10" x14ac:dyDescent="0.3">
      <c r="A70" t="s">
        <v>17</v>
      </c>
      <c r="B70">
        <v>7538079.5200000098</v>
      </c>
      <c r="C70" s="4">
        <v>0.46661459509880998</v>
      </c>
      <c r="D70">
        <v>642</v>
      </c>
      <c r="E70">
        <v>11741.556884735217</v>
      </c>
      <c r="G70" s="7">
        <v>6</v>
      </c>
      <c r="H70" s="4"/>
      <c r="I70" s="4"/>
      <c r="J70" s="4"/>
    </row>
    <row r="71" spans="1:10" x14ac:dyDescent="0.3">
      <c r="A71" t="s">
        <v>43</v>
      </c>
      <c r="B71">
        <v>3373120.5200000037</v>
      </c>
      <c r="C71" s="4">
        <v>0.20879950410224474</v>
      </c>
      <c r="D71">
        <v>290</v>
      </c>
      <c r="E71">
        <v>11631.450068965531</v>
      </c>
      <c r="G71" s="3" t="s">
        <v>17</v>
      </c>
      <c r="H71" s="4"/>
      <c r="I71" s="4"/>
      <c r="J71" s="4"/>
    </row>
    <row r="72" spans="1:10" x14ac:dyDescent="0.3">
      <c r="G72" s="7">
        <v>4</v>
      </c>
      <c r="H72" s="4"/>
      <c r="I72" s="4"/>
      <c r="J72" s="4"/>
    </row>
    <row r="73" spans="1:10" x14ac:dyDescent="0.3">
      <c r="G73" s="7">
        <v>5</v>
      </c>
      <c r="H73" s="4">
        <v>0.9310569970616458</v>
      </c>
      <c r="I73" s="4">
        <v>1.1471571906354514</v>
      </c>
      <c r="J73" s="4">
        <v>-0.10064479420337689</v>
      </c>
    </row>
    <row r="74" spans="1:10" x14ac:dyDescent="0.3">
      <c r="G74" s="7">
        <v>6</v>
      </c>
      <c r="H74" s="4">
        <v>0.92290052413774237</v>
      </c>
      <c r="I74" s="4">
        <v>0.88629283489096577</v>
      </c>
      <c r="J74" s="4">
        <v>1.940721428276684E-2</v>
      </c>
    </row>
    <row r="75" spans="1:10" x14ac:dyDescent="0.3">
      <c r="G75" s="3" t="s">
        <v>43</v>
      </c>
      <c r="H75" s="4"/>
      <c r="I75" s="4"/>
      <c r="J75" s="4"/>
    </row>
    <row r="76" spans="1:10" x14ac:dyDescent="0.3">
      <c r="G76" s="7">
        <v>4</v>
      </c>
      <c r="H76" s="4"/>
      <c r="I76" s="4"/>
      <c r="J76" s="4"/>
    </row>
    <row r="77" spans="1:10" x14ac:dyDescent="0.3">
      <c r="G77" s="7">
        <v>5</v>
      </c>
      <c r="H77" s="4">
        <v>0.56185545725257091</v>
      </c>
      <c r="I77" s="4">
        <v>0.97278911564625847</v>
      </c>
      <c r="J77" s="4">
        <v>-0.20830085442714508</v>
      </c>
    </row>
    <row r="78" spans="1:10" x14ac:dyDescent="0.3">
      <c r="G78" s="7">
        <v>6</v>
      </c>
      <c r="H78" s="4">
        <v>0.57223199365553612</v>
      </c>
      <c r="I78" s="4">
        <v>0.76551724137931032</v>
      </c>
      <c r="J78" s="4">
        <v>-0.10947797234354399</v>
      </c>
    </row>
    <row r="79" spans="1:10" x14ac:dyDescent="0.3">
      <c r="G79" s="3" t="s">
        <v>74</v>
      </c>
      <c r="H79" s="4"/>
      <c r="I79" s="4"/>
      <c r="J79" s="4"/>
    </row>
    <row r="80" spans="1:10" x14ac:dyDescent="0.3">
      <c r="G80" s="7">
        <v>6</v>
      </c>
      <c r="H80" s="4"/>
      <c r="I80" s="4"/>
      <c r="J80" s="4"/>
    </row>
    <row r="81" spans="1:10" x14ac:dyDescent="0.3">
      <c r="G81" s="3" t="s">
        <v>24</v>
      </c>
      <c r="H81" s="4"/>
      <c r="I81" s="4"/>
      <c r="J81" s="4"/>
    </row>
    <row r="82" spans="1:10" x14ac:dyDescent="0.3">
      <c r="G82" s="7">
        <v>4</v>
      </c>
      <c r="H82" s="4"/>
      <c r="I82" s="4"/>
      <c r="J82" s="4"/>
    </row>
    <row r="83" spans="1:10" x14ac:dyDescent="0.3">
      <c r="G83" s="7">
        <v>5</v>
      </c>
      <c r="H83" s="4">
        <v>1.2812305912867801</v>
      </c>
      <c r="I83" s="4">
        <v>1.7762557077625571</v>
      </c>
      <c r="J83" s="4">
        <v>-0.17830674425689994</v>
      </c>
    </row>
    <row r="84" spans="1:10" x14ac:dyDescent="0.3">
      <c r="G84" s="7">
        <v>6</v>
      </c>
      <c r="H84" s="4">
        <v>1.6149912378735347</v>
      </c>
      <c r="I84" s="4">
        <v>1.3651315789473684</v>
      </c>
      <c r="J84" s="4">
        <v>0.10564302686168919</v>
      </c>
    </row>
    <row r="85" spans="1:10" x14ac:dyDescent="0.3">
      <c r="G85" s="3" t="s">
        <v>72</v>
      </c>
      <c r="H85" s="4"/>
      <c r="I85" s="4"/>
      <c r="J85" s="4"/>
    </row>
    <row r="86" spans="1:10" x14ac:dyDescent="0.3">
      <c r="G86" s="7">
        <v>6</v>
      </c>
      <c r="H86" s="4"/>
      <c r="I86" s="4"/>
      <c r="J86" s="4"/>
    </row>
    <row r="87" spans="1:10" x14ac:dyDescent="0.3">
      <c r="G87" s="3" t="s">
        <v>81</v>
      </c>
      <c r="H87" s="4"/>
      <c r="I87" s="4"/>
      <c r="J87" s="4"/>
    </row>
    <row r="91" spans="1:10" x14ac:dyDescent="0.3">
      <c r="A91" s="2" t="s">
        <v>77</v>
      </c>
      <c r="B91" s="2" t="s">
        <v>91</v>
      </c>
    </row>
    <row r="92" spans="1:10" x14ac:dyDescent="0.3">
      <c r="A92" s="11" t="s">
        <v>80</v>
      </c>
      <c r="B92" t="s">
        <v>17</v>
      </c>
      <c r="C92" t="s">
        <v>43</v>
      </c>
      <c r="D92" t="s">
        <v>24</v>
      </c>
      <c r="E92" t="s">
        <v>81</v>
      </c>
    </row>
    <row r="93" spans="1:10" x14ac:dyDescent="0.3">
      <c r="A93" s="9">
        <v>43952</v>
      </c>
      <c r="B93" s="10">
        <v>118634.61000000002</v>
      </c>
      <c r="C93" s="10">
        <v>46500.46</v>
      </c>
      <c r="D93" s="10">
        <v>25001.079999999998</v>
      </c>
      <c r="E93" s="10">
        <v>190136.15</v>
      </c>
    </row>
    <row r="94" spans="1:10" x14ac:dyDescent="0.3">
      <c r="A94" s="9">
        <v>43953</v>
      </c>
      <c r="B94" s="10">
        <v>87989.280000000013</v>
      </c>
      <c r="C94" s="10">
        <v>40002.159999999996</v>
      </c>
      <c r="D94" s="10">
        <v>72103.89</v>
      </c>
      <c r="E94" s="10">
        <v>200095.33000000002</v>
      </c>
    </row>
    <row r="95" spans="1:10" x14ac:dyDescent="0.3">
      <c r="A95" s="9">
        <v>43954</v>
      </c>
      <c r="B95" s="10">
        <v>111180.44</v>
      </c>
      <c r="C95" s="10">
        <v>61189.360000000008</v>
      </c>
      <c r="D95" s="10">
        <v>87634.530000000013</v>
      </c>
      <c r="E95" s="10">
        <v>260004.33000000002</v>
      </c>
    </row>
    <row r="96" spans="1:10" x14ac:dyDescent="0.3">
      <c r="A96" s="9">
        <v>43955</v>
      </c>
      <c r="B96" s="10">
        <v>254208.75999999998</v>
      </c>
      <c r="C96" s="10">
        <v>54001.34</v>
      </c>
      <c r="D96" s="10">
        <v>104888.31</v>
      </c>
      <c r="E96" s="10">
        <v>413098.41</v>
      </c>
    </row>
    <row r="97" spans="1:5" x14ac:dyDescent="0.3">
      <c r="A97" s="9">
        <v>43956</v>
      </c>
      <c r="B97" s="10">
        <v>215945.71999999997</v>
      </c>
      <c r="C97" s="10">
        <v>50002.380000000005</v>
      </c>
      <c r="D97" s="10">
        <v>100665.43999999999</v>
      </c>
      <c r="E97" s="10">
        <v>366613.54</v>
      </c>
    </row>
    <row r="98" spans="1:5" x14ac:dyDescent="0.3">
      <c r="A98" s="9">
        <v>43957</v>
      </c>
      <c r="B98" s="10">
        <v>177004.19</v>
      </c>
      <c r="C98" s="10">
        <v>59002.45</v>
      </c>
      <c r="D98" s="10">
        <v>214275.16999999998</v>
      </c>
      <c r="E98" s="10">
        <v>450281.81</v>
      </c>
    </row>
    <row r="99" spans="1:5" x14ac:dyDescent="0.3">
      <c r="A99" s="9">
        <v>43958</v>
      </c>
      <c r="B99" s="10">
        <v>238507.00999999998</v>
      </c>
      <c r="C99" s="10">
        <v>96002.739999999991</v>
      </c>
      <c r="D99" s="10">
        <v>178460.58</v>
      </c>
      <c r="E99" s="10">
        <v>512970.32999999996</v>
      </c>
    </row>
    <row r="100" spans="1:5" x14ac:dyDescent="0.3">
      <c r="A100" s="9">
        <v>43959</v>
      </c>
      <c r="B100" s="10">
        <v>171506.49</v>
      </c>
      <c r="C100" s="10">
        <v>143948.34999999998</v>
      </c>
      <c r="D100" s="10">
        <v>167855.78000000003</v>
      </c>
      <c r="E100" s="10">
        <v>483310.62</v>
      </c>
    </row>
    <row r="101" spans="1:5" x14ac:dyDescent="0.3">
      <c r="A101" s="9">
        <v>43960</v>
      </c>
      <c r="B101" s="10">
        <v>283010.0799999999</v>
      </c>
      <c r="C101" s="10">
        <v>88502.31</v>
      </c>
      <c r="D101" s="10">
        <v>212327.46999999997</v>
      </c>
      <c r="E101" s="10">
        <v>583839.85999999987</v>
      </c>
    </row>
    <row r="102" spans="1:5" x14ac:dyDescent="0.3">
      <c r="A102" s="9">
        <v>43961</v>
      </c>
      <c r="B102" s="10">
        <v>135881.44</v>
      </c>
      <c r="C102" s="10">
        <v>116002.45</v>
      </c>
      <c r="D102" s="10">
        <v>160992.32000000001</v>
      </c>
      <c r="E102" s="10">
        <v>412876.21</v>
      </c>
    </row>
    <row r="103" spans="1:5" x14ac:dyDescent="0.3">
      <c r="A103" s="9">
        <v>43962</v>
      </c>
      <c r="B103" s="10">
        <v>173506.79</v>
      </c>
      <c r="C103" s="10">
        <v>129504.99</v>
      </c>
      <c r="D103" s="10">
        <v>140821.41999999998</v>
      </c>
      <c r="E103" s="10">
        <v>443833.2</v>
      </c>
    </row>
    <row r="104" spans="1:5" x14ac:dyDescent="0.3">
      <c r="A104" s="9">
        <v>43963</v>
      </c>
      <c r="B104" s="10">
        <v>152974.08000000002</v>
      </c>
      <c r="C104" s="10">
        <v>38000.949999999997</v>
      </c>
      <c r="D104" s="10">
        <v>75127.429999999993</v>
      </c>
      <c r="E104" s="10">
        <v>266102.46000000002</v>
      </c>
    </row>
    <row r="105" spans="1:5" x14ac:dyDescent="0.3">
      <c r="A105" s="9">
        <v>43964</v>
      </c>
      <c r="B105" s="10">
        <v>177292.61000000004</v>
      </c>
      <c r="C105" s="10">
        <v>86003.699999999968</v>
      </c>
      <c r="D105" s="10">
        <v>118276.25</v>
      </c>
      <c r="E105" s="10">
        <v>381572.56</v>
      </c>
    </row>
    <row r="106" spans="1:5" x14ac:dyDescent="0.3">
      <c r="A106" s="9">
        <v>43965</v>
      </c>
      <c r="B106" s="10">
        <v>189006.16</v>
      </c>
      <c r="C106" s="10">
        <v>108002.16</v>
      </c>
      <c r="D106" s="10">
        <v>140106.44999999998</v>
      </c>
      <c r="E106" s="10">
        <v>437114.77</v>
      </c>
    </row>
    <row r="107" spans="1:5" x14ac:dyDescent="0.3">
      <c r="A107" s="9">
        <v>43966</v>
      </c>
      <c r="B107" s="10">
        <v>340508.98000000004</v>
      </c>
      <c r="C107" s="10">
        <v>181290.27000000002</v>
      </c>
      <c r="D107" s="10">
        <v>215206.46000000002</v>
      </c>
      <c r="E107" s="10">
        <v>737005.71000000008</v>
      </c>
    </row>
    <row r="108" spans="1:5" x14ac:dyDescent="0.3">
      <c r="A108" s="9">
        <v>43967</v>
      </c>
      <c r="B108" s="10">
        <v>239005.37</v>
      </c>
      <c r="C108" s="10">
        <v>117166.59</v>
      </c>
      <c r="D108" s="10">
        <v>202005.89999999997</v>
      </c>
      <c r="E108" s="10">
        <v>558177.85999999987</v>
      </c>
    </row>
    <row r="109" spans="1:5" x14ac:dyDescent="0.3">
      <c r="A109" s="9">
        <v>43968</v>
      </c>
      <c r="B109" s="10">
        <v>343633.90999999992</v>
      </c>
      <c r="C109" s="10">
        <v>126442.79000000001</v>
      </c>
      <c r="D109" s="10">
        <v>102235.78</v>
      </c>
      <c r="E109" s="10">
        <v>572312.48</v>
      </c>
    </row>
    <row r="110" spans="1:5" x14ac:dyDescent="0.3">
      <c r="A110" s="9">
        <v>43969</v>
      </c>
      <c r="B110" s="10">
        <v>188004.46000000002</v>
      </c>
      <c r="C110" s="10">
        <v>122795.10999999999</v>
      </c>
      <c r="D110" s="10">
        <v>110458.17000000001</v>
      </c>
      <c r="E110" s="10">
        <v>421257.74</v>
      </c>
    </row>
    <row r="111" spans="1:5" x14ac:dyDescent="0.3">
      <c r="A111" s="9">
        <v>43970</v>
      </c>
      <c r="B111" s="10">
        <v>191304.38</v>
      </c>
      <c r="C111" s="10">
        <v>90502.719999999987</v>
      </c>
      <c r="D111" s="10">
        <v>128580.84</v>
      </c>
      <c r="E111" s="10">
        <v>410387.93999999994</v>
      </c>
    </row>
    <row r="112" spans="1:5" x14ac:dyDescent="0.3">
      <c r="A112" s="9">
        <v>43971</v>
      </c>
      <c r="B112" s="10">
        <v>304992.3299999999</v>
      </c>
      <c r="C112" s="10">
        <v>137603.68</v>
      </c>
      <c r="D112" s="10">
        <v>166212.98000000001</v>
      </c>
      <c r="E112" s="10">
        <v>608808.98999999987</v>
      </c>
    </row>
    <row r="113" spans="1:5" x14ac:dyDescent="0.3">
      <c r="A113" s="9">
        <v>43972</v>
      </c>
      <c r="B113" s="10">
        <v>232507.41000000003</v>
      </c>
      <c r="C113" s="10">
        <v>93394.01</v>
      </c>
      <c r="D113" s="10">
        <v>204835.03</v>
      </c>
      <c r="E113" s="10">
        <v>530736.45000000007</v>
      </c>
    </row>
    <row r="114" spans="1:5" x14ac:dyDescent="0.3">
      <c r="A114" s="9">
        <v>43973</v>
      </c>
      <c r="B114" s="10">
        <v>328893.03999999998</v>
      </c>
      <c r="C114" s="10">
        <v>43001.91</v>
      </c>
      <c r="D114" s="10">
        <v>296494.45000000007</v>
      </c>
      <c r="E114" s="10">
        <v>668389.4</v>
      </c>
    </row>
    <row r="115" spans="1:5" x14ac:dyDescent="0.3">
      <c r="A115" s="9">
        <v>43974</v>
      </c>
      <c r="B115" s="10">
        <v>380474.99999999994</v>
      </c>
      <c r="C115" s="10">
        <v>185764.58999999997</v>
      </c>
      <c r="D115" s="10">
        <v>335363.48000000004</v>
      </c>
      <c r="E115" s="10">
        <v>901603.06999999983</v>
      </c>
    </row>
    <row r="116" spans="1:5" x14ac:dyDescent="0.3">
      <c r="A116" s="9">
        <v>43975</v>
      </c>
      <c r="B116" s="10">
        <v>336572.80999999994</v>
      </c>
      <c r="C116" s="10">
        <v>181389.71000000002</v>
      </c>
      <c r="D116" s="10">
        <v>137174.49</v>
      </c>
      <c r="E116" s="10">
        <v>655137.01</v>
      </c>
    </row>
    <row r="117" spans="1:5" x14ac:dyDescent="0.3">
      <c r="A117" s="9">
        <v>43976</v>
      </c>
      <c r="B117" s="10">
        <v>414611.26</v>
      </c>
      <c r="C117" s="10">
        <v>152618.72</v>
      </c>
      <c r="D117" s="10">
        <v>200072.99</v>
      </c>
      <c r="E117" s="10">
        <v>767302.97</v>
      </c>
    </row>
    <row r="118" spans="1:5" x14ac:dyDescent="0.3">
      <c r="A118" s="9">
        <v>43977</v>
      </c>
      <c r="B118" s="10">
        <v>254919.55000000005</v>
      </c>
      <c r="C118" s="10">
        <v>106202.98000000001</v>
      </c>
      <c r="D118" s="10">
        <v>149440.12</v>
      </c>
      <c r="E118" s="10">
        <v>510562.65</v>
      </c>
    </row>
    <row r="119" spans="1:5" x14ac:dyDescent="0.3">
      <c r="A119" s="9">
        <v>43978</v>
      </c>
      <c r="B119" s="10">
        <v>313310.17</v>
      </c>
      <c r="C119" s="10">
        <v>98455.82</v>
      </c>
      <c r="D119" s="10">
        <v>244672.8</v>
      </c>
      <c r="E119" s="10">
        <v>656438.79</v>
      </c>
    </row>
    <row r="120" spans="1:5" x14ac:dyDescent="0.3">
      <c r="A120" s="9">
        <v>43979</v>
      </c>
      <c r="B120" s="10">
        <v>477009.25</v>
      </c>
      <c r="C120" s="10">
        <v>134404.10999999999</v>
      </c>
      <c r="D120" s="10">
        <v>355917.03</v>
      </c>
      <c r="E120" s="10">
        <v>967330.39</v>
      </c>
    </row>
    <row r="121" spans="1:5" x14ac:dyDescent="0.3">
      <c r="A121" s="9">
        <v>43980</v>
      </c>
      <c r="B121" s="10">
        <v>301710.52</v>
      </c>
      <c r="C121" s="10">
        <v>241797.78999999995</v>
      </c>
      <c r="D121" s="10">
        <v>249907.62</v>
      </c>
      <c r="E121" s="10">
        <v>793415.92999999993</v>
      </c>
    </row>
    <row r="122" spans="1:5" x14ac:dyDescent="0.3">
      <c r="A122" s="9">
        <v>43981</v>
      </c>
      <c r="B122" s="10">
        <v>261464.44</v>
      </c>
      <c r="C122" s="10">
        <v>87391.920000000013</v>
      </c>
      <c r="D122" s="10">
        <v>250148.46000000002</v>
      </c>
      <c r="E122" s="10">
        <v>599004.82000000007</v>
      </c>
    </row>
    <row r="123" spans="1:5" x14ac:dyDescent="0.3">
      <c r="A123" s="9">
        <v>43982</v>
      </c>
      <c r="B123" s="10">
        <v>142508.97999999998</v>
      </c>
      <c r="C123" s="10">
        <v>156232</v>
      </c>
      <c r="D123" s="10">
        <v>96367.37</v>
      </c>
      <c r="E123" s="10">
        <v>395108.35</v>
      </c>
    </row>
    <row r="124" spans="1:5" x14ac:dyDescent="0.3">
      <c r="A124" s="9" t="s">
        <v>81</v>
      </c>
      <c r="B124" s="10">
        <v>7538079.5199999996</v>
      </c>
      <c r="C124" s="10">
        <v>3373120.5199999996</v>
      </c>
      <c r="D124" s="10">
        <v>5243630.09</v>
      </c>
      <c r="E124" s="10">
        <v>16154830.130000001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89"/>
  <sheetViews>
    <sheetView workbookViewId="0">
      <selection activeCell="S13" sqref="S13"/>
    </sheetView>
  </sheetViews>
  <sheetFormatPr defaultRowHeight="14" x14ac:dyDescent="0.3"/>
  <cols>
    <col min="1" max="1" width="10.58203125" bestFit="1" customWidth="1"/>
    <col min="2" max="2" width="11.25" bestFit="1" customWidth="1"/>
    <col min="4" max="4" width="12.5" bestFit="1" customWidth="1"/>
    <col min="5" max="6" width="10.58203125" bestFit="1" customWidth="1"/>
    <col min="7" max="10" width="6.9140625" bestFit="1" customWidth="1"/>
    <col min="11" max="11" width="8.75" bestFit="1" customWidth="1"/>
    <col min="12" max="12" width="10.58203125" bestFit="1" customWidth="1"/>
    <col min="13" max="13" width="12.33203125" bestFit="1" customWidth="1"/>
    <col min="14" max="15" width="10.58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43922</v>
      </c>
      <c r="B2">
        <v>1000000028</v>
      </c>
      <c r="C2" t="s">
        <v>15</v>
      </c>
      <c r="D2">
        <v>3</v>
      </c>
      <c r="E2">
        <v>55000.680000000008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18333.560000000001</v>
      </c>
      <c r="N2">
        <v>2020</v>
      </c>
      <c r="O2">
        <v>4</v>
      </c>
    </row>
    <row r="3" spans="1:15" x14ac:dyDescent="0.3">
      <c r="A3" s="1">
        <v>43922</v>
      </c>
      <c r="B3">
        <v>1000000029</v>
      </c>
      <c r="C3" t="s">
        <v>15</v>
      </c>
      <c r="D3">
        <v>2</v>
      </c>
      <c r="E3">
        <v>40000.490000000005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20000.245000000003</v>
      </c>
      <c r="N3">
        <v>2020</v>
      </c>
      <c r="O3">
        <v>4</v>
      </c>
    </row>
    <row r="4" spans="1:15" x14ac:dyDescent="0.3">
      <c r="A4" s="1">
        <v>43922</v>
      </c>
      <c r="B4">
        <v>1000000032</v>
      </c>
      <c r="C4" t="s">
        <v>23</v>
      </c>
      <c r="D4">
        <v>1</v>
      </c>
      <c r="E4">
        <v>22000.65</v>
      </c>
      <c r="F4" t="s">
        <v>16</v>
      </c>
      <c r="G4" t="s">
        <v>24</v>
      </c>
      <c r="H4" t="s">
        <v>18</v>
      </c>
      <c r="I4" t="s">
        <v>25</v>
      </c>
      <c r="J4" t="s">
        <v>26</v>
      </c>
      <c r="K4" t="s">
        <v>27</v>
      </c>
      <c r="L4" t="s">
        <v>28</v>
      </c>
      <c r="M4">
        <v>22000.65</v>
      </c>
      <c r="N4">
        <v>2020</v>
      </c>
      <c r="O4">
        <v>4</v>
      </c>
    </row>
    <row r="5" spans="1:15" x14ac:dyDescent="0.3">
      <c r="A5" s="1">
        <v>43922</v>
      </c>
      <c r="B5">
        <v>1000000031</v>
      </c>
      <c r="C5" t="s">
        <v>15</v>
      </c>
      <c r="D5">
        <v>1</v>
      </c>
      <c r="E5">
        <v>20000.75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29</v>
      </c>
      <c r="L5" t="s">
        <v>28</v>
      </c>
      <c r="M5">
        <v>20000.75</v>
      </c>
      <c r="N5">
        <v>2020</v>
      </c>
      <c r="O5">
        <v>4</v>
      </c>
    </row>
    <row r="6" spans="1:15" x14ac:dyDescent="0.3">
      <c r="A6" s="1">
        <v>43922</v>
      </c>
      <c r="B6">
        <v>1000000040</v>
      </c>
      <c r="C6" t="s">
        <v>23</v>
      </c>
      <c r="D6">
        <v>1</v>
      </c>
      <c r="E6">
        <v>20000.72</v>
      </c>
      <c r="F6" t="s">
        <v>16</v>
      </c>
      <c r="G6" t="s">
        <v>24</v>
      </c>
      <c r="H6" t="s">
        <v>30</v>
      </c>
      <c r="I6" t="s">
        <v>31</v>
      </c>
      <c r="J6" t="s">
        <v>32</v>
      </c>
      <c r="K6" t="s">
        <v>33</v>
      </c>
      <c r="L6" t="s">
        <v>28</v>
      </c>
      <c r="M6">
        <v>20000.72</v>
      </c>
      <c r="N6">
        <v>2020</v>
      </c>
      <c r="O6">
        <v>4</v>
      </c>
    </row>
    <row r="7" spans="1:15" x14ac:dyDescent="0.3">
      <c r="A7" s="1">
        <v>43922</v>
      </c>
      <c r="B7">
        <v>1000000054</v>
      </c>
      <c r="C7" t="s">
        <v>15</v>
      </c>
      <c r="D7">
        <v>1</v>
      </c>
      <c r="E7">
        <v>20000.689999999999</v>
      </c>
      <c r="F7" t="s">
        <v>16</v>
      </c>
      <c r="G7" t="s">
        <v>17</v>
      </c>
      <c r="H7" t="s">
        <v>18</v>
      </c>
      <c r="I7" t="s">
        <v>34</v>
      </c>
      <c r="J7" t="s">
        <v>26</v>
      </c>
      <c r="K7" t="s">
        <v>35</v>
      </c>
      <c r="L7" t="s">
        <v>22</v>
      </c>
      <c r="M7">
        <v>20000.689999999999</v>
      </c>
      <c r="N7">
        <v>2020</v>
      </c>
      <c r="O7">
        <v>4</v>
      </c>
    </row>
    <row r="8" spans="1:15" x14ac:dyDescent="0.3">
      <c r="A8" s="1">
        <v>43922</v>
      </c>
      <c r="B8">
        <v>1000000035</v>
      </c>
      <c r="C8" t="s">
        <v>15</v>
      </c>
      <c r="D8">
        <v>1</v>
      </c>
      <c r="E8">
        <v>15000.57</v>
      </c>
      <c r="F8" t="s">
        <v>16</v>
      </c>
      <c r="G8" t="s">
        <v>17</v>
      </c>
      <c r="H8" t="s">
        <v>18</v>
      </c>
      <c r="I8" t="s">
        <v>25</v>
      </c>
      <c r="J8" t="s">
        <v>36</v>
      </c>
      <c r="K8" t="s">
        <v>37</v>
      </c>
      <c r="L8" t="s">
        <v>22</v>
      </c>
      <c r="M8">
        <v>15000.57</v>
      </c>
      <c r="N8">
        <v>2020</v>
      </c>
      <c r="O8">
        <v>4</v>
      </c>
    </row>
    <row r="9" spans="1:15" x14ac:dyDescent="0.3">
      <c r="A9" s="1">
        <v>43922</v>
      </c>
      <c r="B9">
        <v>1000000043</v>
      </c>
      <c r="C9" t="s">
        <v>15</v>
      </c>
      <c r="D9">
        <v>3</v>
      </c>
      <c r="E9">
        <v>14501.3</v>
      </c>
      <c r="F9" t="s">
        <v>16</v>
      </c>
      <c r="G9" t="s">
        <v>17</v>
      </c>
      <c r="H9" t="s">
        <v>30</v>
      </c>
      <c r="I9" t="s">
        <v>38</v>
      </c>
      <c r="J9" t="s">
        <v>26</v>
      </c>
      <c r="K9" t="s">
        <v>39</v>
      </c>
      <c r="L9" t="s">
        <v>22</v>
      </c>
      <c r="M9">
        <v>4833.7666666666664</v>
      </c>
      <c r="N9">
        <v>2020</v>
      </c>
      <c r="O9">
        <v>4</v>
      </c>
    </row>
    <row r="10" spans="1:15" x14ac:dyDescent="0.3">
      <c r="A10" s="1">
        <v>43922</v>
      </c>
      <c r="B10">
        <v>1000000031</v>
      </c>
      <c r="C10" t="s">
        <v>23</v>
      </c>
      <c r="D10">
        <v>1</v>
      </c>
      <c r="E10">
        <v>5000.6400000000003</v>
      </c>
      <c r="F10" t="s">
        <v>16</v>
      </c>
      <c r="G10" t="s">
        <v>24</v>
      </c>
      <c r="H10" t="s">
        <v>18</v>
      </c>
      <c r="I10" t="s">
        <v>19</v>
      </c>
      <c r="J10" t="s">
        <v>26</v>
      </c>
      <c r="K10" t="s">
        <v>29</v>
      </c>
      <c r="L10" t="s">
        <v>28</v>
      </c>
      <c r="M10">
        <v>5000.6400000000003</v>
      </c>
      <c r="N10">
        <v>2020</v>
      </c>
      <c r="O10">
        <v>4</v>
      </c>
    </row>
    <row r="11" spans="1:15" x14ac:dyDescent="0.3">
      <c r="A11" s="1">
        <v>43922</v>
      </c>
      <c r="B11">
        <v>1000000049</v>
      </c>
      <c r="C11" t="s">
        <v>23</v>
      </c>
      <c r="D11">
        <v>1</v>
      </c>
      <c r="E11">
        <v>5000.6400000000003</v>
      </c>
      <c r="F11" t="s">
        <v>16</v>
      </c>
      <c r="G11" t="s">
        <v>24</v>
      </c>
      <c r="H11" t="s">
        <v>18</v>
      </c>
      <c r="I11" t="s">
        <v>40</v>
      </c>
      <c r="J11" t="s">
        <v>26</v>
      </c>
      <c r="K11" t="s">
        <v>41</v>
      </c>
      <c r="L11" t="s">
        <v>22</v>
      </c>
      <c r="M11">
        <v>5000.6400000000003</v>
      </c>
      <c r="N11">
        <v>2020</v>
      </c>
      <c r="O11">
        <v>4</v>
      </c>
    </row>
    <row r="12" spans="1:15" x14ac:dyDescent="0.3">
      <c r="A12" s="1">
        <v>43922</v>
      </c>
      <c r="B12">
        <v>1000000050</v>
      </c>
      <c r="C12" t="s">
        <v>42</v>
      </c>
      <c r="D12">
        <v>1</v>
      </c>
      <c r="E12">
        <v>5000.1899999999996</v>
      </c>
      <c r="F12" t="s">
        <v>16</v>
      </c>
      <c r="G12" t="s">
        <v>43</v>
      </c>
      <c r="H12" t="s">
        <v>18</v>
      </c>
      <c r="I12" t="s">
        <v>40</v>
      </c>
      <c r="J12" t="s">
        <v>26</v>
      </c>
      <c r="K12" t="s">
        <v>41</v>
      </c>
      <c r="L12" t="s">
        <v>22</v>
      </c>
      <c r="M12">
        <v>5000.1899999999996</v>
      </c>
      <c r="N12">
        <v>2020</v>
      </c>
      <c r="O12">
        <v>4</v>
      </c>
    </row>
    <row r="13" spans="1:15" x14ac:dyDescent="0.3">
      <c r="A13" s="1">
        <v>43923</v>
      </c>
      <c r="B13">
        <v>1000000029</v>
      </c>
      <c r="C13" t="s">
        <v>15</v>
      </c>
      <c r="D13">
        <v>2</v>
      </c>
      <c r="E13">
        <v>20000.93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10000.465</v>
      </c>
      <c r="N13">
        <v>2020</v>
      </c>
      <c r="O13">
        <v>4</v>
      </c>
    </row>
    <row r="14" spans="1:15" x14ac:dyDescent="0.3">
      <c r="A14" s="1">
        <v>43923</v>
      </c>
      <c r="B14">
        <v>1000000034</v>
      </c>
      <c r="C14" t="s">
        <v>42</v>
      </c>
      <c r="D14">
        <v>1</v>
      </c>
      <c r="E14">
        <v>20000.43</v>
      </c>
      <c r="F14" t="s">
        <v>16</v>
      </c>
      <c r="G14" t="s">
        <v>43</v>
      </c>
      <c r="H14" t="s">
        <v>18</v>
      </c>
      <c r="I14" t="s">
        <v>25</v>
      </c>
      <c r="J14" t="s">
        <v>26</v>
      </c>
      <c r="K14" t="s">
        <v>27</v>
      </c>
      <c r="L14" t="s">
        <v>22</v>
      </c>
      <c r="M14">
        <v>20000.43</v>
      </c>
      <c r="N14">
        <v>2020</v>
      </c>
      <c r="O14">
        <v>4</v>
      </c>
    </row>
    <row r="15" spans="1:15" x14ac:dyDescent="0.3">
      <c r="A15" s="1">
        <v>43923</v>
      </c>
      <c r="B15">
        <v>1000000028</v>
      </c>
      <c r="C15" t="s">
        <v>23</v>
      </c>
      <c r="D15">
        <v>1</v>
      </c>
      <c r="E15">
        <v>18000.29</v>
      </c>
      <c r="F15" t="s">
        <v>16</v>
      </c>
      <c r="G15" t="s">
        <v>24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18000.29</v>
      </c>
      <c r="N15">
        <v>2020</v>
      </c>
      <c r="O15">
        <v>4</v>
      </c>
    </row>
    <row r="16" spans="1:15" x14ac:dyDescent="0.3">
      <c r="A16" s="1">
        <v>43923</v>
      </c>
      <c r="B16">
        <v>1000000032</v>
      </c>
      <c r="C16" t="s">
        <v>15</v>
      </c>
      <c r="D16">
        <v>1</v>
      </c>
      <c r="E16">
        <v>18000.22</v>
      </c>
      <c r="F16" t="s">
        <v>16</v>
      </c>
      <c r="G16" t="s">
        <v>17</v>
      </c>
      <c r="H16" t="s">
        <v>18</v>
      </c>
      <c r="I16" t="s">
        <v>25</v>
      </c>
      <c r="J16" t="s">
        <v>26</v>
      </c>
      <c r="K16" t="s">
        <v>27</v>
      </c>
      <c r="L16" t="s">
        <v>28</v>
      </c>
      <c r="M16">
        <v>18000.22</v>
      </c>
      <c r="N16">
        <v>2020</v>
      </c>
      <c r="O16">
        <v>4</v>
      </c>
    </row>
    <row r="17" spans="1:15" x14ac:dyDescent="0.3">
      <c r="A17" s="1">
        <v>43923</v>
      </c>
      <c r="B17">
        <v>1000000046</v>
      </c>
      <c r="C17" t="s">
        <v>23</v>
      </c>
      <c r="D17">
        <v>2</v>
      </c>
      <c r="E17">
        <v>15000.739999999998</v>
      </c>
      <c r="F17" t="s">
        <v>16</v>
      </c>
      <c r="G17" t="s">
        <v>24</v>
      </c>
      <c r="H17" t="s">
        <v>30</v>
      </c>
      <c r="I17" t="s">
        <v>38</v>
      </c>
      <c r="J17" t="s">
        <v>26</v>
      </c>
      <c r="K17" t="s">
        <v>39</v>
      </c>
      <c r="L17" t="s">
        <v>22</v>
      </c>
      <c r="M17">
        <v>7500.369999999999</v>
      </c>
      <c r="N17">
        <v>2020</v>
      </c>
      <c r="O17">
        <v>4</v>
      </c>
    </row>
    <row r="18" spans="1:15" x14ac:dyDescent="0.3">
      <c r="A18" s="1">
        <v>43923</v>
      </c>
      <c r="B18">
        <v>1000000035</v>
      </c>
      <c r="C18" t="s">
        <v>15</v>
      </c>
      <c r="D18">
        <v>1</v>
      </c>
      <c r="E18">
        <v>14999.94</v>
      </c>
      <c r="F18" t="s">
        <v>16</v>
      </c>
      <c r="G18" t="s">
        <v>17</v>
      </c>
      <c r="H18" t="s">
        <v>18</v>
      </c>
      <c r="I18" t="s">
        <v>25</v>
      </c>
      <c r="J18" t="s">
        <v>36</v>
      </c>
      <c r="K18" t="s">
        <v>37</v>
      </c>
      <c r="L18" t="s">
        <v>22</v>
      </c>
      <c r="M18">
        <v>14999.94</v>
      </c>
      <c r="N18">
        <v>2020</v>
      </c>
      <c r="O18">
        <v>4</v>
      </c>
    </row>
    <row r="19" spans="1:15" x14ac:dyDescent="0.3">
      <c r="A19" s="1">
        <v>43923</v>
      </c>
      <c r="B19">
        <v>1000000057</v>
      </c>
      <c r="C19" t="s">
        <v>42</v>
      </c>
      <c r="D19">
        <v>1</v>
      </c>
      <c r="E19">
        <v>10000.75</v>
      </c>
      <c r="F19" t="s">
        <v>16</v>
      </c>
      <c r="G19" t="s">
        <v>43</v>
      </c>
      <c r="H19" t="s">
        <v>18</v>
      </c>
      <c r="I19" t="s">
        <v>34</v>
      </c>
      <c r="J19" t="s">
        <v>20</v>
      </c>
      <c r="K19" t="s">
        <v>44</v>
      </c>
      <c r="L19" t="s">
        <v>22</v>
      </c>
      <c r="M19">
        <v>10000.75</v>
      </c>
      <c r="N19">
        <v>2020</v>
      </c>
      <c r="O19">
        <v>4</v>
      </c>
    </row>
    <row r="20" spans="1:15" x14ac:dyDescent="0.3">
      <c r="A20" s="1">
        <v>43923</v>
      </c>
      <c r="B20">
        <v>1000000031</v>
      </c>
      <c r="C20" t="s">
        <v>15</v>
      </c>
      <c r="D20">
        <v>1</v>
      </c>
      <c r="E20">
        <v>10000.57</v>
      </c>
      <c r="F20" t="s">
        <v>16</v>
      </c>
      <c r="G20" t="s">
        <v>17</v>
      </c>
      <c r="H20" t="s">
        <v>18</v>
      </c>
      <c r="I20" t="s">
        <v>19</v>
      </c>
      <c r="J20" t="s">
        <v>26</v>
      </c>
      <c r="K20" t="s">
        <v>29</v>
      </c>
      <c r="L20" t="s">
        <v>28</v>
      </c>
      <c r="M20">
        <v>10000.57</v>
      </c>
      <c r="N20">
        <v>2020</v>
      </c>
      <c r="O20">
        <v>4</v>
      </c>
    </row>
    <row r="21" spans="1:15" x14ac:dyDescent="0.3">
      <c r="A21" s="1">
        <v>43923</v>
      </c>
      <c r="B21">
        <v>1000000050</v>
      </c>
      <c r="C21" t="s">
        <v>42</v>
      </c>
      <c r="D21">
        <v>1</v>
      </c>
      <c r="E21">
        <v>10000.34</v>
      </c>
      <c r="F21" t="s">
        <v>16</v>
      </c>
      <c r="G21" t="s">
        <v>43</v>
      </c>
      <c r="H21" t="s">
        <v>18</v>
      </c>
      <c r="I21" t="s">
        <v>40</v>
      </c>
      <c r="J21" t="s">
        <v>26</v>
      </c>
      <c r="K21" t="s">
        <v>41</v>
      </c>
      <c r="L21" t="s">
        <v>22</v>
      </c>
      <c r="M21">
        <v>10000.34</v>
      </c>
      <c r="N21">
        <v>2020</v>
      </c>
      <c r="O21">
        <v>4</v>
      </c>
    </row>
    <row r="22" spans="1:15" x14ac:dyDescent="0.3">
      <c r="A22" s="1">
        <v>43923</v>
      </c>
      <c r="B22">
        <v>1000000043</v>
      </c>
      <c r="C22" t="s">
        <v>23</v>
      </c>
      <c r="D22">
        <v>1</v>
      </c>
      <c r="E22">
        <v>10000.200000000001</v>
      </c>
      <c r="F22" t="s">
        <v>16</v>
      </c>
      <c r="G22" t="s">
        <v>24</v>
      </c>
      <c r="H22" t="s">
        <v>30</v>
      </c>
      <c r="I22" t="s">
        <v>38</v>
      </c>
      <c r="J22" t="s">
        <v>26</v>
      </c>
      <c r="K22" t="s">
        <v>39</v>
      </c>
      <c r="L22" t="s">
        <v>22</v>
      </c>
      <c r="M22">
        <v>10000.200000000001</v>
      </c>
      <c r="N22">
        <v>2020</v>
      </c>
      <c r="O22">
        <v>4</v>
      </c>
    </row>
    <row r="23" spans="1:15" x14ac:dyDescent="0.3">
      <c r="A23" s="1">
        <v>43923</v>
      </c>
      <c r="B23">
        <v>1000000031</v>
      </c>
      <c r="C23" t="s">
        <v>23</v>
      </c>
      <c r="D23">
        <v>1</v>
      </c>
      <c r="E23">
        <v>9257.26</v>
      </c>
      <c r="F23" t="s">
        <v>16</v>
      </c>
      <c r="G23" t="s">
        <v>24</v>
      </c>
      <c r="H23" t="s">
        <v>18</v>
      </c>
      <c r="I23" t="s">
        <v>19</v>
      </c>
      <c r="J23" t="s">
        <v>26</v>
      </c>
      <c r="K23" t="s">
        <v>29</v>
      </c>
      <c r="L23" t="s">
        <v>28</v>
      </c>
      <c r="M23">
        <v>9257.26</v>
      </c>
      <c r="N23">
        <v>2020</v>
      </c>
      <c r="O23">
        <v>4</v>
      </c>
    </row>
    <row r="24" spans="1:15" x14ac:dyDescent="0.3">
      <c r="A24" s="1">
        <v>43923</v>
      </c>
      <c r="B24">
        <v>1000000052</v>
      </c>
      <c r="C24" t="s">
        <v>42</v>
      </c>
      <c r="D24">
        <v>1</v>
      </c>
      <c r="E24">
        <v>8000.35</v>
      </c>
      <c r="F24" t="s">
        <v>16</v>
      </c>
      <c r="G24" t="s">
        <v>43</v>
      </c>
      <c r="H24" t="s">
        <v>18</v>
      </c>
      <c r="I24" t="s">
        <v>34</v>
      </c>
      <c r="J24" t="s">
        <v>20</v>
      </c>
      <c r="K24" t="s">
        <v>44</v>
      </c>
      <c r="L24" t="s">
        <v>22</v>
      </c>
      <c r="M24">
        <v>8000.35</v>
      </c>
      <c r="N24">
        <v>2020</v>
      </c>
      <c r="O24">
        <v>4</v>
      </c>
    </row>
    <row r="25" spans="1:15" x14ac:dyDescent="0.3">
      <c r="A25" s="1">
        <v>43923</v>
      </c>
      <c r="B25">
        <v>1000000029</v>
      </c>
      <c r="C25" t="s">
        <v>23</v>
      </c>
      <c r="D25">
        <v>1</v>
      </c>
      <c r="E25">
        <v>5000.37</v>
      </c>
      <c r="F25" t="s">
        <v>16</v>
      </c>
      <c r="G25" t="s">
        <v>24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5000.37</v>
      </c>
      <c r="N25">
        <v>2020</v>
      </c>
      <c r="O25">
        <v>4</v>
      </c>
    </row>
    <row r="26" spans="1:15" x14ac:dyDescent="0.3">
      <c r="A26" s="1">
        <v>43924</v>
      </c>
      <c r="B26">
        <v>1000000028</v>
      </c>
      <c r="C26" t="s">
        <v>15</v>
      </c>
      <c r="D26">
        <v>2</v>
      </c>
      <c r="E26">
        <v>40000.39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20000.195</v>
      </c>
      <c r="N26">
        <v>2020</v>
      </c>
      <c r="O26">
        <v>4</v>
      </c>
    </row>
    <row r="27" spans="1:15" x14ac:dyDescent="0.3">
      <c r="A27" s="1">
        <v>43924</v>
      </c>
      <c r="B27">
        <v>1000000031</v>
      </c>
      <c r="C27" t="s">
        <v>42</v>
      </c>
      <c r="D27">
        <v>2</v>
      </c>
      <c r="E27">
        <v>26000.27</v>
      </c>
      <c r="F27" t="s">
        <v>16</v>
      </c>
      <c r="G27" t="s">
        <v>43</v>
      </c>
      <c r="H27" t="s">
        <v>18</v>
      </c>
      <c r="I27" t="s">
        <v>19</v>
      </c>
      <c r="J27" t="s">
        <v>26</v>
      </c>
      <c r="K27" t="s">
        <v>29</v>
      </c>
      <c r="L27" t="s">
        <v>28</v>
      </c>
      <c r="M27">
        <v>13000.135</v>
      </c>
      <c r="N27">
        <v>2020</v>
      </c>
      <c r="O27">
        <v>4</v>
      </c>
    </row>
    <row r="28" spans="1:15" x14ac:dyDescent="0.3">
      <c r="A28" s="1">
        <v>43924</v>
      </c>
      <c r="B28">
        <v>1000000037</v>
      </c>
      <c r="C28" t="s">
        <v>23</v>
      </c>
      <c r="D28">
        <v>1</v>
      </c>
      <c r="E28">
        <v>22000.65</v>
      </c>
      <c r="F28" t="s">
        <v>16</v>
      </c>
      <c r="G28" t="s">
        <v>24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22000.65</v>
      </c>
      <c r="N28">
        <v>2020</v>
      </c>
      <c r="O28">
        <v>4</v>
      </c>
    </row>
    <row r="29" spans="1:15" x14ac:dyDescent="0.3">
      <c r="A29" s="1">
        <v>43924</v>
      </c>
      <c r="B29">
        <v>1000000035</v>
      </c>
      <c r="C29" t="s">
        <v>23</v>
      </c>
      <c r="D29">
        <v>1</v>
      </c>
      <c r="E29">
        <v>20000.47</v>
      </c>
      <c r="F29" t="s">
        <v>16</v>
      </c>
      <c r="G29" t="s">
        <v>24</v>
      </c>
      <c r="H29" t="s">
        <v>18</v>
      </c>
      <c r="I29" t="s">
        <v>25</v>
      </c>
      <c r="J29" t="s">
        <v>36</v>
      </c>
      <c r="K29" t="s">
        <v>37</v>
      </c>
      <c r="L29" t="s">
        <v>22</v>
      </c>
      <c r="M29">
        <v>20000.47</v>
      </c>
      <c r="N29">
        <v>2020</v>
      </c>
      <c r="O29">
        <v>4</v>
      </c>
    </row>
    <row r="30" spans="1:15" x14ac:dyDescent="0.3">
      <c r="A30" s="1">
        <v>43924</v>
      </c>
      <c r="B30">
        <v>1000000029</v>
      </c>
      <c r="C30" t="s">
        <v>15</v>
      </c>
      <c r="D30">
        <v>1</v>
      </c>
      <c r="E30">
        <v>20000.28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20000.28</v>
      </c>
      <c r="N30">
        <v>2020</v>
      </c>
      <c r="O30">
        <v>4</v>
      </c>
    </row>
    <row r="31" spans="1:15" x14ac:dyDescent="0.3">
      <c r="A31" s="1">
        <v>43924</v>
      </c>
      <c r="B31">
        <v>1000000043</v>
      </c>
      <c r="C31" t="s">
        <v>15</v>
      </c>
      <c r="D31">
        <v>2</v>
      </c>
      <c r="E31">
        <v>15000.85</v>
      </c>
      <c r="F31" t="s">
        <v>16</v>
      </c>
      <c r="G31" t="s">
        <v>17</v>
      </c>
      <c r="H31" t="s">
        <v>30</v>
      </c>
      <c r="I31" t="s">
        <v>38</v>
      </c>
      <c r="J31" t="s">
        <v>26</v>
      </c>
      <c r="K31" t="s">
        <v>39</v>
      </c>
      <c r="L31" t="s">
        <v>22</v>
      </c>
      <c r="M31">
        <v>7500.4250000000002</v>
      </c>
      <c r="N31">
        <v>2020</v>
      </c>
      <c r="O31">
        <v>4</v>
      </c>
    </row>
    <row r="32" spans="1:15" x14ac:dyDescent="0.3">
      <c r="A32" s="1">
        <v>43924</v>
      </c>
      <c r="B32">
        <v>1000000034</v>
      </c>
      <c r="C32" t="s">
        <v>42</v>
      </c>
      <c r="D32">
        <v>1</v>
      </c>
      <c r="E32">
        <v>15000.54</v>
      </c>
      <c r="F32" t="s">
        <v>16</v>
      </c>
      <c r="G32" t="s">
        <v>43</v>
      </c>
      <c r="H32" t="s">
        <v>18</v>
      </c>
      <c r="I32" t="s">
        <v>25</v>
      </c>
      <c r="J32" t="s">
        <v>26</v>
      </c>
      <c r="K32" t="s">
        <v>27</v>
      </c>
      <c r="L32" t="s">
        <v>22</v>
      </c>
      <c r="M32">
        <v>15000.54</v>
      </c>
      <c r="N32">
        <v>2020</v>
      </c>
      <c r="O32">
        <v>4</v>
      </c>
    </row>
    <row r="33" spans="1:15" x14ac:dyDescent="0.3">
      <c r="A33" s="1">
        <v>43924</v>
      </c>
      <c r="B33">
        <v>1000000037</v>
      </c>
      <c r="C33" t="s">
        <v>15</v>
      </c>
      <c r="D33">
        <v>1</v>
      </c>
      <c r="E33">
        <v>15000.43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15000.43</v>
      </c>
      <c r="N33">
        <v>2020</v>
      </c>
      <c r="O33">
        <v>4</v>
      </c>
    </row>
    <row r="34" spans="1:15" x14ac:dyDescent="0.3">
      <c r="A34" s="1">
        <v>43924</v>
      </c>
      <c r="B34">
        <v>1000000050</v>
      </c>
      <c r="C34" t="s">
        <v>42</v>
      </c>
      <c r="D34">
        <v>1</v>
      </c>
      <c r="E34">
        <v>10000.620000000001</v>
      </c>
      <c r="F34" t="s">
        <v>16</v>
      </c>
      <c r="G34" t="s">
        <v>43</v>
      </c>
      <c r="H34" t="s">
        <v>18</v>
      </c>
      <c r="I34" t="s">
        <v>40</v>
      </c>
      <c r="J34" t="s">
        <v>26</v>
      </c>
      <c r="K34" t="s">
        <v>41</v>
      </c>
      <c r="L34" t="s">
        <v>22</v>
      </c>
      <c r="M34">
        <v>10000.620000000001</v>
      </c>
      <c r="N34">
        <v>2020</v>
      </c>
      <c r="O34">
        <v>4</v>
      </c>
    </row>
    <row r="35" spans="1:15" x14ac:dyDescent="0.3">
      <c r="A35" s="1">
        <v>43924</v>
      </c>
      <c r="B35">
        <v>1000000029</v>
      </c>
      <c r="C35" t="s">
        <v>23</v>
      </c>
      <c r="D35">
        <v>1</v>
      </c>
      <c r="E35">
        <v>10000.35</v>
      </c>
      <c r="F35" t="s">
        <v>16</v>
      </c>
      <c r="G35" t="s">
        <v>24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10000.35</v>
      </c>
      <c r="N35">
        <v>2020</v>
      </c>
      <c r="O35">
        <v>4</v>
      </c>
    </row>
    <row r="36" spans="1:15" x14ac:dyDescent="0.3">
      <c r="A36" s="1">
        <v>43924</v>
      </c>
      <c r="B36">
        <v>1000000040</v>
      </c>
      <c r="C36" t="s">
        <v>23</v>
      </c>
      <c r="D36">
        <v>1</v>
      </c>
      <c r="E36">
        <v>10000.219999999999</v>
      </c>
      <c r="F36" t="s">
        <v>16</v>
      </c>
      <c r="G36" t="s">
        <v>24</v>
      </c>
      <c r="H36" t="s">
        <v>30</v>
      </c>
      <c r="I36" t="s">
        <v>31</v>
      </c>
      <c r="J36" t="s">
        <v>32</v>
      </c>
      <c r="K36" t="s">
        <v>33</v>
      </c>
      <c r="L36" t="s">
        <v>28</v>
      </c>
      <c r="M36">
        <v>10000.219999999999</v>
      </c>
      <c r="N36">
        <v>2020</v>
      </c>
      <c r="O36">
        <v>4</v>
      </c>
    </row>
    <row r="37" spans="1:15" x14ac:dyDescent="0.3">
      <c r="A37" s="1">
        <v>43924</v>
      </c>
      <c r="B37">
        <v>1000000041</v>
      </c>
      <c r="C37" t="s">
        <v>15</v>
      </c>
      <c r="D37">
        <v>1</v>
      </c>
      <c r="E37">
        <v>10000.07</v>
      </c>
      <c r="F37" t="s">
        <v>16</v>
      </c>
      <c r="G37" t="s">
        <v>17</v>
      </c>
      <c r="H37" t="s">
        <v>30</v>
      </c>
      <c r="I37" t="s">
        <v>31</v>
      </c>
      <c r="J37" t="s">
        <v>32</v>
      </c>
      <c r="K37" t="s">
        <v>33</v>
      </c>
      <c r="L37" t="s">
        <v>22</v>
      </c>
      <c r="M37">
        <v>10000.07</v>
      </c>
      <c r="N37">
        <v>2020</v>
      </c>
      <c r="O37">
        <v>4</v>
      </c>
    </row>
    <row r="38" spans="1:15" x14ac:dyDescent="0.3">
      <c r="A38" s="1">
        <v>43924</v>
      </c>
      <c r="B38">
        <v>1000000031</v>
      </c>
      <c r="C38" t="s">
        <v>15</v>
      </c>
      <c r="D38">
        <v>1</v>
      </c>
      <c r="E38">
        <v>8000.05</v>
      </c>
      <c r="F38" t="s">
        <v>16</v>
      </c>
      <c r="G38" t="s">
        <v>17</v>
      </c>
      <c r="H38" t="s">
        <v>18</v>
      </c>
      <c r="I38" t="s">
        <v>19</v>
      </c>
      <c r="J38" t="s">
        <v>26</v>
      </c>
      <c r="K38" t="s">
        <v>29</v>
      </c>
      <c r="L38" t="s">
        <v>28</v>
      </c>
      <c r="M38">
        <v>8000.05</v>
      </c>
      <c r="N38">
        <v>2020</v>
      </c>
      <c r="O38">
        <v>4</v>
      </c>
    </row>
    <row r="39" spans="1:15" x14ac:dyDescent="0.3">
      <c r="A39" s="1">
        <v>43924</v>
      </c>
      <c r="B39">
        <v>1000000057</v>
      </c>
      <c r="C39" t="s">
        <v>45</v>
      </c>
      <c r="D39">
        <v>1</v>
      </c>
      <c r="E39">
        <v>5637.93</v>
      </c>
      <c r="F39" t="s">
        <v>46</v>
      </c>
      <c r="G39" t="s">
        <v>43</v>
      </c>
      <c r="H39" t="s">
        <v>18</v>
      </c>
      <c r="I39" t="s">
        <v>34</v>
      </c>
      <c r="J39" t="s">
        <v>20</v>
      </c>
      <c r="K39" t="s">
        <v>44</v>
      </c>
      <c r="L39" t="s">
        <v>22</v>
      </c>
      <c r="M39">
        <v>5637.93</v>
      </c>
      <c r="N39">
        <v>2020</v>
      </c>
      <c r="O39">
        <v>4</v>
      </c>
    </row>
    <row r="40" spans="1:15" x14ac:dyDescent="0.3">
      <c r="A40" s="1">
        <v>43925</v>
      </c>
      <c r="B40">
        <v>1000000030</v>
      </c>
      <c r="C40" t="s">
        <v>42</v>
      </c>
      <c r="D40">
        <v>1</v>
      </c>
      <c r="E40">
        <v>20000.66</v>
      </c>
      <c r="F40" t="s">
        <v>16</v>
      </c>
      <c r="G40" t="s">
        <v>43</v>
      </c>
      <c r="H40" t="s">
        <v>47</v>
      </c>
      <c r="I40" t="s">
        <v>48</v>
      </c>
      <c r="J40" t="s">
        <v>36</v>
      </c>
      <c r="K40" t="s">
        <v>49</v>
      </c>
      <c r="L40" t="s">
        <v>22</v>
      </c>
      <c r="M40">
        <v>20000.66</v>
      </c>
      <c r="N40">
        <v>2020</v>
      </c>
      <c r="O40">
        <v>4</v>
      </c>
    </row>
    <row r="41" spans="1:15" x14ac:dyDescent="0.3">
      <c r="A41" s="1">
        <v>43925</v>
      </c>
      <c r="B41">
        <v>1000000031</v>
      </c>
      <c r="C41" t="s">
        <v>15</v>
      </c>
      <c r="D41">
        <v>2</v>
      </c>
      <c r="E41">
        <v>20000.349999999999</v>
      </c>
      <c r="F41" t="s">
        <v>16</v>
      </c>
      <c r="G41" t="s">
        <v>17</v>
      </c>
      <c r="H41" t="s">
        <v>18</v>
      </c>
      <c r="I41" t="s">
        <v>19</v>
      </c>
      <c r="J41" t="s">
        <v>26</v>
      </c>
      <c r="K41" t="s">
        <v>29</v>
      </c>
      <c r="L41" t="s">
        <v>28</v>
      </c>
      <c r="M41">
        <v>10000.174999999999</v>
      </c>
      <c r="N41">
        <v>2020</v>
      </c>
      <c r="O41">
        <v>4</v>
      </c>
    </row>
    <row r="42" spans="1:15" x14ac:dyDescent="0.3">
      <c r="A42" s="1">
        <v>43925</v>
      </c>
      <c r="B42">
        <v>1000000050</v>
      </c>
      <c r="C42" t="s">
        <v>42</v>
      </c>
      <c r="D42">
        <v>1</v>
      </c>
      <c r="E42">
        <v>20000.21</v>
      </c>
      <c r="F42" t="s">
        <v>16</v>
      </c>
      <c r="G42" t="s">
        <v>43</v>
      </c>
      <c r="H42" t="s">
        <v>18</v>
      </c>
      <c r="I42" t="s">
        <v>40</v>
      </c>
      <c r="J42" t="s">
        <v>26</v>
      </c>
      <c r="K42" t="s">
        <v>41</v>
      </c>
      <c r="L42" t="s">
        <v>22</v>
      </c>
      <c r="M42">
        <v>20000.21</v>
      </c>
      <c r="N42">
        <v>2020</v>
      </c>
      <c r="O42">
        <v>4</v>
      </c>
    </row>
    <row r="43" spans="1:15" x14ac:dyDescent="0.3">
      <c r="A43" s="1">
        <v>43925</v>
      </c>
      <c r="B43">
        <v>1000000034</v>
      </c>
      <c r="C43" t="s">
        <v>23</v>
      </c>
      <c r="D43">
        <v>1</v>
      </c>
      <c r="E43">
        <v>19999.939999999999</v>
      </c>
      <c r="F43" t="s">
        <v>16</v>
      </c>
      <c r="G43" t="s">
        <v>24</v>
      </c>
      <c r="H43" t="s">
        <v>18</v>
      </c>
      <c r="I43" t="s">
        <v>25</v>
      </c>
      <c r="J43" t="s">
        <v>26</v>
      </c>
      <c r="K43" t="s">
        <v>27</v>
      </c>
      <c r="L43" t="s">
        <v>22</v>
      </c>
      <c r="M43">
        <v>19999.939999999999</v>
      </c>
      <c r="N43">
        <v>2020</v>
      </c>
      <c r="O43">
        <v>4</v>
      </c>
    </row>
    <row r="44" spans="1:15" x14ac:dyDescent="0.3">
      <c r="A44" s="1">
        <v>43925</v>
      </c>
      <c r="B44">
        <v>1000000047</v>
      </c>
      <c r="C44" t="s">
        <v>42</v>
      </c>
      <c r="D44">
        <v>1</v>
      </c>
      <c r="E44">
        <v>15000.01</v>
      </c>
      <c r="F44" t="s">
        <v>16</v>
      </c>
      <c r="G44" t="s">
        <v>43</v>
      </c>
      <c r="H44" t="s">
        <v>47</v>
      </c>
      <c r="I44" t="s">
        <v>48</v>
      </c>
      <c r="J44" t="s">
        <v>26</v>
      </c>
      <c r="K44" t="s">
        <v>50</v>
      </c>
      <c r="L44" t="s">
        <v>22</v>
      </c>
      <c r="M44">
        <v>15000.01</v>
      </c>
      <c r="N44">
        <v>2020</v>
      </c>
      <c r="O44">
        <v>4</v>
      </c>
    </row>
    <row r="45" spans="1:15" x14ac:dyDescent="0.3">
      <c r="A45" s="1">
        <v>43925</v>
      </c>
      <c r="B45">
        <v>1000000029</v>
      </c>
      <c r="C45" t="s">
        <v>15</v>
      </c>
      <c r="D45">
        <v>1</v>
      </c>
      <c r="E45">
        <v>10000.629999999999</v>
      </c>
      <c r="F45" t="s">
        <v>16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10000.629999999999</v>
      </c>
      <c r="N45">
        <v>2020</v>
      </c>
      <c r="O45">
        <v>4</v>
      </c>
    </row>
    <row r="46" spans="1:15" x14ac:dyDescent="0.3">
      <c r="A46" s="1">
        <v>43925</v>
      </c>
      <c r="B46">
        <v>1000000040</v>
      </c>
      <c r="C46" t="s">
        <v>15</v>
      </c>
      <c r="D46">
        <v>1</v>
      </c>
      <c r="E46">
        <v>10000.39</v>
      </c>
      <c r="F46" t="s">
        <v>16</v>
      </c>
      <c r="G46" t="s">
        <v>17</v>
      </c>
      <c r="H46" t="s">
        <v>30</v>
      </c>
      <c r="I46" t="s">
        <v>31</v>
      </c>
      <c r="J46" t="s">
        <v>32</v>
      </c>
      <c r="K46" t="s">
        <v>33</v>
      </c>
      <c r="L46" t="s">
        <v>28</v>
      </c>
      <c r="M46">
        <v>10000.39</v>
      </c>
      <c r="N46">
        <v>2020</v>
      </c>
      <c r="O46">
        <v>4</v>
      </c>
    </row>
    <row r="47" spans="1:15" x14ac:dyDescent="0.3">
      <c r="A47" s="1">
        <v>43925</v>
      </c>
      <c r="B47">
        <v>1000000067</v>
      </c>
      <c r="C47" t="s">
        <v>15</v>
      </c>
      <c r="D47">
        <v>1</v>
      </c>
      <c r="E47">
        <v>10000.31</v>
      </c>
      <c r="F47" t="s">
        <v>16</v>
      </c>
      <c r="G47" t="s">
        <v>17</v>
      </c>
      <c r="H47" t="s">
        <v>18</v>
      </c>
      <c r="I47" t="s">
        <v>25</v>
      </c>
      <c r="J47" t="s">
        <v>20</v>
      </c>
      <c r="K47" t="s">
        <v>51</v>
      </c>
      <c r="L47" t="s">
        <v>22</v>
      </c>
      <c r="M47">
        <v>10000.31</v>
      </c>
      <c r="N47">
        <v>2020</v>
      </c>
      <c r="O47">
        <v>4</v>
      </c>
    </row>
    <row r="48" spans="1:15" x14ac:dyDescent="0.3">
      <c r="A48" s="1">
        <v>43925</v>
      </c>
      <c r="B48">
        <v>1000000040</v>
      </c>
      <c r="C48" t="s">
        <v>23</v>
      </c>
      <c r="D48">
        <v>1</v>
      </c>
      <c r="E48">
        <v>7999.99</v>
      </c>
      <c r="F48" t="s">
        <v>16</v>
      </c>
      <c r="G48" t="s">
        <v>24</v>
      </c>
      <c r="H48" t="s">
        <v>30</v>
      </c>
      <c r="I48" t="s">
        <v>31</v>
      </c>
      <c r="J48" t="s">
        <v>32</v>
      </c>
      <c r="K48" t="s">
        <v>33</v>
      </c>
      <c r="L48" t="s">
        <v>28</v>
      </c>
      <c r="M48">
        <v>7999.99</v>
      </c>
      <c r="N48">
        <v>2020</v>
      </c>
      <c r="O48">
        <v>4</v>
      </c>
    </row>
    <row r="49" spans="1:15" x14ac:dyDescent="0.3">
      <c r="A49" s="1">
        <v>43925</v>
      </c>
      <c r="B49">
        <v>1000000029</v>
      </c>
      <c r="C49" t="s">
        <v>23</v>
      </c>
      <c r="D49">
        <v>1</v>
      </c>
      <c r="E49">
        <v>5000.49</v>
      </c>
      <c r="F49" t="s">
        <v>16</v>
      </c>
      <c r="G49" t="s">
        <v>24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5000.49</v>
      </c>
      <c r="N49">
        <v>2020</v>
      </c>
      <c r="O49">
        <v>4</v>
      </c>
    </row>
    <row r="50" spans="1:15" x14ac:dyDescent="0.3">
      <c r="A50" s="1">
        <v>43925</v>
      </c>
      <c r="B50">
        <v>1000000036</v>
      </c>
      <c r="C50" t="s">
        <v>15</v>
      </c>
      <c r="D50">
        <v>1</v>
      </c>
      <c r="E50">
        <v>5000.43</v>
      </c>
      <c r="F50" t="s">
        <v>16</v>
      </c>
      <c r="G50" t="s">
        <v>17</v>
      </c>
      <c r="H50" t="s">
        <v>47</v>
      </c>
      <c r="I50" t="s">
        <v>48</v>
      </c>
      <c r="J50" t="s">
        <v>36</v>
      </c>
      <c r="K50" t="s">
        <v>49</v>
      </c>
      <c r="L50" t="s">
        <v>28</v>
      </c>
      <c r="M50">
        <v>5000.43</v>
      </c>
      <c r="N50">
        <v>2020</v>
      </c>
      <c r="O50">
        <v>4</v>
      </c>
    </row>
    <row r="51" spans="1:15" x14ac:dyDescent="0.3">
      <c r="A51" s="1">
        <v>43925</v>
      </c>
      <c r="B51">
        <v>1000000044</v>
      </c>
      <c r="C51" t="s">
        <v>23</v>
      </c>
      <c r="D51">
        <v>1</v>
      </c>
      <c r="E51">
        <v>4999.9399999999996</v>
      </c>
      <c r="F51" t="s">
        <v>16</v>
      </c>
      <c r="G51" t="s">
        <v>24</v>
      </c>
      <c r="H51" t="s">
        <v>30</v>
      </c>
      <c r="I51" t="s">
        <v>31</v>
      </c>
      <c r="J51" t="s">
        <v>36</v>
      </c>
      <c r="K51" t="s">
        <v>52</v>
      </c>
      <c r="L51" t="s">
        <v>28</v>
      </c>
      <c r="M51">
        <v>4999.9399999999996</v>
      </c>
      <c r="N51">
        <v>2020</v>
      </c>
      <c r="O51">
        <v>4</v>
      </c>
    </row>
    <row r="52" spans="1:15" x14ac:dyDescent="0.3">
      <c r="A52" s="1">
        <v>43926</v>
      </c>
      <c r="B52">
        <v>1000000576</v>
      </c>
      <c r="C52" t="s">
        <v>15</v>
      </c>
      <c r="D52">
        <v>3</v>
      </c>
      <c r="E52">
        <v>48001.25</v>
      </c>
      <c r="F52" t="s">
        <v>16</v>
      </c>
      <c r="G52" t="s">
        <v>17</v>
      </c>
      <c r="H52" t="s">
        <v>18</v>
      </c>
      <c r="I52" t="s">
        <v>25</v>
      </c>
      <c r="J52" t="s">
        <v>36</v>
      </c>
      <c r="K52" t="s">
        <v>37</v>
      </c>
      <c r="L52" t="s">
        <v>22</v>
      </c>
      <c r="M52">
        <v>16000.416666666666</v>
      </c>
      <c r="N52">
        <v>2020</v>
      </c>
      <c r="O52">
        <v>4</v>
      </c>
    </row>
    <row r="53" spans="1:15" x14ac:dyDescent="0.3">
      <c r="A53" s="1">
        <v>43926</v>
      </c>
      <c r="B53">
        <v>1000000028</v>
      </c>
      <c r="C53" t="s">
        <v>15</v>
      </c>
      <c r="D53">
        <v>2</v>
      </c>
      <c r="E53">
        <v>28001.33</v>
      </c>
      <c r="F53" t="s">
        <v>16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14000.665000000001</v>
      </c>
      <c r="N53">
        <v>2020</v>
      </c>
      <c r="O53">
        <v>4</v>
      </c>
    </row>
    <row r="54" spans="1:15" x14ac:dyDescent="0.3">
      <c r="A54" s="1">
        <v>43926</v>
      </c>
      <c r="B54">
        <v>1000000566</v>
      </c>
      <c r="C54" t="s">
        <v>15</v>
      </c>
      <c r="D54">
        <v>1</v>
      </c>
      <c r="E54">
        <v>20000.310000000001</v>
      </c>
      <c r="F54" t="s">
        <v>16</v>
      </c>
      <c r="G54" t="s">
        <v>17</v>
      </c>
      <c r="H54" t="s">
        <v>47</v>
      </c>
      <c r="I54" t="s">
        <v>48</v>
      </c>
      <c r="J54" t="s">
        <v>36</v>
      </c>
      <c r="K54" t="s">
        <v>49</v>
      </c>
      <c r="L54" t="s">
        <v>22</v>
      </c>
      <c r="M54">
        <v>20000.310000000001</v>
      </c>
      <c r="N54">
        <v>2020</v>
      </c>
      <c r="O54">
        <v>4</v>
      </c>
    </row>
    <row r="55" spans="1:15" x14ac:dyDescent="0.3">
      <c r="A55" s="1">
        <v>43926</v>
      </c>
      <c r="B55">
        <v>1000000030</v>
      </c>
      <c r="C55" t="s">
        <v>23</v>
      </c>
      <c r="D55">
        <v>1</v>
      </c>
      <c r="E55">
        <v>20000.29</v>
      </c>
      <c r="F55" t="s">
        <v>16</v>
      </c>
      <c r="G55" t="s">
        <v>24</v>
      </c>
      <c r="H55" t="s">
        <v>47</v>
      </c>
      <c r="I55" t="s">
        <v>48</v>
      </c>
      <c r="J55" t="s">
        <v>36</v>
      </c>
      <c r="K55" t="s">
        <v>49</v>
      </c>
      <c r="L55" t="s">
        <v>22</v>
      </c>
      <c r="M55">
        <v>20000.29</v>
      </c>
      <c r="N55">
        <v>2020</v>
      </c>
      <c r="O55">
        <v>4</v>
      </c>
    </row>
    <row r="56" spans="1:15" x14ac:dyDescent="0.3">
      <c r="A56" s="1">
        <v>43926</v>
      </c>
      <c r="B56">
        <v>1000000032</v>
      </c>
      <c r="C56" t="s">
        <v>15</v>
      </c>
      <c r="D56">
        <v>1</v>
      </c>
      <c r="E56">
        <v>20000.29</v>
      </c>
      <c r="F56" t="s">
        <v>16</v>
      </c>
      <c r="G56" t="s">
        <v>17</v>
      </c>
      <c r="H56" t="s">
        <v>18</v>
      </c>
      <c r="I56" t="s">
        <v>25</v>
      </c>
      <c r="J56" t="s">
        <v>26</v>
      </c>
      <c r="K56" t="s">
        <v>27</v>
      </c>
      <c r="L56" t="s">
        <v>28</v>
      </c>
      <c r="M56">
        <v>20000.29</v>
      </c>
      <c r="N56">
        <v>2020</v>
      </c>
      <c r="O56">
        <v>4</v>
      </c>
    </row>
    <row r="57" spans="1:15" x14ac:dyDescent="0.3">
      <c r="A57" s="1">
        <v>43926</v>
      </c>
      <c r="B57">
        <v>1000000057</v>
      </c>
      <c r="C57" t="s">
        <v>42</v>
      </c>
      <c r="D57">
        <v>1</v>
      </c>
      <c r="E57">
        <v>20000.240000000002</v>
      </c>
      <c r="F57" t="s">
        <v>16</v>
      </c>
      <c r="G57" t="s">
        <v>43</v>
      </c>
      <c r="H57" t="s">
        <v>18</v>
      </c>
      <c r="I57" t="s">
        <v>34</v>
      </c>
      <c r="J57" t="s">
        <v>20</v>
      </c>
      <c r="K57" t="s">
        <v>44</v>
      </c>
      <c r="L57" t="s">
        <v>22</v>
      </c>
      <c r="M57">
        <v>20000.240000000002</v>
      </c>
      <c r="N57">
        <v>2020</v>
      </c>
      <c r="O57">
        <v>4</v>
      </c>
    </row>
    <row r="58" spans="1:15" x14ac:dyDescent="0.3">
      <c r="A58" s="1">
        <v>43926</v>
      </c>
      <c r="B58">
        <v>1000000047</v>
      </c>
      <c r="C58" t="s">
        <v>42</v>
      </c>
      <c r="D58">
        <v>2</v>
      </c>
      <c r="E58">
        <v>18000.739999999998</v>
      </c>
      <c r="F58" t="s">
        <v>16</v>
      </c>
      <c r="G58" t="s">
        <v>43</v>
      </c>
      <c r="H58" t="s">
        <v>47</v>
      </c>
      <c r="I58" t="s">
        <v>48</v>
      </c>
      <c r="J58" t="s">
        <v>26</v>
      </c>
      <c r="K58" t="s">
        <v>50</v>
      </c>
      <c r="L58" t="s">
        <v>22</v>
      </c>
      <c r="M58">
        <v>9000.369999999999</v>
      </c>
      <c r="N58">
        <v>2020</v>
      </c>
      <c r="O58">
        <v>4</v>
      </c>
    </row>
    <row r="59" spans="1:15" x14ac:dyDescent="0.3">
      <c r="A59" s="1">
        <v>43926</v>
      </c>
      <c r="B59">
        <v>1000000566</v>
      </c>
      <c r="C59" t="s">
        <v>42</v>
      </c>
      <c r="D59">
        <v>1</v>
      </c>
      <c r="E59">
        <v>17999.939999999999</v>
      </c>
      <c r="F59" t="s">
        <v>16</v>
      </c>
      <c r="G59" t="s">
        <v>43</v>
      </c>
      <c r="H59" t="s">
        <v>47</v>
      </c>
      <c r="I59" t="s">
        <v>48</v>
      </c>
      <c r="J59" t="s">
        <v>36</v>
      </c>
      <c r="K59" t="s">
        <v>49</v>
      </c>
      <c r="L59" t="s">
        <v>22</v>
      </c>
      <c r="M59">
        <v>17999.939999999999</v>
      </c>
      <c r="N59">
        <v>2020</v>
      </c>
      <c r="O59">
        <v>4</v>
      </c>
    </row>
    <row r="60" spans="1:15" x14ac:dyDescent="0.3">
      <c r="A60" s="1">
        <v>43926</v>
      </c>
      <c r="B60">
        <v>1000000029</v>
      </c>
      <c r="C60" t="s">
        <v>15</v>
      </c>
      <c r="D60">
        <v>1</v>
      </c>
      <c r="E60">
        <v>10000.629999999999</v>
      </c>
      <c r="F60" t="s">
        <v>16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10000.629999999999</v>
      </c>
      <c r="N60">
        <v>2020</v>
      </c>
      <c r="O60">
        <v>4</v>
      </c>
    </row>
    <row r="61" spans="1:15" x14ac:dyDescent="0.3">
      <c r="A61" s="1">
        <v>43926</v>
      </c>
      <c r="B61">
        <v>1000000046</v>
      </c>
      <c r="C61" t="s">
        <v>23</v>
      </c>
      <c r="D61">
        <v>1</v>
      </c>
      <c r="E61">
        <v>10000.58</v>
      </c>
      <c r="F61" t="s">
        <v>16</v>
      </c>
      <c r="G61" t="s">
        <v>24</v>
      </c>
      <c r="H61" t="s">
        <v>30</v>
      </c>
      <c r="I61" t="s">
        <v>38</v>
      </c>
      <c r="J61" t="s">
        <v>26</v>
      </c>
      <c r="K61" t="s">
        <v>39</v>
      </c>
      <c r="L61" t="s">
        <v>22</v>
      </c>
      <c r="M61">
        <v>10000.58</v>
      </c>
      <c r="N61">
        <v>2020</v>
      </c>
      <c r="O61">
        <v>4</v>
      </c>
    </row>
    <row r="62" spans="1:15" x14ac:dyDescent="0.3">
      <c r="A62" s="1">
        <v>43926</v>
      </c>
      <c r="B62">
        <v>1000000041</v>
      </c>
      <c r="C62" t="s">
        <v>23</v>
      </c>
      <c r="D62">
        <v>1</v>
      </c>
      <c r="E62">
        <v>10000.44</v>
      </c>
      <c r="F62" t="s">
        <v>16</v>
      </c>
      <c r="G62" t="s">
        <v>24</v>
      </c>
      <c r="H62" t="s">
        <v>30</v>
      </c>
      <c r="I62" t="s">
        <v>31</v>
      </c>
      <c r="J62" t="s">
        <v>32</v>
      </c>
      <c r="K62" t="s">
        <v>33</v>
      </c>
      <c r="L62" t="s">
        <v>22</v>
      </c>
      <c r="M62">
        <v>10000.44</v>
      </c>
      <c r="N62">
        <v>2020</v>
      </c>
      <c r="O62">
        <v>4</v>
      </c>
    </row>
    <row r="63" spans="1:15" x14ac:dyDescent="0.3">
      <c r="A63" s="1">
        <v>43926</v>
      </c>
      <c r="B63">
        <v>1000000029</v>
      </c>
      <c r="C63" t="s">
        <v>23</v>
      </c>
      <c r="D63">
        <v>1</v>
      </c>
      <c r="E63">
        <v>10000.33</v>
      </c>
      <c r="F63" t="s">
        <v>16</v>
      </c>
      <c r="G63" t="s">
        <v>24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10000.33</v>
      </c>
      <c r="N63">
        <v>2020</v>
      </c>
      <c r="O63">
        <v>4</v>
      </c>
    </row>
    <row r="64" spans="1:15" x14ac:dyDescent="0.3">
      <c r="A64" s="1">
        <v>43926</v>
      </c>
      <c r="B64">
        <v>1000000040</v>
      </c>
      <c r="C64" t="s">
        <v>23</v>
      </c>
      <c r="D64">
        <v>1</v>
      </c>
      <c r="E64">
        <v>10000.209999999999</v>
      </c>
      <c r="F64" t="s">
        <v>16</v>
      </c>
      <c r="G64" t="s">
        <v>24</v>
      </c>
      <c r="H64" t="s">
        <v>30</v>
      </c>
      <c r="I64" t="s">
        <v>31</v>
      </c>
      <c r="J64" t="s">
        <v>32</v>
      </c>
      <c r="K64" t="s">
        <v>33</v>
      </c>
      <c r="L64" t="s">
        <v>28</v>
      </c>
      <c r="M64">
        <v>10000.209999999999</v>
      </c>
      <c r="N64">
        <v>2020</v>
      </c>
      <c r="O64">
        <v>4</v>
      </c>
    </row>
    <row r="65" spans="1:15" x14ac:dyDescent="0.3">
      <c r="A65" s="1">
        <v>43926</v>
      </c>
      <c r="B65">
        <v>1000000035</v>
      </c>
      <c r="C65" t="s">
        <v>15</v>
      </c>
      <c r="D65">
        <v>1</v>
      </c>
      <c r="E65">
        <v>8000.44</v>
      </c>
      <c r="F65" t="s">
        <v>16</v>
      </c>
      <c r="G65" t="s">
        <v>17</v>
      </c>
      <c r="H65" t="s">
        <v>18</v>
      </c>
      <c r="I65" t="s">
        <v>25</v>
      </c>
      <c r="J65" t="s">
        <v>36</v>
      </c>
      <c r="K65" t="s">
        <v>37</v>
      </c>
      <c r="L65" t="s">
        <v>22</v>
      </c>
      <c r="M65">
        <v>8000.44</v>
      </c>
      <c r="N65">
        <v>2020</v>
      </c>
      <c r="O65">
        <v>4</v>
      </c>
    </row>
    <row r="66" spans="1:15" x14ac:dyDescent="0.3">
      <c r="A66" s="1">
        <v>43926</v>
      </c>
      <c r="B66">
        <v>1000000566</v>
      </c>
      <c r="C66" t="s">
        <v>23</v>
      </c>
      <c r="D66">
        <v>1</v>
      </c>
      <c r="E66">
        <v>8000.25</v>
      </c>
      <c r="F66" t="s">
        <v>16</v>
      </c>
      <c r="G66" t="s">
        <v>24</v>
      </c>
      <c r="H66" t="s">
        <v>47</v>
      </c>
      <c r="I66" t="s">
        <v>48</v>
      </c>
      <c r="J66" t="s">
        <v>36</v>
      </c>
      <c r="K66" t="s">
        <v>49</v>
      </c>
      <c r="L66" t="s">
        <v>22</v>
      </c>
      <c r="M66">
        <v>8000.25</v>
      </c>
      <c r="N66">
        <v>2020</v>
      </c>
      <c r="O66">
        <v>4</v>
      </c>
    </row>
    <row r="67" spans="1:15" x14ac:dyDescent="0.3">
      <c r="A67" s="1">
        <v>43926</v>
      </c>
      <c r="B67">
        <v>1000000067</v>
      </c>
      <c r="C67" t="s">
        <v>42</v>
      </c>
      <c r="D67">
        <v>1</v>
      </c>
      <c r="E67">
        <v>8000.2</v>
      </c>
      <c r="F67" t="s">
        <v>16</v>
      </c>
      <c r="G67" t="s">
        <v>43</v>
      </c>
      <c r="H67" t="s">
        <v>18</v>
      </c>
      <c r="I67" t="s">
        <v>25</v>
      </c>
      <c r="J67" t="s">
        <v>20</v>
      </c>
      <c r="K67" t="s">
        <v>51</v>
      </c>
      <c r="L67" t="s">
        <v>22</v>
      </c>
      <c r="M67">
        <v>8000.2</v>
      </c>
      <c r="N67">
        <v>2020</v>
      </c>
      <c r="O67">
        <v>4</v>
      </c>
    </row>
    <row r="68" spans="1:15" x14ac:dyDescent="0.3">
      <c r="A68" s="1">
        <v>43926</v>
      </c>
      <c r="B68">
        <v>1000000047</v>
      </c>
      <c r="C68" t="s">
        <v>15</v>
      </c>
      <c r="D68">
        <v>1</v>
      </c>
      <c r="E68">
        <v>8000.11</v>
      </c>
      <c r="F68" t="s">
        <v>16</v>
      </c>
      <c r="G68" t="s">
        <v>17</v>
      </c>
      <c r="H68" t="s">
        <v>47</v>
      </c>
      <c r="I68" t="s">
        <v>48</v>
      </c>
      <c r="J68" t="s">
        <v>26</v>
      </c>
      <c r="K68" t="s">
        <v>50</v>
      </c>
      <c r="L68" t="s">
        <v>22</v>
      </c>
      <c r="M68">
        <v>8000.11</v>
      </c>
      <c r="N68">
        <v>2020</v>
      </c>
      <c r="O68">
        <v>4</v>
      </c>
    </row>
    <row r="69" spans="1:15" x14ac:dyDescent="0.3">
      <c r="A69" s="1">
        <v>43926</v>
      </c>
      <c r="B69">
        <v>1000000057</v>
      </c>
      <c r="C69" t="s">
        <v>23</v>
      </c>
      <c r="D69">
        <v>1</v>
      </c>
      <c r="E69">
        <v>7999.97</v>
      </c>
      <c r="F69" t="s">
        <v>16</v>
      </c>
      <c r="G69" t="s">
        <v>24</v>
      </c>
      <c r="H69" t="s">
        <v>18</v>
      </c>
      <c r="I69" t="s">
        <v>34</v>
      </c>
      <c r="J69" t="s">
        <v>20</v>
      </c>
      <c r="K69" t="s">
        <v>44</v>
      </c>
      <c r="L69" t="s">
        <v>22</v>
      </c>
      <c r="M69">
        <v>7999.97</v>
      </c>
      <c r="N69">
        <v>2020</v>
      </c>
      <c r="O69">
        <v>4</v>
      </c>
    </row>
    <row r="70" spans="1:15" x14ac:dyDescent="0.3">
      <c r="A70" s="1">
        <v>43926</v>
      </c>
      <c r="B70">
        <v>1000000051</v>
      </c>
      <c r="C70" t="s">
        <v>15</v>
      </c>
      <c r="D70">
        <v>1</v>
      </c>
      <c r="E70">
        <v>6000.46</v>
      </c>
      <c r="F70" t="s">
        <v>16</v>
      </c>
      <c r="G70" t="s">
        <v>17</v>
      </c>
      <c r="H70" t="s">
        <v>18</v>
      </c>
      <c r="I70" t="s">
        <v>34</v>
      </c>
      <c r="J70" t="s">
        <v>20</v>
      </c>
      <c r="K70" t="s">
        <v>44</v>
      </c>
      <c r="L70" t="s">
        <v>22</v>
      </c>
      <c r="M70">
        <v>6000.46</v>
      </c>
      <c r="N70">
        <v>2020</v>
      </c>
      <c r="O70">
        <v>4</v>
      </c>
    </row>
    <row r="71" spans="1:15" x14ac:dyDescent="0.3">
      <c r="A71" s="1">
        <v>43926</v>
      </c>
      <c r="B71">
        <v>1000000037</v>
      </c>
      <c r="C71" t="s">
        <v>15</v>
      </c>
      <c r="D71">
        <v>1</v>
      </c>
      <c r="E71">
        <v>5000.53</v>
      </c>
      <c r="F71" t="s">
        <v>16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5000.53</v>
      </c>
      <c r="N71">
        <v>2020</v>
      </c>
      <c r="O71">
        <v>4</v>
      </c>
    </row>
    <row r="72" spans="1:15" x14ac:dyDescent="0.3">
      <c r="A72" s="1">
        <v>43926</v>
      </c>
      <c r="B72">
        <v>1000000043</v>
      </c>
      <c r="C72" t="s">
        <v>23</v>
      </c>
      <c r="D72">
        <v>1</v>
      </c>
      <c r="E72">
        <v>5000.37</v>
      </c>
      <c r="F72" t="s">
        <v>16</v>
      </c>
      <c r="G72" t="s">
        <v>24</v>
      </c>
      <c r="H72" t="s">
        <v>30</v>
      </c>
      <c r="I72" t="s">
        <v>38</v>
      </c>
      <c r="J72" t="s">
        <v>26</v>
      </c>
      <c r="K72" t="s">
        <v>39</v>
      </c>
      <c r="L72" t="s">
        <v>22</v>
      </c>
      <c r="M72">
        <v>5000.37</v>
      </c>
      <c r="N72">
        <v>2020</v>
      </c>
      <c r="O72">
        <v>4</v>
      </c>
    </row>
    <row r="73" spans="1:15" x14ac:dyDescent="0.3">
      <c r="A73" s="1">
        <v>43926</v>
      </c>
      <c r="B73">
        <v>1000000028</v>
      </c>
      <c r="C73" t="s">
        <v>23</v>
      </c>
      <c r="D73">
        <v>1</v>
      </c>
      <c r="E73">
        <v>5000.3599999999997</v>
      </c>
      <c r="F73" t="s">
        <v>16</v>
      </c>
      <c r="G73" t="s">
        <v>24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5000.3599999999997</v>
      </c>
      <c r="N73">
        <v>2020</v>
      </c>
      <c r="O73">
        <v>4</v>
      </c>
    </row>
    <row r="74" spans="1:15" x14ac:dyDescent="0.3">
      <c r="A74" s="1">
        <v>43926</v>
      </c>
      <c r="B74">
        <v>1000000031</v>
      </c>
      <c r="C74" t="s">
        <v>23</v>
      </c>
      <c r="D74">
        <v>1</v>
      </c>
      <c r="E74">
        <v>5000.3100000000004</v>
      </c>
      <c r="F74" t="s">
        <v>16</v>
      </c>
      <c r="G74" t="s">
        <v>24</v>
      </c>
      <c r="H74" t="s">
        <v>18</v>
      </c>
      <c r="I74" t="s">
        <v>19</v>
      </c>
      <c r="J74" t="s">
        <v>26</v>
      </c>
      <c r="K74" t="s">
        <v>29</v>
      </c>
      <c r="L74" t="s">
        <v>28</v>
      </c>
      <c r="M74">
        <v>5000.3100000000004</v>
      </c>
      <c r="N74">
        <v>2020</v>
      </c>
      <c r="O74">
        <v>4</v>
      </c>
    </row>
    <row r="75" spans="1:15" x14ac:dyDescent="0.3">
      <c r="A75" s="1">
        <v>43926</v>
      </c>
      <c r="B75">
        <v>1000000034</v>
      </c>
      <c r="C75" t="s">
        <v>23</v>
      </c>
      <c r="D75">
        <v>1</v>
      </c>
      <c r="E75">
        <v>5000.03</v>
      </c>
      <c r="F75" t="s">
        <v>16</v>
      </c>
      <c r="G75" t="s">
        <v>24</v>
      </c>
      <c r="H75" t="s">
        <v>18</v>
      </c>
      <c r="I75" t="s">
        <v>25</v>
      </c>
      <c r="J75" t="s">
        <v>26</v>
      </c>
      <c r="K75" t="s">
        <v>27</v>
      </c>
      <c r="L75" t="s">
        <v>22</v>
      </c>
      <c r="M75">
        <v>5000.03</v>
      </c>
      <c r="N75">
        <v>2020</v>
      </c>
      <c r="O75">
        <v>4</v>
      </c>
    </row>
    <row r="76" spans="1:15" x14ac:dyDescent="0.3">
      <c r="A76" s="1">
        <v>43926</v>
      </c>
      <c r="B76">
        <v>1000000566</v>
      </c>
      <c r="C76" t="s">
        <v>53</v>
      </c>
      <c r="D76">
        <v>1</v>
      </c>
      <c r="E76">
        <v>4737.9799999999996</v>
      </c>
      <c r="F76" t="s">
        <v>46</v>
      </c>
      <c r="G76" t="s">
        <v>17</v>
      </c>
      <c r="H76" t="s">
        <v>47</v>
      </c>
      <c r="I76" t="s">
        <v>48</v>
      </c>
      <c r="J76" t="s">
        <v>36</v>
      </c>
      <c r="K76" t="s">
        <v>49</v>
      </c>
      <c r="L76" t="s">
        <v>22</v>
      </c>
      <c r="M76">
        <v>4737.9799999999996</v>
      </c>
      <c r="N76">
        <v>2020</v>
      </c>
      <c r="O76">
        <v>4</v>
      </c>
    </row>
    <row r="77" spans="1:15" x14ac:dyDescent="0.3">
      <c r="A77" s="1">
        <v>43926</v>
      </c>
      <c r="B77">
        <v>1000000037</v>
      </c>
      <c r="C77" t="s">
        <v>23</v>
      </c>
      <c r="D77">
        <v>1</v>
      </c>
      <c r="E77">
        <v>3000.69</v>
      </c>
      <c r="F77" t="s">
        <v>16</v>
      </c>
      <c r="G77" t="s">
        <v>24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3000.69</v>
      </c>
      <c r="N77">
        <v>2020</v>
      </c>
      <c r="O77">
        <v>4</v>
      </c>
    </row>
    <row r="78" spans="1:15" x14ac:dyDescent="0.3">
      <c r="A78" s="1">
        <v>43927</v>
      </c>
      <c r="B78">
        <v>1000000034</v>
      </c>
      <c r="C78" t="s">
        <v>23</v>
      </c>
      <c r="D78">
        <v>2</v>
      </c>
      <c r="E78">
        <v>36001.15</v>
      </c>
      <c r="F78" t="s">
        <v>16</v>
      </c>
      <c r="G78" t="s">
        <v>24</v>
      </c>
      <c r="H78" t="s">
        <v>18</v>
      </c>
      <c r="I78" t="s">
        <v>25</v>
      </c>
      <c r="J78" t="s">
        <v>26</v>
      </c>
      <c r="K78" t="s">
        <v>27</v>
      </c>
      <c r="L78" t="s">
        <v>22</v>
      </c>
      <c r="M78">
        <v>18000.575000000001</v>
      </c>
      <c r="N78">
        <v>2020</v>
      </c>
      <c r="O78">
        <v>4</v>
      </c>
    </row>
    <row r="79" spans="1:15" x14ac:dyDescent="0.3">
      <c r="A79" s="1">
        <v>43927</v>
      </c>
      <c r="B79">
        <v>1000000031</v>
      </c>
      <c r="C79" t="s">
        <v>42</v>
      </c>
      <c r="D79">
        <v>1</v>
      </c>
      <c r="E79">
        <v>25000.42</v>
      </c>
      <c r="F79" t="s">
        <v>16</v>
      </c>
      <c r="G79" t="s">
        <v>43</v>
      </c>
      <c r="H79" t="s">
        <v>18</v>
      </c>
      <c r="I79" t="s">
        <v>19</v>
      </c>
      <c r="J79" t="s">
        <v>26</v>
      </c>
      <c r="K79" t="s">
        <v>29</v>
      </c>
      <c r="L79" t="s">
        <v>28</v>
      </c>
      <c r="M79">
        <v>25000.42</v>
      </c>
      <c r="N79">
        <v>2020</v>
      </c>
      <c r="O79">
        <v>4</v>
      </c>
    </row>
    <row r="80" spans="1:15" x14ac:dyDescent="0.3">
      <c r="A80" s="1">
        <v>43927</v>
      </c>
      <c r="B80">
        <v>1000000057</v>
      </c>
      <c r="C80" t="s">
        <v>15</v>
      </c>
      <c r="D80">
        <v>2</v>
      </c>
      <c r="E80">
        <v>23000.79</v>
      </c>
      <c r="F80" t="s">
        <v>16</v>
      </c>
      <c r="G80" t="s">
        <v>17</v>
      </c>
      <c r="H80" t="s">
        <v>18</v>
      </c>
      <c r="I80" t="s">
        <v>34</v>
      </c>
      <c r="J80" t="s">
        <v>20</v>
      </c>
      <c r="K80" t="s">
        <v>44</v>
      </c>
      <c r="L80" t="s">
        <v>22</v>
      </c>
      <c r="M80">
        <v>11500.395</v>
      </c>
      <c r="N80">
        <v>2020</v>
      </c>
      <c r="O80">
        <v>4</v>
      </c>
    </row>
    <row r="81" spans="1:15" x14ac:dyDescent="0.3">
      <c r="A81" s="1">
        <v>43927</v>
      </c>
      <c r="B81">
        <v>1000000046</v>
      </c>
      <c r="C81" t="s">
        <v>15</v>
      </c>
      <c r="D81">
        <v>1</v>
      </c>
      <c r="E81">
        <v>20000.650000000001</v>
      </c>
      <c r="F81" t="s">
        <v>16</v>
      </c>
      <c r="G81" t="s">
        <v>17</v>
      </c>
      <c r="H81" t="s">
        <v>30</v>
      </c>
      <c r="I81" t="s">
        <v>38</v>
      </c>
      <c r="J81" t="s">
        <v>26</v>
      </c>
      <c r="K81" t="s">
        <v>39</v>
      </c>
      <c r="L81" t="s">
        <v>22</v>
      </c>
      <c r="M81">
        <v>20000.650000000001</v>
      </c>
      <c r="N81">
        <v>2020</v>
      </c>
      <c r="O81">
        <v>4</v>
      </c>
    </row>
    <row r="82" spans="1:15" x14ac:dyDescent="0.3">
      <c r="A82" s="1">
        <v>43927</v>
      </c>
      <c r="B82">
        <v>1000000029</v>
      </c>
      <c r="C82" t="s">
        <v>23</v>
      </c>
      <c r="D82">
        <v>1</v>
      </c>
      <c r="E82">
        <v>20000.55</v>
      </c>
      <c r="F82" t="s">
        <v>16</v>
      </c>
      <c r="G82" t="s">
        <v>24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20000.55</v>
      </c>
      <c r="N82">
        <v>2020</v>
      </c>
      <c r="O82">
        <v>4</v>
      </c>
    </row>
    <row r="83" spans="1:15" x14ac:dyDescent="0.3">
      <c r="A83" s="1">
        <v>43927</v>
      </c>
      <c r="B83">
        <v>1000000049</v>
      </c>
      <c r="C83" t="s">
        <v>42</v>
      </c>
      <c r="D83">
        <v>1</v>
      </c>
      <c r="E83">
        <v>20000.23</v>
      </c>
      <c r="F83" t="s">
        <v>16</v>
      </c>
      <c r="G83" t="s">
        <v>43</v>
      </c>
      <c r="H83" t="s">
        <v>18</v>
      </c>
      <c r="I83" t="s">
        <v>40</v>
      </c>
      <c r="J83" t="s">
        <v>26</v>
      </c>
      <c r="K83" t="s">
        <v>41</v>
      </c>
      <c r="L83" t="s">
        <v>22</v>
      </c>
      <c r="M83">
        <v>20000.23</v>
      </c>
      <c r="N83">
        <v>2020</v>
      </c>
      <c r="O83">
        <v>4</v>
      </c>
    </row>
    <row r="84" spans="1:15" x14ac:dyDescent="0.3">
      <c r="A84" s="1">
        <v>43927</v>
      </c>
      <c r="B84">
        <v>1000000031</v>
      </c>
      <c r="C84" t="s">
        <v>15</v>
      </c>
      <c r="D84">
        <v>1</v>
      </c>
      <c r="E84">
        <v>20000.11</v>
      </c>
      <c r="F84" t="s">
        <v>16</v>
      </c>
      <c r="G84" t="s">
        <v>17</v>
      </c>
      <c r="H84" t="s">
        <v>18</v>
      </c>
      <c r="I84" t="s">
        <v>19</v>
      </c>
      <c r="J84" t="s">
        <v>26</v>
      </c>
      <c r="K84" t="s">
        <v>29</v>
      </c>
      <c r="L84" t="s">
        <v>28</v>
      </c>
      <c r="M84">
        <v>20000.11</v>
      </c>
      <c r="N84">
        <v>2020</v>
      </c>
      <c r="O84">
        <v>4</v>
      </c>
    </row>
    <row r="85" spans="1:15" x14ac:dyDescent="0.3">
      <c r="A85" s="1">
        <v>43927</v>
      </c>
      <c r="B85">
        <v>1000000033</v>
      </c>
      <c r="C85" t="s">
        <v>23</v>
      </c>
      <c r="D85">
        <v>1</v>
      </c>
      <c r="E85">
        <v>20000.080000000002</v>
      </c>
      <c r="F85" t="s">
        <v>16</v>
      </c>
      <c r="G85" t="s">
        <v>24</v>
      </c>
      <c r="H85" t="s">
        <v>18</v>
      </c>
      <c r="I85" t="s">
        <v>25</v>
      </c>
      <c r="J85" t="s">
        <v>26</v>
      </c>
      <c r="K85" t="s">
        <v>27</v>
      </c>
      <c r="L85" t="s">
        <v>22</v>
      </c>
      <c r="M85">
        <v>20000.080000000002</v>
      </c>
      <c r="N85">
        <v>2020</v>
      </c>
      <c r="O85">
        <v>4</v>
      </c>
    </row>
    <row r="86" spans="1:15" x14ac:dyDescent="0.3">
      <c r="A86" s="1">
        <v>43927</v>
      </c>
      <c r="B86">
        <v>1000000050</v>
      </c>
      <c r="C86" t="s">
        <v>15</v>
      </c>
      <c r="D86">
        <v>1</v>
      </c>
      <c r="E86">
        <v>20000</v>
      </c>
      <c r="F86" t="s">
        <v>16</v>
      </c>
      <c r="G86" t="s">
        <v>17</v>
      </c>
      <c r="H86" t="s">
        <v>18</v>
      </c>
      <c r="I86" t="s">
        <v>40</v>
      </c>
      <c r="J86" t="s">
        <v>26</v>
      </c>
      <c r="K86" t="s">
        <v>41</v>
      </c>
      <c r="L86" t="s">
        <v>22</v>
      </c>
      <c r="M86">
        <v>20000</v>
      </c>
      <c r="N86">
        <v>2020</v>
      </c>
      <c r="O86">
        <v>4</v>
      </c>
    </row>
    <row r="87" spans="1:15" x14ac:dyDescent="0.3">
      <c r="A87" s="1">
        <v>43927</v>
      </c>
      <c r="B87">
        <v>1000000049</v>
      </c>
      <c r="C87" t="s">
        <v>15</v>
      </c>
      <c r="D87">
        <v>1</v>
      </c>
      <c r="E87">
        <v>18000.03</v>
      </c>
      <c r="F87" t="s">
        <v>16</v>
      </c>
      <c r="G87" t="s">
        <v>17</v>
      </c>
      <c r="H87" t="s">
        <v>18</v>
      </c>
      <c r="I87" t="s">
        <v>40</v>
      </c>
      <c r="J87" t="s">
        <v>26</v>
      </c>
      <c r="K87" t="s">
        <v>41</v>
      </c>
      <c r="L87" t="s">
        <v>22</v>
      </c>
      <c r="M87">
        <v>18000.03</v>
      </c>
      <c r="N87">
        <v>2020</v>
      </c>
      <c r="O87">
        <v>4</v>
      </c>
    </row>
    <row r="88" spans="1:15" x14ac:dyDescent="0.3">
      <c r="A88" s="1">
        <v>43927</v>
      </c>
      <c r="B88">
        <v>1000000028</v>
      </c>
      <c r="C88" t="s">
        <v>42</v>
      </c>
      <c r="D88">
        <v>1</v>
      </c>
      <c r="E88">
        <v>15000.25</v>
      </c>
      <c r="F88" t="s">
        <v>16</v>
      </c>
      <c r="G88" t="s">
        <v>43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15000.25</v>
      </c>
      <c r="N88">
        <v>2020</v>
      </c>
      <c r="O88">
        <v>4</v>
      </c>
    </row>
    <row r="89" spans="1:15" x14ac:dyDescent="0.3">
      <c r="A89" s="1">
        <v>43927</v>
      </c>
      <c r="B89">
        <v>1000000039</v>
      </c>
      <c r="C89" t="s">
        <v>15</v>
      </c>
      <c r="D89">
        <v>1</v>
      </c>
      <c r="E89">
        <v>10000.709999999999</v>
      </c>
      <c r="F89" t="s">
        <v>16</v>
      </c>
      <c r="G89" t="s">
        <v>17</v>
      </c>
      <c r="H89" t="s">
        <v>18</v>
      </c>
      <c r="I89" t="s">
        <v>25</v>
      </c>
      <c r="J89" t="s">
        <v>20</v>
      </c>
      <c r="K89" t="s">
        <v>51</v>
      </c>
      <c r="L89" t="s">
        <v>28</v>
      </c>
      <c r="M89">
        <v>10000.709999999999</v>
      </c>
      <c r="N89">
        <v>2020</v>
      </c>
      <c r="O89">
        <v>4</v>
      </c>
    </row>
    <row r="90" spans="1:15" x14ac:dyDescent="0.3">
      <c r="A90" s="1">
        <v>43927</v>
      </c>
      <c r="B90">
        <v>1000000566</v>
      </c>
      <c r="C90" t="s">
        <v>15</v>
      </c>
      <c r="D90">
        <v>1</v>
      </c>
      <c r="E90">
        <v>10000.69</v>
      </c>
      <c r="F90" t="s">
        <v>16</v>
      </c>
      <c r="G90" t="s">
        <v>17</v>
      </c>
      <c r="H90" t="s">
        <v>47</v>
      </c>
      <c r="I90" t="s">
        <v>48</v>
      </c>
      <c r="J90" t="s">
        <v>36</v>
      </c>
      <c r="K90" t="s">
        <v>49</v>
      </c>
      <c r="L90" t="s">
        <v>22</v>
      </c>
      <c r="M90">
        <v>10000.69</v>
      </c>
      <c r="N90">
        <v>2020</v>
      </c>
      <c r="O90">
        <v>4</v>
      </c>
    </row>
    <row r="91" spans="1:15" x14ac:dyDescent="0.3">
      <c r="A91" s="1">
        <v>43927</v>
      </c>
      <c r="B91">
        <v>1000000034</v>
      </c>
      <c r="C91" t="s">
        <v>15</v>
      </c>
      <c r="D91">
        <v>1</v>
      </c>
      <c r="E91">
        <v>10000.52</v>
      </c>
      <c r="F91" t="s">
        <v>16</v>
      </c>
      <c r="G91" t="s">
        <v>17</v>
      </c>
      <c r="H91" t="s">
        <v>18</v>
      </c>
      <c r="I91" t="s">
        <v>25</v>
      </c>
      <c r="J91" t="s">
        <v>26</v>
      </c>
      <c r="K91" t="s">
        <v>27</v>
      </c>
      <c r="L91" t="s">
        <v>22</v>
      </c>
      <c r="M91">
        <v>10000.52</v>
      </c>
      <c r="N91">
        <v>2020</v>
      </c>
      <c r="O91">
        <v>4</v>
      </c>
    </row>
    <row r="92" spans="1:15" x14ac:dyDescent="0.3">
      <c r="A92" s="1">
        <v>43927</v>
      </c>
      <c r="B92">
        <v>1000000043</v>
      </c>
      <c r="C92" t="s">
        <v>15</v>
      </c>
      <c r="D92">
        <v>1</v>
      </c>
      <c r="E92">
        <v>10000.27</v>
      </c>
      <c r="F92" t="s">
        <v>16</v>
      </c>
      <c r="G92" t="s">
        <v>17</v>
      </c>
      <c r="H92" t="s">
        <v>30</v>
      </c>
      <c r="I92" t="s">
        <v>38</v>
      </c>
      <c r="J92" t="s">
        <v>26</v>
      </c>
      <c r="K92" t="s">
        <v>39</v>
      </c>
      <c r="L92" t="s">
        <v>22</v>
      </c>
      <c r="M92">
        <v>10000.27</v>
      </c>
      <c r="N92">
        <v>2020</v>
      </c>
      <c r="O92">
        <v>4</v>
      </c>
    </row>
    <row r="93" spans="1:15" x14ac:dyDescent="0.3">
      <c r="A93" s="1">
        <v>43927</v>
      </c>
      <c r="B93">
        <v>1000000576</v>
      </c>
      <c r="C93" t="s">
        <v>15</v>
      </c>
      <c r="D93">
        <v>1</v>
      </c>
      <c r="E93">
        <v>10000.18</v>
      </c>
      <c r="F93" t="s">
        <v>16</v>
      </c>
      <c r="G93" t="s">
        <v>17</v>
      </c>
      <c r="H93" t="s">
        <v>18</v>
      </c>
      <c r="I93" t="s">
        <v>25</v>
      </c>
      <c r="J93" t="s">
        <v>36</v>
      </c>
      <c r="K93" t="s">
        <v>37</v>
      </c>
      <c r="L93" t="s">
        <v>22</v>
      </c>
      <c r="M93">
        <v>10000.18</v>
      </c>
      <c r="N93">
        <v>2020</v>
      </c>
      <c r="O93">
        <v>4</v>
      </c>
    </row>
    <row r="94" spans="1:15" x14ac:dyDescent="0.3">
      <c r="A94" s="1">
        <v>43927</v>
      </c>
      <c r="B94">
        <v>1000000043</v>
      </c>
      <c r="C94" t="s">
        <v>23</v>
      </c>
      <c r="D94">
        <v>1</v>
      </c>
      <c r="E94">
        <v>8000.27</v>
      </c>
      <c r="F94" t="s">
        <v>16</v>
      </c>
      <c r="G94" t="s">
        <v>24</v>
      </c>
      <c r="H94" t="s">
        <v>30</v>
      </c>
      <c r="I94" t="s">
        <v>38</v>
      </c>
      <c r="J94" t="s">
        <v>26</v>
      </c>
      <c r="K94" t="s">
        <v>39</v>
      </c>
      <c r="L94" t="s">
        <v>22</v>
      </c>
      <c r="M94">
        <v>8000.27</v>
      </c>
      <c r="N94">
        <v>2020</v>
      </c>
      <c r="O94">
        <v>4</v>
      </c>
    </row>
    <row r="95" spans="1:15" x14ac:dyDescent="0.3">
      <c r="A95" s="1">
        <v>43927</v>
      </c>
      <c r="B95">
        <v>1000000036</v>
      </c>
      <c r="C95" t="s">
        <v>23</v>
      </c>
      <c r="D95">
        <v>1</v>
      </c>
      <c r="E95">
        <v>5000.37</v>
      </c>
      <c r="F95" t="s">
        <v>16</v>
      </c>
      <c r="G95" t="s">
        <v>24</v>
      </c>
      <c r="H95" t="s">
        <v>47</v>
      </c>
      <c r="I95" t="s">
        <v>48</v>
      </c>
      <c r="J95" t="s">
        <v>36</v>
      </c>
      <c r="K95" t="s">
        <v>49</v>
      </c>
      <c r="L95" t="s">
        <v>28</v>
      </c>
      <c r="M95">
        <v>5000.37</v>
      </c>
      <c r="N95">
        <v>2020</v>
      </c>
      <c r="O95">
        <v>4</v>
      </c>
    </row>
    <row r="96" spans="1:15" x14ac:dyDescent="0.3">
      <c r="A96" s="1">
        <v>43927</v>
      </c>
      <c r="B96">
        <v>1000000044</v>
      </c>
      <c r="C96" t="s">
        <v>54</v>
      </c>
      <c r="D96">
        <v>1</v>
      </c>
      <c r="E96">
        <v>439.62</v>
      </c>
      <c r="F96" t="s">
        <v>46</v>
      </c>
      <c r="G96" t="s">
        <v>24</v>
      </c>
      <c r="H96" t="s">
        <v>30</v>
      </c>
      <c r="I96" t="s">
        <v>31</v>
      </c>
      <c r="J96" t="s">
        <v>36</v>
      </c>
      <c r="K96" t="s">
        <v>52</v>
      </c>
      <c r="L96" t="s">
        <v>28</v>
      </c>
      <c r="M96">
        <v>439.62</v>
      </c>
      <c r="N96">
        <v>2020</v>
      </c>
      <c r="O96">
        <v>4</v>
      </c>
    </row>
    <row r="97" spans="1:15" x14ac:dyDescent="0.3">
      <c r="A97" s="1">
        <v>43928</v>
      </c>
      <c r="B97">
        <v>1000000576</v>
      </c>
      <c r="C97" t="s">
        <v>42</v>
      </c>
      <c r="D97">
        <v>2</v>
      </c>
      <c r="E97">
        <v>37000.879999999997</v>
      </c>
      <c r="F97" t="s">
        <v>16</v>
      </c>
      <c r="G97" t="s">
        <v>43</v>
      </c>
      <c r="H97" t="s">
        <v>18</v>
      </c>
      <c r="I97" t="s">
        <v>25</v>
      </c>
      <c r="J97" t="s">
        <v>36</v>
      </c>
      <c r="K97" t="s">
        <v>37</v>
      </c>
      <c r="L97" t="s">
        <v>22</v>
      </c>
      <c r="M97">
        <v>18500.439999999999</v>
      </c>
      <c r="N97">
        <v>2020</v>
      </c>
      <c r="O97">
        <v>4</v>
      </c>
    </row>
    <row r="98" spans="1:15" x14ac:dyDescent="0.3">
      <c r="A98" s="1">
        <v>43928</v>
      </c>
      <c r="B98">
        <v>1000000576</v>
      </c>
      <c r="C98" t="s">
        <v>15</v>
      </c>
      <c r="D98">
        <v>1</v>
      </c>
      <c r="E98">
        <v>22000.65</v>
      </c>
      <c r="F98" t="s">
        <v>16</v>
      </c>
      <c r="G98" t="s">
        <v>17</v>
      </c>
      <c r="H98" t="s">
        <v>18</v>
      </c>
      <c r="I98" t="s">
        <v>25</v>
      </c>
      <c r="J98" t="s">
        <v>36</v>
      </c>
      <c r="K98" t="s">
        <v>37</v>
      </c>
      <c r="L98" t="s">
        <v>22</v>
      </c>
      <c r="M98">
        <v>22000.65</v>
      </c>
      <c r="N98">
        <v>2020</v>
      </c>
      <c r="O98">
        <v>4</v>
      </c>
    </row>
    <row r="99" spans="1:15" x14ac:dyDescent="0.3">
      <c r="A99" s="1">
        <v>43928</v>
      </c>
      <c r="B99">
        <v>1000000041</v>
      </c>
      <c r="C99" t="s">
        <v>42</v>
      </c>
      <c r="D99">
        <v>1</v>
      </c>
      <c r="E99">
        <v>22000.52</v>
      </c>
      <c r="F99" t="s">
        <v>16</v>
      </c>
      <c r="G99" t="s">
        <v>43</v>
      </c>
      <c r="H99" t="s">
        <v>30</v>
      </c>
      <c r="I99" t="s">
        <v>31</v>
      </c>
      <c r="J99" t="s">
        <v>32</v>
      </c>
      <c r="K99" t="s">
        <v>33</v>
      </c>
      <c r="L99" t="s">
        <v>22</v>
      </c>
      <c r="M99">
        <v>22000.52</v>
      </c>
      <c r="N99">
        <v>2020</v>
      </c>
      <c r="O99">
        <v>4</v>
      </c>
    </row>
    <row r="100" spans="1:15" x14ac:dyDescent="0.3">
      <c r="A100" s="1">
        <v>43928</v>
      </c>
      <c r="B100">
        <v>1000000057</v>
      </c>
      <c r="C100" t="s">
        <v>15</v>
      </c>
      <c r="D100">
        <v>1</v>
      </c>
      <c r="E100">
        <v>20000.7</v>
      </c>
      <c r="F100" t="s">
        <v>16</v>
      </c>
      <c r="G100" t="s">
        <v>17</v>
      </c>
      <c r="H100" t="s">
        <v>18</v>
      </c>
      <c r="I100" t="s">
        <v>34</v>
      </c>
      <c r="J100" t="s">
        <v>20</v>
      </c>
      <c r="K100" t="s">
        <v>44</v>
      </c>
      <c r="L100" t="s">
        <v>22</v>
      </c>
      <c r="M100">
        <v>20000.7</v>
      </c>
      <c r="N100">
        <v>2020</v>
      </c>
      <c r="O100">
        <v>4</v>
      </c>
    </row>
    <row r="101" spans="1:15" x14ac:dyDescent="0.3">
      <c r="A101" s="1">
        <v>43928</v>
      </c>
      <c r="B101">
        <v>1000000044</v>
      </c>
      <c r="C101" t="s">
        <v>42</v>
      </c>
      <c r="D101">
        <v>1</v>
      </c>
      <c r="E101">
        <v>20000.57</v>
      </c>
      <c r="F101" t="s">
        <v>16</v>
      </c>
      <c r="G101" t="s">
        <v>43</v>
      </c>
      <c r="H101" t="s">
        <v>30</v>
      </c>
      <c r="I101" t="s">
        <v>31</v>
      </c>
      <c r="J101" t="s">
        <v>36</v>
      </c>
      <c r="K101" t="s">
        <v>52</v>
      </c>
      <c r="L101" t="s">
        <v>28</v>
      </c>
      <c r="M101">
        <v>20000.57</v>
      </c>
      <c r="N101">
        <v>2020</v>
      </c>
      <c r="O101">
        <v>4</v>
      </c>
    </row>
    <row r="102" spans="1:15" x14ac:dyDescent="0.3">
      <c r="A102" s="1">
        <v>43928</v>
      </c>
      <c r="B102">
        <v>1000000036</v>
      </c>
      <c r="C102" t="s">
        <v>42</v>
      </c>
      <c r="D102">
        <v>1</v>
      </c>
      <c r="E102">
        <v>20000.490000000002</v>
      </c>
      <c r="F102" t="s">
        <v>16</v>
      </c>
      <c r="G102" t="s">
        <v>43</v>
      </c>
      <c r="H102" t="s">
        <v>47</v>
      </c>
      <c r="I102" t="s">
        <v>48</v>
      </c>
      <c r="J102" t="s">
        <v>36</v>
      </c>
      <c r="K102" t="s">
        <v>49</v>
      </c>
      <c r="L102" t="s">
        <v>28</v>
      </c>
      <c r="M102">
        <v>20000.490000000002</v>
      </c>
      <c r="N102">
        <v>2020</v>
      </c>
      <c r="O102">
        <v>4</v>
      </c>
    </row>
    <row r="103" spans="1:15" x14ac:dyDescent="0.3">
      <c r="A103" s="1">
        <v>43928</v>
      </c>
      <c r="B103">
        <v>1000000068</v>
      </c>
      <c r="C103" t="s">
        <v>42</v>
      </c>
      <c r="D103">
        <v>1</v>
      </c>
      <c r="E103">
        <v>20000.48</v>
      </c>
      <c r="F103" t="s">
        <v>16</v>
      </c>
      <c r="G103" t="s">
        <v>43</v>
      </c>
      <c r="H103" t="s">
        <v>30</v>
      </c>
      <c r="I103" t="s">
        <v>55</v>
      </c>
      <c r="J103" t="s">
        <v>26</v>
      </c>
      <c r="K103" t="s">
        <v>56</v>
      </c>
      <c r="L103" t="s">
        <v>28</v>
      </c>
      <c r="M103">
        <v>20000.48</v>
      </c>
      <c r="N103">
        <v>2020</v>
      </c>
      <c r="O103">
        <v>4</v>
      </c>
    </row>
    <row r="104" spans="1:15" x14ac:dyDescent="0.3">
      <c r="A104" s="1">
        <v>43928</v>
      </c>
      <c r="B104">
        <v>1000000031</v>
      </c>
      <c r="C104" t="s">
        <v>42</v>
      </c>
      <c r="D104">
        <v>1</v>
      </c>
      <c r="E104">
        <v>20000.12</v>
      </c>
      <c r="F104" t="s">
        <v>16</v>
      </c>
      <c r="G104" t="s">
        <v>43</v>
      </c>
      <c r="H104" t="s">
        <v>18</v>
      </c>
      <c r="I104" t="s">
        <v>19</v>
      </c>
      <c r="J104" t="s">
        <v>26</v>
      </c>
      <c r="K104" t="s">
        <v>29</v>
      </c>
      <c r="L104" t="s">
        <v>28</v>
      </c>
      <c r="M104">
        <v>20000.12</v>
      </c>
      <c r="N104">
        <v>2020</v>
      </c>
      <c r="O104">
        <v>4</v>
      </c>
    </row>
    <row r="105" spans="1:15" x14ac:dyDescent="0.3">
      <c r="A105" s="1">
        <v>43928</v>
      </c>
      <c r="B105">
        <v>1000000039</v>
      </c>
      <c r="C105" t="s">
        <v>42</v>
      </c>
      <c r="D105">
        <v>1</v>
      </c>
      <c r="E105">
        <v>19999.939999999999</v>
      </c>
      <c r="F105" t="s">
        <v>16</v>
      </c>
      <c r="G105" t="s">
        <v>43</v>
      </c>
      <c r="H105" t="s">
        <v>18</v>
      </c>
      <c r="I105" t="s">
        <v>25</v>
      </c>
      <c r="J105" t="s">
        <v>20</v>
      </c>
      <c r="K105" t="s">
        <v>51</v>
      </c>
      <c r="L105" t="s">
        <v>28</v>
      </c>
      <c r="M105">
        <v>19999.939999999999</v>
      </c>
      <c r="N105">
        <v>2020</v>
      </c>
      <c r="O105">
        <v>4</v>
      </c>
    </row>
    <row r="106" spans="1:15" x14ac:dyDescent="0.3">
      <c r="A106" s="1">
        <v>43928</v>
      </c>
      <c r="B106">
        <v>1000000034</v>
      </c>
      <c r="C106" t="s">
        <v>15</v>
      </c>
      <c r="D106">
        <v>1</v>
      </c>
      <c r="E106">
        <v>18000.55</v>
      </c>
      <c r="F106" t="s">
        <v>16</v>
      </c>
      <c r="G106" t="s">
        <v>17</v>
      </c>
      <c r="H106" t="s">
        <v>18</v>
      </c>
      <c r="I106" t="s">
        <v>25</v>
      </c>
      <c r="J106" t="s">
        <v>26</v>
      </c>
      <c r="K106" t="s">
        <v>27</v>
      </c>
      <c r="L106" t="s">
        <v>22</v>
      </c>
      <c r="M106">
        <v>18000.55</v>
      </c>
      <c r="N106">
        <v>2020</v>
      </c>
      <c r="O106">
        <v>4</v>
      </c>
    </row>
    <row r="107" spans="1:15" x14ac:dyDescent="0.3">
      <c r="A107" s="1">
        <v>43928</v>
      </c>
      <c r="B107">
        <v>1000000030</v>
      </c>
      <c r="C107" t="s">
        <v>23</v>
      </c>
      <c r="D107">
        <v>1</v>
      </c>
      <c r="E107">
        <v>18000.150000000001</v>
      </c>
      <c r="F107" t="s">
        <v>16</v>
      </c>
      <c r="G107" t="s">
        <v>24</v>
      </c>
      <c r="H107" t="s">
        <v>47</v>
      </c>
      <c r="I107" t="s">
        <v>48</v>
      </c>
      <c r="J107" t="s">
        <v>36</v>
      </c>
      <c r="K107" t="s">
        <v>49</v>
      </c>
      <c r="L107" t="s">
        <v>22</v>
      </c>
      <c r="M107">
        <v>18000.150000000001</v>
      </c>
      <c r="N107">
        <v>2020</v>
      </c>
      <c r="O107">
        <v>4</v>
      </c>
    </row>
    <row r="108" spans="1:15" x14ac:dyDescent="0.3">
      <c r="A108" s="1">
        <v>43928</v>
      </c>
      <c r="B108">
        <v>1000000049</v>
      </c>
      <c r="C108" t="s">
        <v>23</v>
      </c>
      <c r="D108">
        <v>2</v>
      </c>
      <c r="E108">
        <v>15000.189999999999</v>
      </c>
      <c r="F108" t="s">
        <v>16</v>
      </c>
      <c r="G108" t="s">
        <v>24</v>
      </c>
      <c r="H108" t="s">
        <v>18</v>
      </c>
      <c r="I108" t="s">
        <v>40</v>
      </c>
      <c r="J108" t="s">
        <v>26</v>
      </c>
      <c r="K108" t="s">
        <v>41</v>
      </c>
      <c r="L108" t="s">
        <v>22</v>
      </c>
      <c r="M108">
        <v>7500.0950000000003</v>
      </c>
      <c r="N108">
        <v>2020</v>
      </c>
      <c r="O108">
        <v>4</v>
      </c>
    </row>
    <row r="109" spans="1:15" x14ac:dyDescent="0.3">
      <c r="A109" s="1">
        <v>43928</v>
      </c>
      <c r="B109">
        <v>1000000049</v>
      </c>
      <c r="C109" t="s">
        <v>15</v>
      </c>
      <c r="D109">
        <v>1</v>
      </c>
      <c r="E109">
        <v>10000.1</v>
      </c>
      <c r="F109" t="s">
        <v>16</v>
      </c>
      <c r="G109" t="s">
        <v>17</v>
      </c>
      <c r="H109" t="s">
        <v>18</v>
      </c>
      <c r="I109" t="s">
        <v>40</v>
      </c>
      <c r="J109" t="s">
        <v>26</v>
      </c>
      <c r="K109" t="s">
        <v>41</v>
      </c>
      <c r="L109" t="s">
        <v>22</v>
      </c>
      <c r="M109">
        <v>10000.1</v>
      </c>
      <c r="N109">
        <v>2020</v>
      </c>
      <c r="O109">
        <v>4</v>
      </c>
    </row>
    <row r="110" spans="1:15" x14ac:dyDescent="0.3">
      <c r="A110" s="1">
        <v>43928</v>
      </c>
      <c r="B110">
        <v>1000000576</v>
      </c>
      <c r="C110" t="s">
        <v>23</v>
      </c>
      <c r="D110">
        <v>1</v>
      </c>
      <c r="E110">
        <v>5000.62</v>
      </c>
      <c r="F110" t="s">
        <v>16</v>
      </c>
      <c r="G110" t="s">
        <v>24</v>
      </c>
      <c r="H110" t="s">
        <v>18</v>
      </c>
      <c r="I110" t="s">
        <v>25</v>
      </c>
      <c r="J110" t="s">
        <v>36</v>
      </c>
      <c r="K110" t="s">
        <v>37</v>
      </c>
      <c r="L110" t="s">
        <v>22</v>
      </c>
      <c r="M110">
        <v>5000.62</v>
      </c>
      <c r="N110">
        <v>2020</v>
      </c>
      <c r="O110">
        <v>4</v>
      </c>
    </row>
    <row r="111" spans="1:15" x14ac:dyDescent="0.3">
      <c r="A111" s="1">
        <v>43928</v>
      </c>
      <c r="B111">
        <v>1000000046</v>
      </c>
      <c r="C111" t="s">
        <v>23</v>
      </c>
      <c r="D111">
        <v>1</v>
      </c>
      <c r="E111">
        <v>5000.43</v>
      </c>
      <c r="F111" t="s">
        <v>16</v>
      </c>
      <c r="G111" t="s">
        <v>24</v>
      </c>
      <c r="H111" t="s">
        <v>30</v>
      </c>
      <c r="I111" t="s">
        <v>38</v>
      </c>
      <c r="J111" t="s">
        <v>26</v>
      </c>
      <c r="K111" t="s">
        <v>39</v>
      </c>
      <c r="L111" t="s">
        <v>22</v>
      </c>
      <c r="M111">
        <v>5000.43</v>
      </c>
      <c r="N111">
        <v>2020</v>
      </c>
      <c r="O111">
        <v>4</v>
      </c>
    </row>
    <row r="112" spans="1:15" x14ac:dyDescent="0.3">
      <c r="A112" s="1">
        <v>43928</v>
      </c>
      <c r="B112">
        <v>1000000046</v>
      </c>
      <c r="C112" t="s">
        <v>15</v>
      </c>
      <c r="D112">
        <v>1</v>
      </c>
      <c r="E112">
        <v>5000.43</v>
      </c>
      <c r="F112" t="s">
        <v>16</v>
      </c>
      <c r="G112" t="s">
        <v>17</v>
      </c>
      <c r="H112" t="s">
        <v>30</v>
      </c>
      <c r="I112" t="s">
        <v>38</v>
      </c>
      <c r="J112" t="s">
        <v>26</v>
      </c>
      <c r="K112" t="s">
        <v>39</v>
      </c>
      <c r="L112" t="s">
        <v>22</v>
      </c>
      <c r="M112">
        <v>5000.43</v>
      </c>
      <c r="N112">
        <v>2020</v>
      </c>
      <c r="O112">
        <v>4</v>
      </c>
    </row>
    <row r="113" spans="1:15" x14ac:dyDescent="0.3">
      <c r="A113" s="1">
        <v>43928</v>
      </c>
      <c r="B113">
        <v>1000000052</v>
      </c>
      <c r="C113" t="s">
        <v>23</v>
      </c>
      <c r="D113">
        <v>1</v>
      </c>
      <c r="E113">
        <v>5000.3599999999997</v>
      </c>
      <c r="F113" t="s">
        <v>16</v>
      </c>
      <c r="G113" t="s">
        <v>24</v>
      </c>
      <c r="H113" t="s">
        <v>18</v>
      </c>
      <c r="I113" t="s">
        <v>34</v>
      </c>
      <c r="J113" t="s">
        <v>20</v>
      </c>
      <c r="K113" t="s">
        <v>44</v>
      </c>
      <c r="L113" t="s">
        <v>22</v>
      </c>
      <c r="M113">
        <v>5000.3599999999997</v>
      </c>
      <c r="N113">
        <v>2020</v>
      </c>
      <c r="O113">
        <v>4</v>
      </c>
    </row>
    <row r="114" spans="1:15" x14ac:dyDescent="0.3">
      <c r="A114" s="1">
        <v>43928</v>
      </c>
      <c r="B114">
        <v>1000000051</v>
      </c>
      <c r="C114" t="s">
        <v>15</v>
      </c>
      <c r="D114">
        <v>1</v>
      </c>
      <c r="E114">
        <v>1999.97</v>
      </c>
      <c r="F114" t="s">
        <v>16</v>
      </c>
      <c r="G114" t="s">
        <v>17</v>
      </c>
      <c r="H114" t="s">
        <v>18</v>
      </c>
      <c r="I114" t="s">
        <v>34</v>
      </c>
      <c r="J114" t="s">
        <v>20</v>
      </c>
      <c r="K114" t="s">
        <v>44</v>
      </c>
      <c r="L114" t="s">
        <v>22</v>
      </c>
      <c r="M114">
        <v>1999.97</v>
      </c>
      <c r="N114">
        <v>2020</v>
      </c>
      <c r="O114">
        <v>4</v>
      </c>
    </row>
    <row r="115" spans="1:15" x14ac:dyDescent="0.3">
      <c r="A115" s="1">
        <v>43928</v>
      </c>
      <c r="B115">
        <v>1000000036</v>
      </c>
      <c r="C115" t="s">
        <v>23</v>
      </c>
      <c r="D115">
        <v>1</v>
      </c>
      <c r="E115">
        <v>1500.49</v>
      </c>
      <c r="F115" t="s">
        <v>16</v>
      </c>
      <c r="G115" t="s">
        <v>24</v>
      </c>
      <c r="H115" t="s">
        <v>47</v>
      </c>
      <c r="I115" t="s">
        <v>48</v>
      </c>
      <c r="J115" t="s">
        <v>36</v>
      </c>
      <c r="K115" t="s">
        <v>49</v>
      </c>
      <c r="L115" t="s">
        <v>28</v>
      </c>
      <c r="M115">
        <v>1500.49</v>
      </c>
      <c r="N115">
        <v>2020</v>
      </c>
      <c r="O115">
        <v>4</v>
      </c>
    </row>
    <row r="116" spans="1:15" x14ac:dyDescent="0.3">
      <c r="A116" s="1">
        <v>43929</v>
      </c>
      <c r="B116">
        <v>1000000044</v>
      </c>
      <c r="C116" t="s">
        <v>15</v>
      </c>
      <c r="D116">
        <v>3</v>
      </c>
      <c r="E116">
        <v>60000.91</v>
      </c>
      <c r="F116" t="s">
        <v>16</v>
      </c>
      <c r="G116" t="s">
        <v>17</v>
      </c>
      <c r="H116" t="s">
        <v>30</v>
      </c>
      <c r="I116" t="s">
        <v>31</v>
      </c>
      <c r="J116" t="s">
        <v>36</v>
      </c>
      <c r="K116" t="s">
        <v>52</v>
      </c>
      <c r="L116" t="s">
        <v>28</v>
      </c>
      <c r="M116">
        <v>20000.303333333333</v>
      </c>
      <c r="N116">
        <v>2020</v>
      </c>
      <c r="O116">
        <v>4</v>
      </c>
    </row>
    <row r="117" spans="1:15" x14ac:dyDescent="0.3">
      <c r="A117" s="1">
        <v>43929</v>
      </c>
      <c r="B117">
        <v>1000000039</v>
      </c>
      <c r="C117" t="s">
        <v>23</v>
      </c>
      <c r="D117">
        <v>2</v>
      </c>
      <c r="E117">
        <v>42000.11</v>
      </c>
      <c r="F117" t="s">
        <v>16</v>
      </c>
      <c r="G117" t="s">
        <v>24</v>
      </c>
      <c r="H117" t="s">
        <v>18</v>
      </c>
      <c r="I117" t="s">
        <v>25</v>
      </c>
      <c r="J117" t="s">
        <v>20</v>
      </c>
      <c r="K117" t="s">
        <v>51</v>
      </c>
      <c r="L117" t="s">
        <v>28</v>
      </c>
      <c r="M117">
        <v>21000.055</v>
      </c>
      <c r="N117">
        <v>2020</v>
      </c>
      <c r="O117">
        <v>4</v>
      </c>
    </row>
    <row r="118" spans="1:15" x14ac:dyDescent="0.3">
      <c r="A118" s="1">
        <v>43929</v>
      </c>
      <c r="B118">
        <v>1000000576</v>
      </c>
      <c r="C118" t="s">
        <v>42</v>
      </c>
      <c r="D118">
        <v>3</v>
      </c>
      <c r="E118">
        <v>41001.450000000004</v>
      </c>
      <c r="F118" t="s">
        <v>16</v>
      </c>
      <c r="G118" t="s">
        <v>43</v>
      </c>
      <c r="H118" t="s">
        <v>18</v>
      </c>
      <c r="I118" t="s">
        <v>25</v>
      </c>
      <c r="J118" t="s">
        <v>36</v>
      </c>
      <c r="K118" t="s">
        <v>37</v>
      </c>
      <c r="L118" t="s">
        <v>22</v>
      </c>
      <c r="M118">
        <v>13667.15</v>
      </c>
      <c r="N118">
        <v>2020</v>
      </c>
      <c r="O118">
        <v>4</v>
      </c>
    </row>
    <row r="119" spans="1:15" x14ac:dyDescent="0.3">
      <c r="A119" s="1">
        <v>43929</v>
      </c>
      <c r="B119">
        <v>1000000047</v>
      </c>
      <c r="C119" t="s">
        <v>42</v>
      </c>
      <c r="D119">
        <v>2</v>
      </c>
      <c r="E119">
        <v>38001.35</v>
      </c>
      <c r="F119" t="s">
        <v>16</v>
      </c>
      <c r="G119" t="s">
        <v>43</v>
      </c>
      <c r="H119" t="s">
        <v>47</v>
      </c>
      <c r="I119" t="s">
        <v>48</v>
      </c>
      <c r="J119" t="s">
        <v>26</v>
      </c>
      <c r="K119" t="s">
        <v>50</v>
      </c>
      <c r="L119" t="s">
        <v>22</v>
      </c>
      <c r="M119">
        <v>19000.674999999999</v>
      </c>
      <c r="N119">
        <v>2020</v>
      </c>
      <c r="O119">
        <v>4</v>
      </c>
    </row>
    <row r="120" spans="1:15" x14ac:dyDescent="0.3">
      <c r="A120" s="1">
        <v>43929</v>
      </c>
      <c r="B120">
        <v>1000000050</v>
      </c>
      <c r="C120" t="s">
        <v>42</v>
      </c>
      <c r="D120">
        <v>2</v>
      </c>
      <c r="E120">
        <v>36000.789999999994</v>
      </c>
      <c r="F120" t="s">
        <v>16</v>
      </c>
      <c r="G120" t="s">
        <v>43</v>
      </c>
      <c r="H120" t="s">
        <v>18</v>
      </c>
      <c r="I120" t="s">
        <v>40</v>
      </c>
      <c r="J120" t="s">
        <v>26</v>
      </c>
      <c r="K120" t="s">
        <v>41</v>
      </c>
      <c r="L120" t="s">
        <v>22</v>
      </c>
      <c r="M120">
        <v>18000.394999999997</v>
      </c>
      <c r="N120">
        <v>2020</v>
      </c>
      <c r="O120">
        <v>4</v>
      </c>
    </row>
    <row r="121" spans="1:15" x14ac:dyDescent="0.3">
      <c r="A121" s="1">
        <v>43929</v>
      </c>
      <c r="B121">
        <v>1000000046</v>
      </c>
      <c r="C121" t="s">
        <v>15</v>
      </c>
      <c r="D121">
        <v>4</v>
      </c>
      <c r="E121">
        <v>23002.140000000003</v>
      </c>
      <c r="F121" t="s">
        <v>16</v>
      </c>
      <c r="G121" t="s">
        <v>17</v>
      </c>
      <c r="H121" t="s">
        <v>30</v>
      </c>
      <c r="I121" t="s">
        <v>38</v>
      </c>
      <c r="J121" t="s">
        <v>26</v>
      </c>
      <c r="K121" t="s">
        <v>39</v>
      </c>
      <c r="L121" t="s">
        <v>22</v>
      </c>
      <c r="M121">
        <v>5750.5350000000008</v>
      </c>
      <c r="N121">
        <v>2020</v>
      </c>
      <c r="O121">
        <v>4</v>
      </c>
    </row>
    <row r="122" spans="1:15" x14ac:dyDescent="0.3">
      <c r="A122" s="1">
        <v>43929</v>
      </c>
      <c r="B122">
        <v>1000000068</v>
      </c>
      <c r="C122" t="s">
        <v>23</v>
      </c>
      <c r="D122">
        <v>1</v>
      </c>
      <c r="E122">
        <v>22000.51</v>
      </c>
      <c r="F122" t="s">
        <v>16</v>
      </c>
      <c r="G122" t="s">
        <v>24</v>
      </c>
      <c r="H122" t="s">
        <v>30</v>
      </c>
      <c r="I122" t="s">
        <v>55</v>
      </c>
      <c r="J122" t="s">
        <v>26</v>
      </c>
      <c r="K122" t="s">
        <v>56</v>
      </c>
      <c r="L122" t="s">
        <v>28</v>
      </c>
      <c r="M122">
        <v>22000.51</v>
      </c>
      <c r="N122">
        <v>2020</v>
      </c>
      <c r="O122">
        <v>4</v>
      </c>
    </row>
    <row r="123" spans="1:15" x14ac:dyDescent="0.3">
      <c r="A123" s="1">
        <v>43929</v>
      </c>
      <c r="B123">
        <v>1000000040</v>
      </c>
      <c r="C123" t="s">
        <v>23</v>
      </c>
      <c r="D123">
        <v>2</v>
      </c>
      <c r="E123">
        <v>21001.119999999999</v>
      </c>
      <c r="F123" t="s">
        <v>16</v>
      </c>
      <c r="G123" t="s">
        <v>24</v>
      </c>
      <c r="H123" t="s">
        <v>30</v>
      </c>
      <c r="I123" t="s">
        <v>31</v>
      </c>
      <c r="J123" t="s">
        <v>32</v>
      </c>
      <c r="K123" t="s">
        <v>33</v>
      </c>
      <c r="L123" t="s">
        <v>28</v>
      </c>
      <c r="M123">
        <v>10500.56</v>
      </c>
      <c r="N123">
        <v>2020</v>
      </c>
      <c r="O123">
        <v>4</v>
      </c>
    </row>
    <row r="124" spans="1:15" x14ac:dyDescent="0.3">
      <c r="A124" s="1">
        <v>43929</v>
      </c>
      <c r="B124">
        <v>1000000049</v>
      </c>
      <c r="C124" t="s">
        <v>15</v>
      </c>
      <c r="D124">
        <v>1</v>
      </c>
      <c r="E124">
        <v>20000.55</v>
      </c>
      <c r="F124" t="s">
        <v>16</v>
      </c>
      <c r="G124" t="s">
        <v>17</v>
      </c>
      <c r="H124" t="s">
        <v>18</v>
      </c>
      <c r="I124" t="s">
        <v>40</v>
      </c>
      <c r="J124" t="s">
        <v>26</v>
      </c>
      <c r="K124" t="s">
        <v>41</v>
      </c>
      <c r="L124" t="s">
        <v>22</v>
      </c>
      <c r="M124">
        <v>20000.55</v>
      </c>
      <c r="N124">
        <v>2020</v>
      </c>
      <c r="O124">
        <v>4</v>
      </c>
    </row>
    <row r="125" spans="1:15" x14ac:dyDescent="0.3">
      <c r="A125" s="1">
        <v>43929</v>
      </c>
      <c r="B125">
        <v>1000000029</v>
      </c>
      <c r="C125" t="s">
        <v>23</v>
      </c>
      <c r="D125">
        <v>2</v>
      </c>
      <c r="E125">
        <v>18000.52</v>
      </c>
      <c r="F125" t="s">
        <v>16</v>
      </c>
      <c r="G125" t="s">
        <v>24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9000.26</v>
      </c>
      <c r="N125">
        <v>2020</v>
      </c>
      <c r="O125">
        <v>4</v>
      </c>
    </row>
    <row r="126" spans="1:15" x14ac:dyDescent="0.3">
      <c r="A126" s="1">
        <v>43929</v>
      </c>
      <c r="B126">
        <v>1000000049</v>
      </c>
      <c r="C126" t="s">
        <v>42</v>
      </c>
      <c r="D126">
        <v>1</v>
      </c>
      <c r="E126">
        <v>18000.419999999998</v>
      </c>
      <c r="F126" t="s">
        <v>16</v>
      </c>
      <c r="G126" t="s">
        <v>43</v>
      </c>
      <c r="H126" t="s">
        <v>18</v>
      </c>
      <c r="I126" t="s">
        <v>40</v>
      </c>
      <c r="J126" t="s">
        <v>26</v>
      </c>
      <c r="K126" t="s">
        <v>41</v>
      </c>
      <c r="L126" t="s">
        <v>22</v>
      </c>
      <c r="M126">
        <v>18000.419999999998</v>
      </c>
      <c r="N126">
        <v>2020</v>
      </c>
      <c r="O126">
        <v>4</v>
      </c>
    </row>
    <row r="127" spans="1:15" x14ac:dyDescent="0.3">
      <c r="A127" s="1">
        <v>43929</v>
      </c>
      <c r="B127">
        <v>1000000057</v>
      </c>
      <c r="C127" t="s">
        <v>15</v>
      </c>
      <c r="D127">
        <v>1</v>
      </c>
      <c r="E127">
        <v>18000.05</v>
      </c>
      <c r="F127" t="s">
        <v>16</v>
      </c>
      <c r="G127" t="s">
        <v>17</v>
      </c>
      <c r="H127" t="s">
        <v>18</v>
      </c>
      <c r="I127" t="s">
        <v>34</v>
      </c>
      <c r="J127" t="s">
        <v>20</v>
      </c>
      <c r="K127" t="s">
        <v>44</v>
      </c>
      <c r="L127" t="s">
        <v>22</v>
      </c>
      <c r="M127">
        <v>18000.05</v>
      </c>
      <c r="N127">
        <v>2020</v>
      </c>
      <c r="O127">
        <v>4</v>
      </c>
    </row>
    <row r="128" spans="1:15" x14ac:dyDescent="0.3">
      <c r="A128" s="1">
        <v>43929</v>
      </c>
      <c r="B128">
        <v>1000000928</v>
      </c>
      <c r="C128" t="s">
        <v>42</v>
      </c>
      <c r="D128">
        <v>1</v>
      </c>
      <c r="E128">
        <v>15000.6</v>
      </c>
      <c r="F128" t="s">
        <v>16</v>
      </c>
      <c r="G128" t="s">
        <v>43</v>
      </c>
      <c r="H128" t="s">
        <v>30</v>
      </c>
      <c r="I128" t="s">
        <v>57</v>
      </c>
      <c r="J128" t="s">
        <v>26</v>
      </c>
      <c r="K128" t="s">
        <v>58</v>
      </c>
      <c r="L128" t="s">
        <v>22</v>
      </c>
      <c r="M128">
        <v>15000.6</v>
      </c>
      <c r="N128">
        <v>2020</v>
      </c>
      <c r="O128">
        <v>4</v>
      </c>
    </row>
    <row r="129" spans="1:15" x14ac:dyDescent="0.3">
      <c r="A129" s="1">
        <v>43929</v>
      </c>
      <c r="B129">
        <v>1000000068</v>
      </c>
      <c r="C129" t="s">
        <v>15</v>
      </c>
      <c r="D129">
        <v>1</v>
      </c>
      <c r="E129">
        <v>15000.5</v>
      </c>
      <c r="F129" t="s">
        <v>16</v>
      </c>
      <c r="G129" t="s">
        <v>17</v>
      </c>
      <c r="H129" t="s">
        <v>30</v>
      </c>
      <c r="I129" t="s">
        <v>55</v>
      </c>
      <c r="J129" t="s">
        <v>26</v>
      </c>
      <c r="K129" t="s">
        <v>56</v>
      </c>
      <c r="L129" t="s">
        <v>28</v>
      </c>
      <c r="M129">
        <v>15000.5</v>
      </c>
      <c r="N129">
        <v>2020</v>
      </c>
      <c r="O129">
        <v>4</v>
      </c>
    </row>
    <row r="130" spans="1:15" x14ac:dyDescent="0.3">
      <c r="A130" s="1">
        <v>43929</v>
      </c>
      <c r="B130">
        <v>1000000037</v>
      </c>
      <c r="C130" t="s">
        <v>23</v>
      </c>
      <c r="D130">
        <v>1</v>
      </c>
      <c r="E130">
        <v>15000.12</v>
      </c>
      <c r="F130" t="s">
        <v>16</v>
      </c>
      <c r="G130" t="s">
        <v>24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15000.12</v>
      </c>
      <c r="N130">
        <v>2020</v>
      </c>
      <c r="O130">
        <v>4</v>
      </c>
    </row>
    <row r="131" spans="1:15" x14ac:dyDescent="0.3">
      <c r="A131" s="1">
        <v>43929</v>
      </c>
      <c r="B131">
        <v>1000000036</v>
      </c>
      <c r="C131" t="s">
        <v>23</v>
      </c>
      <c r="D131">
        <v>2</v>
      </c>
      <c r="E131">
        <v>15000.08</v>
      </c>
      <c r="F131" t="s">
        <v>16</v>
      </c>
      <c r="G131" t="s">
        <v>24</v>
      </c>
      <c r="H131" t="s">
        <v>47</v>
      </c>
      <c r="I131" t="s">
        <v>48</v>
      </c>
      <c r="J131" t="s">
        <v>36</v>
      </c>
      <c r="K131" t="s">
        <v>49</v>
      </c>
      <c r="L131" t="s">
        <v>28</v>
      </c>
      <c r="M131">
        <v>7500.04</v>
      </c>
      <c r="N131">
        <v>2020</v>
      </c>
      <c r="O131">
        <v>4</v>
      </c>
    </row>
    <row r="132" spans="1:15" x14ac:dyDescent="0.3">
      <c r="A132" s="1">
        <v>43929</v>
      </c>
      <c r="B132">
        <v>1000000043</v>
      </c>
      <c r="C132" t="s">
        <v>23</v>
      </c>
      <c r="D132">
        <v>2</v>
      </c>
      <c r="E132">
        <v>13001.06</v>
      </c>
      <c r="F132" t="s">
        <v>16</v>
      </c>
      <c r="G132" t="s">
        <v>24</v>
      </c>
      <c r="H132" t="s">
        <v>30</v>
      </c>
      <c r="I132" t="s">
        <v>38</v>
      </c>
      <c r="J132" t="s">
        <v>26</v>
      </c>
      <c r="K132" t="s">
        <v>39</v>
      </c>
      <c r="L132" t="s">
        <v>22</v>
      </c>
      <c r="M132">
        <v>6500.53</v>
      </c>
      <c r="N132">
        <v>2020</v>
      </c>
      <c r="O132">
        <v>4</v>
      </c>
    </row>
    <row r="133" spans="1:15" x14ac:dyDescent="0.3">
      <c r="A133" s="1">
        <v>43929</v>
      </c>
      <c r="B133">
        <v>1000000043</v>
      </c>
      <c r="C133" t="s">
        <v>15</v>
      </c>
      <c r="D133">
        <v>2</v>
      </c>
      <c r="E133">
        <v>10000.790000000001</v>
      </c>
      <c r="F133" t="s">
        <v>16</v>
      </c>
      <c r="G133" t="s">
        <v>17</v>
      </c>
      <c r="H133" t="s">
        <v>30</v>
      </c>
      <c r="I133" t="s">
        <v>38</v>
      </c>
      <c r="J133" t="s">
        <v>26</v>
      </c>
      <c r="K133" t="s">
        <v>39</v>
      </c>
      <c r="L133" t="s">
        <v>22</v>
      </c>
      <c r="M133">
        <v>5000.3950000000004</v>
      </c>
      <c r="N133">
        <v>2020</v>
      </c>
      <c r="O133">
        <v>4</v>
      </c>
    </row>
    <row r="134" spans="1:15" x14ac:dyDescent="0.3">
      <c r="A134" s="1">
        <v>43929</v>
      </c>
      <c r="B134">
        <v>1000000057</v>
      </c>
      <c r="C134" t="s">
        <v>42</v>
      </c>
      <c r="D134">
        <v>1</v>
      </c>
      <c r="E134">
        <v>10000.39</v>
      </c>
      <c r="F134" t="s">
        <v>16</v>
      </c>
      <c r="G134" t="s">
        <v>43</v>
      </c>
      <c r="H134" t="s">
        <v>18</v>
      </c>
      <c r="I134" t="s">
        <v>34</v>
      </c>
      <c r="J134" t="s">
        <v>20</v>
      </c>
      <c r="K134" t="s">
        <v>44</v>
      </c>
      <c r="L134" t="s">
        <v>22</v>
      </c>
      <c r="M134">
        <v>10000.39</v>
      </c>
      <c r="N134">
        <v>2020</v>
      </c>
      <c r="O134">
        <v>4</v>
      </c>
    </row>
    <row r="135" spans="1:15" x14ac:dyDescent="0.3">
      <c r="A135" s="1">
        <v>43929</v>
      </c>
      <c r="B135">
        <v>1000000041</v>
      </c>
      <c r="C135" t="s">
        <v>15</v>
      </c>
      <c r="D135">
        <v>1</v>
      </c>
      <c r="E135">
        <v>10000.33</v>
      </c>
      <c r="F135" t="s">
        <v>16</v>
      </c>
      <c r="G135" t="s">
        <v>17</v>
      </c>
      <c r="H135" t="s">
        <v>30</v>
      </c>
      <c r="I135" t="s">
        <v>31</v>
      </c>
      <c r="J135" t="s">
        <v>32</v>
      </c>
      <c r="K135" t="s">
        <v>33</v>
      </c>
      <c r="L135" t="s">
        <v>22</v>
      </c>
      <c r="M135">
        <v>10000.33</v>
      </c>
      <c r="N135">
        <v>2020</v>
      </c>
      <c r="O135">
        <v>4</v>
      </c>
    </row>
    <row r="136" spans="1:15" x14ac:dyDescent="0.3">
      <c r="A136" s="1">
        <v>43929</v>
      </c>
      <c r="B136">
        <v>1000000045</v>
      </c>
      <c r="C136" t="s">
        <v>15</v>
      </c>
      <c r="D136">
        <v>1</v>
      </c>
      <c r="E136">
        <v>10000.200000000001</v>
      </c>
      <c r="F136" t="s">
        <v>16</v>
      </c>
      <c r="G136" t="s">
        <v>17</v>
      </c>
      <c r="H136" t="s">
        <v>47</v>
      </c>
      <c r="I136" t="s">
        <v>59</v>
      </c>
      <c r="J136" t="s">
        <v>26</v>
      </c>
      <c r="K136" t="s">
        <v>60</v>
      </c>
      <c r="L136" t="s">
        <v>22</v>
      </c>
      <c r="M136">
        <v>10000.200000000001</v>
      </c>
      <c r="N136">
        <v>2020</v>
      </c>
      <c r="O136">
        <v>4</v>
      </c>
    </row>
    <row r="137" spans="1:15" x14ac:dyDescent="0.3">
      <c r="A137" s="1">
        <v>43929</v>
      </c>
      <c r="B137">
        <v>1000000041</v>
      </c>
      <c r="C137" t="s">
        <v>23</v>
      </c>
      <c r="D137">
        <v>1</v>
      </c>
      <c r="E137">
        <v>10000.06</v>
      </c>
      <c r="F137" t="s">
        <v>16</v>
      </c>
      <c r="G137" t="s">
        <v>24</v>
      </c>
      <c r="H137" t="s">
        <v>30</v>
      </c>
      <c r="I137" t="s">
        <v>31</v>
      </c>
      <c r="J137" t="s">
        <v>32</v>
      </c>
      <c r="K137" t="s">
        <v>33</v>
      </c>
      <c r="L137" t="s">
        <v>22</v>
      </c>
      <c r="M137">
        <v>10000.06</v>
      </c>
      <c r="N137">
        <v>2020</v>
      </c>
      <c r="O137">
        <v>4</v>
      </c>
    </row>
    <row r="138" spans="1:15" x14ac:dyDescent="0.3">
      <c r="A138" s="1">
        <v>43929</v>
      </c>
      <c r="B138">
        <v>1000000928</v>
      </c>
      <c r="C138" t="s">
        <v>23</v>
      </c>
      <c r="D138">
        <v>1</v>
      </c>
      <c r="E138">
        <v>8000.74</v>
      </c>
      <c r="F138" t="s">
        <v>16</v>
      </c>
      <c r="G138" t="s">
        <v>24</v>
      </c>
      <c r="H138" t="s">
        <v>30</v>
      </c>
      <c r="I138" t="s">
        <v>57</v>
      </c>
      <c r="J138" t="s">
        <v>26</v>
      </c>
      <c r="K138" t="s">
        <v>58</v>
      </c>
      <c r="L138" t="s">
        <v>22</v>
      </c>
      <c r="M138">
        <v>8000.74</v>
      </c>
      <c r="N138">
        <v>2020</v>
      </c>
      <c r="O138">
        <v>4</v>
      </c>
    </row>
    <row r="139" spans="1:15" x14ac:dyDescent="0.3">
      <c r="A139" s="1">
        <v>43929</v>
      </c>
      <c r="B139">
        <v>1000000045</v>
      </c>
      <c r="C139" t="s">
        <v>23</v>
      </c>
      <c r="D139">
        <v>1</v>
      </c>
      <c r="E139">
        <v>8000.58</v>
      </c>
      <c r="F139" t="s">
        <v>16</v>
      </c>
      <c r="G139" t="s">
        <v>24</v>
      </c>
      <c r="H139" t="s">
        <v>47</v>
      </c>
      <c r="I139" t="s">
        <v>59</v>
      </c>
      <c r="J139" t="s">
        <v>26</v>
      </c>
      <c r="K139" t="s">
        <v>60</v>
      </c>
      <c r="L139" t="s">
        <v>22</v>
      </c>
      <c r="M139">
        <v>8000.58</v>
      </c>
      <c r="N139">
        <v>2020</v>
      </c>
      <c r="O139">
        <v>4</v>
      </c>
    </row>
    <row r="140" spans="1:15" x14ac:dyDescent="0.3">
      <c r="A140" s="1">
        <v>43929</v>
      </c>
      <c r="B140">
        <v>1000000056</v>
      </c>
      <c r="C140" t="s">
        <v>23</v>
      </c>
      <c r="D140">
        <v>1</v>
      </c>
      <c r="E140">
        <v>8000.11</v>
      </c>
      <c r="F140" t="s">
        <v>16</v>
      </c>
      <c r="G140" t="s">
        <v>24</v>
      </c>
      <c r="H140" t="s">
        <v>18</v>
      </c>
      <c r="I140" t="s">
        <v>34</v>
      </c>
      <c r="J140" t="s">
        <v>26</v>
      </c>
      <c r="K140" t="s">
        <v>35</v>
      </c>
      <c r="L140" t="s">
        <v>28</v>
      </c>
      <c r="M140">
        <v>8000.11</v>
      </c>
      <c r="N140">
        <v>2020</v>
      </c>
      <c r="O140">
        <v>4</v>
      </c>
    </row>
    <row r="141" spans="1:15" x14ac:dyDescent="0.3">
      <c r="A141" s="1">
        <v>43929</v>
      </c>
      <c r="B141">
        <v>1000000029</v>
      </c>
      <c r="C141" t="s">
        <v>15</v>
      </c>
      <c r="D141">
        <v>1</v>
      </c>
      <c r="E141">
        <v>5000.03</v>
      </c>
      <c r="F141" t="s">
        <v>16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  <c r="M141">
        <v>5000.03</v>
      </c>
      <c r="N141">
        <v>2020</v>
      </c>
      <c r="O141">
        <v>4</v>
      </c>
    </row>
    <row r="142" spans="1:15" x14ac:dyDescent="0.3">
      <c r="A142" s="1">
        <v>43929</v>
      </c>
      <c r="B142">
        <v>1000000067</v>
      </c>
      <c r="C142" t="s">
        <v>23</v>
      </c>
      <c r="D142">
        <v>1</v>
      </c>
      <c r="E142">
        <v>5000.03</v>
      </c>
      <c r="F142" t="s">
        <v>16</v>
      </c>
      <c r="G142" t="s">
        <v>24</v>
      </c>
      <c r="H142" t="s">
        <v>18</v>
      </c>
      <c r="I142" t="s">
        <v>25</v>
      </c>
      <c r="J142" t="s">
        <v>20</v>
      </c>
      <c r="K142" t="s">
        <v>51</v>
      </c>
      <c r="L142" t="s">
        <v>22</v>
      </c>
      <c r="M142">
        <v>5000.03</v>
      </c>
      <c r="N142">
        <v>2020</v>
      </c>
      <c r="O142">
        <v>4</v>
      </c>
    </row>
    <row r="143" spans="1:15" x14ac:dyDescent="0.3">
      <c r="A143" s="1">
        <v>43930</v>
      </c>
      <c r="B143">
        <v>1000000030</v>
      </c>
      <c r="C143" t="s">
        <v>15</v>
      </c>
      <c r="D143">
        <v>2</v>
      </c>
      <c r="E143">
        <v>37000.58</v>
      </c>
      <c r="F143" t="s">
        <v>16</v>
      </c>
      <c r="G143" t="s">
        <v>17</v>
      </c>
      <c r="H143" t="s">
        <v>47</v>
      </c>
      <c r="I143" t="s">
        <v>48</v>
      </c>
      <c r="J143" t="s">
        <v>36</v>
      </c>
      <c r="K143" t="s">
        <v>49</v>
      </c>
      <c r="L143" t="s">
        <v>22</v>
      </c>
      <c r="M143">
        <v>18500.29</v>
      </c>
      <c r="N143">
        <v>2020</v>
      </c>
      <c r="O143">
        <v>4</v>
      </c>
    </row>
    <row r="144" spans="1:15" x14ac:dyDescent="0.3">
      <c r="A144" s="1">
        <v>43930</v>
      </c>
      <c r="B144">
        <v>1000000029</v>
      </c>
      <c r="C144" t="s">
        <v>15</v>
      </c>
      <c r="D144">
        <v>2</v>
      </c>
      <c r="E144">
        <v>32001.040000000001</v>
      </c>
      <c r="F144" t="s">
        <v>16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 t="s">
        <v>22</v>
      </c>
      <c r="M144">
        <v>16000.52</v>
      </c>
      <c r="N144">
        <v>2020</v>
      </c>
      <c r="O144">
        <v>4</v>
      </c>
    </row>
    <row r="145" spans="1:15" x14ac:dyDescent="0.3">
      <c r="A145" s="1">
        <v>43930</v>
      </c>
      <c r="B145">
        <v>1000000031</v>
      </c>
      <c r="C145" t="s">
        <v>15</v>
      </c>
      <c r="D145">
        <v>2</v>
      </c>
      <c r="E145">
        <v>25000.31</v>
      </c>
      <c r="F145" t="s">
        <v>16</v>
      </c>
      <c r="G145" t="s">
        <v>17</v>
      </c>
      <c r="H145" t="s">
        <v>18</v>
      </c>
      <c r="I145" t="s">
        <v>19</v>
      </c>
      <c r="J145" t="s">
        <v>26</v>
      </c>
      <c r="K145" t="s">
        <v>29</v>
      </c>
      <c r="L145" t="s">
        <v>28</v>
      </c>
      <c r="M145">
        <v>12500.155000000001</v>
      </c>
      <c r="N145">
        <v>2020</v>
      </c>
      <c r="O145">
        <v>4</v>
      </c>
    </row>
    <row r="146" spans="1:15" x14ac:dyDescent="0.3">
      <c r="A146" s="1">
        <v>43930</v>
      </c>
      <c r="B146">
        <v>1000000068</v>
      </c>
      <c r="C146" t="s">
        <v>23</v>
      </c>
      <c r="D146">
        <v>1</v>
      </c>
      <c r="E146">
        <v>22000.02</v>
      </c>
      <c r="F146" t="s">
        <v>16</v>
      </c>
      <c r="G146" t="s">
        <v>24</v>
      </c>
      <c r="H146" t="s">
        <v>30</v>
      </c>
      <c r="I146" t="s">
        <v>55</v>
      </c>
      <c r="J146" t="s">
        <v>26</v>
      </c>
      <c r="K146" t="s">
        <v>56</v>
      </c>
      <c r="L146" t="s">
        <v>28</v>
      </c>
      <c r="M146">
        <v>22000.02</v>
      </c>
      <c r="N146">
        <v>2020</v>
      </c>
      <c r="O146">
        <v>4</v>
      </c>
    </row>
    <row r="147" spans="1:15" x14ac:dyDescent="0.3">
      <c r="A147" s="1">
        <v>43930</v>
      </c>
      <c r="B147">
        <v>1000000067</v>
      </c>
      <c r="C147" t="s">
        <v>15</v>
      </c>
      <c r="D147">
        <v>1</v>
      </c>
      <c r="E147">
        <v>21499.95</v>
      </c>
      <c r="F147" t="s">
        <v>16</v>
      </c>
      <c r="G147" t="s">
        <v>17</v>
      </c>
      <c r="H147" t="s">
        <v>18</v>
      </c>
      <c r="I147" t="s">
        <v>25</v>
      </c>
      <c r="J147" t="s">
        <v>20</v>
      </c>
      <c r="K147" t="s">
        <v>51</v>
      </c>
      <c r="L147" t="s">
        <v>22</v>
      </c>
      <c r="M147">
        <v>21499.95</v>
      </c>
      <c r="N147">
        <v>2020</v>
      </c>
      <c r="O147">
        <v>4</v>
      </c>
    </row>
    <row r="148" spans="1:15" x14ac:dyDescent="0.3">
      <c r="A148" s="1">
        <v>43930</v>
      </c>
      <c r="B148">
        <v>1000000237</v>
      </c>
      <c r="C148" t="s">
        <v>42</v>
      </c>
      <c r="D148">
        <v>1</v>
      </c>
      <c r="E148">
        <v>20000.7</v>
      </c>
      <c r="F148" t="s">
        <v>16</v>
      </c>
      <c r="G148" t="s">
        <v>43</v>
      </c>
      <c r="H148" t="s">
        <v>18</v>
      </c>
      <c r="I148" t="s">
        <v>40</v>
      </c>
      <c r="J148" t="s">
        <v>26</v>
      </c>
      <c r="K148" t="s">
        <v>41</v>
      </c>
      <c r="L148" t="s">
        <v>22</v>
      </c>
      <c r="M148">
        <v>20000.7</v>
      </c>
      <c r="N148">
        <v>2020</v>
      </c>
      <c r="O148">
        <v>4</v>
      </c>
    </row>
    <row r="149" spans="1:15" x14ac:dyDescent="0.3">
      <c r="A149" s="1">
        <v>43930</v>
      </c>
      <c r="B149">
        <v>1000000056</v>
      </c>
      <c r="C149" t="s">
        <v>15</v>
      </c>
      <c r="D149">
        <v>1</v>
      </c>
      <c r="E149">
        <v>20000.64</v>
      </c>
      <c r="F149" t="s">
        <v>16</v>
      </c>
      <c r="G149" t="s">
        <v>17</v>
      </c>
      <c r="H149" t="s">
        <v>18</v>
      </c>
      <c r="I149" t="s">
        <v>34</v>
      </c>
      <c r="J149" t="s">
        <v>26</v>
      </c>
      <c r="K149" t="s">
        <v>35</v>
      </c>
      <c r="L149" t="s">
        <v>28</v>
      </c>
      <c r="M149">
        <v>20000.64</v>
      </c>
      <c r="N149">
        <v>2020</v>
      </c>
      <c r="O149">
        <v>4</v>
      </c>
    </row>
    <row r="150" spans="1:15" x14ac:dyDescent="0.3">
      <c r="A150" s="1">
        <v>43930</v>
      </c>
      <c r="B150">
        <v>1000000037</v>
      </c>
      <c r="C150" t="s">
        <v>15</v>
      </c>
      <c r="D150">
        <v>1</v>
      </c>
      <c r="E150">
        <v>20000.46</v>
      </c>
      <c r="F150" t="s">
        <v>16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 t="s">
        <v>22</v>
      </c>
      <c r="M150">
        <v>20000.46</v>
      </c>
      <c r="N150">
        <v>2020</v>
      </c>
      <c r="O150">
        <v>4</v>
      </c>
    </row>
    <row r="151" spans="1:15" x14ac:dyDescent="0.3">
      <c r="A151" s="1">
        <v>43930</v>
      </c>
      <c r="B151">
        <v>1000000028</v>
      </c>
      <c r="C151" t="s">
        <v>23</v>
      </c>
      <c r="D151">
        <v>1</v>
      </c>
      <c r="E151">
        <v>20000.400000000001</v>
      </c>
      <c r="F151" t="s">
        <v>16</v>
      </c>
      <c r="G151" t="s">
        <v>24</v>
      </c>
      <c r="H151" t="s">
        <v>18</v>
      </c>
      <c r="I151" t="s">
        <v>19</v>
      </c>
      <c r="J151" t="s">
        <v>20</v>
      </c>
      <c r="K151" t="s">
        <v>21</v>
      </c>
      <c r="L151" t="s">
        <v>22</v>
      </c>
      <c r="M151">
        <v>20000.400000000001</v>
      </c>
      <c r="N151">
        <v>2020</v>
      </c>
      <c r="O151">
        <v>4</v>
      </c>
    </row>
    <row r="152" spans="1:15" x14ac:dyDescent="0.3">
      <c r="A152" s="1">
        <v>43930</v>
      </c>
      <c r="B152">
        <v>1000000028</v>
      </c>
      <c r="C152" t="s">
        <v>42</v>
      </c>
      <c r="D152">
        <v>1</v>
      </c>
      <c r="E152">
        <v>20000.169999999998</v>
      </c>
      <c r="F152" t="s">
        <v>16</v>
      </c>
      <c r="G152" t="s">
        <v>43</v>
      </c>
      <c r="H152" t="s">
        <v>18</v>
      </c>
      <c r="I152" t="s">
        <v>19</v>
      </c>
      <c r="J152" t="s">
        <v>20</v>
      </c>
      <c r="K152" t="s">
        <v>21</v>
      </c>
      <c r="L152" t="s">
        <v>22</v>
      </c>
      <c r="M152">
        <v>20000.169999999998</v>
      </c>
      <c r="N152">
        <v>2020</v>
      </c>
      <c r="O152">
        <v>4</v>
      </c>
    </row>
    <row r="153" spans="1:15" x14ac:dyDescent="0.3">
      <c r="A153" s="1">
        <v>43930</v>
      </c>
      <c r="B153">
        <v>1000000928</v>
      </c>
      <c r="C153" t="s">
        <v>15</v>
      </c>
      <c r="D153">
        <v>1</v>
      </c>
      <c r="E153">
        <v>20000.009999999998</v>
      </c>
      <c r="F153" t="s">
        <v>16</v>
      </c>
      <c r="G153" t="s">
        <v>17</v>
      </c>
      <c r="H153" t="s">
        <v>30</v>
      </c>
      <c r="I153" t="s">
        <v>57</v>
      </c>
      <c r="J153" t="s">
        <v>26</v>
      </c>
      <c r="K153" t="s">
        <v>58</v>
      </c>
      <c r="L153" t="s">
        <v>22</v>
      </c>
      <c r="M153">
        <v>20000.009999999998</v>
      </c>
      <c r="N153">
        <v>2020</v>
      </c>
      <c r="O153">
        <v>4</v>
      </c>
    </row>
    <row r="154" spans="1:15" x14ac:dyDescent="0.3">
      <c r="A154" s="1">
        <v>43930</v>
      </c>
      <c r="B154">
        <v>1000000040</v>
      </c>
      <c r="C154" t="s">
        <v>23</v>
      </c>
      <c r="D154">
        <v>1</v>
      </c>
      <c r="E154">
        <v>18000.560000000001</v>
      </c>
      <c r="F154" t="s">
        <v>16</v>
      </c>
      <c r="G154" t="s">
        <v>24</v>
      </c>
      <c r="H154" t="s">
        <v>30</v>
      </c>
      <c r="I154" t="s">
        <v>31</v>
      </c>
      <c r="J154" t="s">
        <v>32</v>
      </c>
      <c r="K154" t="s">
        <v>33</v>
      </c>
      <c r="L154" t="s">
        <v>28</v>
      </c>
      <c r="M154">
        <v>18000.560000000001</v>
      </c>
      <c r="N154">
        <v>2020</v>
      </c>
      <c r="O154">
        <v>4</v>
      </c>
    </row>
    <row r="155" spans="1:15" x14ac:dyDescent="0.3">
      <c r="A155" s="1">
        <v>43930</v>
      </c>
      <c r="B155">
        <v>1000000047</v>
      </c>
      <c r="C155" t="s">
        <v>15</v>
      </c>
      <c r="D155">
        <v>2</v>
      </c>
      <c r="E155">
        <v>18000.25</v>
      </c>
      <c r="F155" t="s">
        <v>16</v>
      </c>
      <c r="G155" t="s">
        <v>17</v>
      </c>
      <c r="H155" t="s">
        <v>47</v>
      </c>
      <c r="I155" t="s">
        <v>48</v>
      </c>
      <c r="J155" t="s">
        <v>26</v>
      </c>
      <c r="K155" t="s">
        <v>50</v>
      </c>
      <c r="L155" t="s">
        <v>22</v>
      </c>
      <c r="M155">
        <v>9000.125</v>
      </c>
      <c r="N155">
        <v>2020</v>
      </c>
      <c r="O155">
        <v>4</v>
      </c>
    </row>
    <row r="156" spans="1:15" x14ac:dyDescent="0.3">
      <c r="A156" s="1">
        <v>43930</v>
      </c>
      <c r="B156">
        <v>1000000033</v>
      </c>
      <c r="C156" t="s">
        <v>23</v>
      </c>
      <c r="D156">
        <v>1</v>
      </c>
      <c r="E156">
        <v>17999.939999999999</v>
      </c>
      <c r="F156" t="s">
        <v>16</v>
      </c>
      <c r="G156" t="s">
        <v>24</v>
      </c>
      <c r="H156" t="s">
        <v>18</v>
      </c>
      <c r="I156" t="s">
        <v>25</v>
      </c>
      <c r="J156" t="s">
        <v>26</v>
      </c>
      <c r="K156" t="s">
        <v>27</v>
      </c>
      <c r="L156" t="s">
        <v>22</v>
      </c>
      <c r="M156">
        <v>17999.939999999999</v>
      </c>
      <c r="N156">
        <v>2020</v>
      </c>
      <c r="O156">
        <v>4</v>
      </c>
    </row>
    <row r="157" spans="1:15" x14ac:dyDescent="0.3">
      <c r="A157" s="1">
        <v>43930</v>
      </c>
      <c r="B157">
        <v>1000000566</v>
      </c>
      <c r="C157" t="s">
        <v>23</v>
      </c>
      <c r="D157">
        <v>1</v>
      </c>
      <c r="E157">
        <v>15000.73</v>
      </c>
      <c r="F157" t="s">
        <v>16</v>
      </c>
      <c r="G157" t="s">
        <v>24</v>
      </c>
      <c r="H157" t="s">
        <v>47</v>
      </c>
      <c r="I157" t="s">
        <v>48</v>
      </c>
      <c r="J157" t="s">
        <v>36</v>
      </c>
      <c r="K157" t="s">
        <v>49</v>
      </c>
      <c r="L157" t="s">
        <v>22</v>
      </c>
      <c r="M157">
        <v>15000.73</v>
      </c>
      <c r="N157">
        <v>2020</v>
      </c>
      <c r="O157">
        <v>4</v>
      </c>
    </row>
    <row r="158" spans="1:15" x14ac:dyDescent="0.3">
      <c r="A158" s="1">
        <v>43930</v>
      </c>
      <c r="B158">
        <v>1000000043</v>
      </c>
      <c r="C158" t="s">
        <v>15</v>
      </c>
      <c r="D158">
        <v>1</v>
      </c>
      <c r="E158">
        <v>10000.66</v>
      </c>
      <c r="F158" t="s">
        <v>16</v>
      </c>
      <c r="G158" t="s">
        <v>17</v>
      </c>
      <c r="H158" t="s">
        <v>30</v>
      </c>
      <c r="I158" t="s">
        <v>38</v>
      </c>
      <c r="J158" t="s">
        <v>26</v>
      </c>
      <c r="K158" t="s">
        <v>39</v>
      </c>
      <c r="L158" t="s">
        <v>22</v>
      </c>
      <c r="M158">
        <v>10000.66</v>
      </c>
      <c r="N158">
        <v>2020</v>
      </c>
      <c r="O158">
        <v>4</v>
      </c>
    </row>
    <row r="159" spans="1:15" x14ac:dyDescent="0.3">
      <c r="A159" s="1">
        <v>43930</v>
      </c>
      <c r="B159">
        <v>1000000040</v>
      </c>
      <c r="C159" t="s">
        <v>15</v>
      </c>
      <c r="D159">
        <v>1</v>
      </c>
      <c r="E159">
        <v>10000.58</v>
      </c>
      <c r="F159" t="s">
        <v>16</v>
      </c>
      <c r="G159" t="s">
        <v>17</v>
      </c>
      <c r="H159" t="s">
        <v>30</v>
      </c>
      <c r="I159" t="s">
        <v>31</v>
      </c>
      <c r="J159" t="s">
        <v>32</v>
      </c>
      <c r="K159" t="s">
        <v>33</v>
      </c>
      <c r="L159" t="s">
        <v>28</v>
      </c>
      <c r="M159">
        <v>10000.58</v>
      </c>
      <c r="N159">
        <v>2020</v>
      </c>
      <c r="O159">
        <v>4</v>
      </c>
    </row>
    <row r="160" spans="1:15" x14ac:dyDescent="0.3">
      <c r="A160" s="1">
        <v>43930</v>
      </c>
      <c r="B160">
        <v>1000000044</v>
      </c>
      <c r="C160" t="s">
        <v>23</v>
      </c>
      <c r="D160">
        <v>1</v>
      </c>
      <c r="E160">
        <v>10000.36</v>
      </c>
      <c r="F160" t="s">
        <v>16</v>
      </c>
      <c r="G160" t="s">
        <v>24</v>
      </c>
      <c r="H160" t="s">
        <v>30</v>
      </c>
      <c r="I160" t="s">
        <v>31</v>
      </c>
      <c r="J160" t="s">
        <v>36</v>
      </c>
      <c r="K160" t="s">
        <v>52</v>
      </c>
      <c r="L160" t="s">
        <v>28</v>
      </c>
      <c r="M160">
        <v>10000.36</v>
      </c>
      <c r="N160">
        <v>2020</v>
      </c>
      <c r="O160">
        <v>4</v>
      </c>
    </row>
    <row r="161" spans="1:15" x14ac:dyDescent="0.3">
      <c r="A161" s="1">
        <v>43930</v>
      </c>
      <c r="B161">
        <v>1000000049</v>
      </c>
      <c r="C161" t="s">
        <v>42</v>
      </c>
      <c r="D161">
        <v>1</v>
      </c>
      <c r="E161">
        <v>10000.129999999999</v>
      </c>
      <c r="F161" t="s">
        <v>16</v>
      </c>
      <c r="G161" t="s">
        <v>43</v>
      </c>
      <c r="H161" t="s">
        <v>18</v>
      </c>
      <c r="I161" t="s">
        <v>40</v>
      </c>
      <c r="J161" t="s">
        <v>26</v>
      </c>
      <c r="K161" t="s">
        <v>41</v>
      </c>
      <c r="L161" t="s">
        <v>22</v>
      </c>
      <c r="M161">
        <v>10000.129999999999</v>
      </c>
      <c r="N161">
        <v>2020</v>
      </c>
      <c r="O161">
        <v>4</v>
      </c>
    </row>
    <row r="162" spans="1:15" x14ac:dyDescent="0.3">
      <c r="A162" s="1">
        <v>43930</v>
      </c>
      <c r="B162">
        <v>1000000041</v>
      </c>
      <c r="C162" t="s">
        <v>42</v>
      </c>
      <c r="D162">
        <v>1</v>
      </c>
      <c r="E162">
        <v>10000.09</v>
      </c>
      <c r="F162" t="s">
        <v>16</v>
      </c>
      <c r="G162" t="s">
        <v>43</v>
      </c>
      <c r="H162" t="s">
        <v>30</v>
      </c>
      <c r="I162" t="s">
        <v>31</v>
      </c>
      <c r="J162" t="s">
        <v>32</v>
      </c>
      <c r="K162" t="s">
        <v>33</v>
      </c>
      <c r="L162" t="s">
        <v>22</v>
      </c>
      <c r="M162">
        <v>10000.09</v>
      </c>
      <c r="N162">
        <v>2020</v>
      </c>
      <c r="O162">
        <v>4</v>
      </c>
    </row>
    <row r="163" spans="1:15" x14ac:dyDescent="0.3">
      <c r="A163" s="1">
        <v>43930</v>
      </c>
      <c r="B163">
        <v>1000000576</v>
      </c>
      <c r="C163" t="s">
        <v>15</v>
      </c>
      <c r="D163">
        <v>1</v>
      </c>
      <c r="E163">
        <v>8000.59</v>
      </c>
      <c r="F163" t="s">
        <v>16</v>
      </c>
      <c r="G163" t="s">
        <v>17</v>
      </c>
      <c r="H163" t="s">
        <v>18</v>
      </c>
      <c r="I163" t="s">
        <v>25</v>
      </c>
      <c r="J163" t="s">
        <v>36</v>
      </c>
      <c r="K163" t="s">
        <v>37</v>
      </c>
      <c r="L163" t="s">
        <v>22</v>
      </c>
      <c r="M163">
        <v>8000.59</v>
      </c>
      <c r="N163">
        <v>2020</v>
      </c>
      <c r="O163">
        <v>4</v>
      </c>
    </row>
    <row r="164" spans="1:15" x14ac:dyDescent="0.3">
      <c r="A164" s="1">
        <v>43930</v>
      </c>
      <c r="B164">
        <v>1000000052</v>
      </c>
      <c r="C164" t="s">
        <v>23</v>
      </c>
      <c r="D164">
        <v>1</v>
      </c>
      <c r="E164">
        <v>8000.4</v>
      </c>
      <c r="F164" t="s">
        <v>16</v>
      </c>
      <c r="G164" t="s">
        <v>24</v>
      </c>
      <c r="H164" t="s">
        <v>18</v>
      </c>
      <c r="I164" t="s">
        <v>34</v>
      </c>
      <c r="J164" t="s">
        <v>20</v>
      </c>
      <c r="K164" t="s">
        <v>44</v>
      </c>
      <c r="L164" t="s">
        <v>22</v>
      </c>
      <c r="M164">
        <v>8000.4</v>
      </c>
      <c r="N164">
        <v>2020</v>
      </c>
      <c r="O164">
        <v>4</v>
      </c>
    </row>
    <row r="165" spans="1:15" x14ac:dyDescent="0.3">
      <c r="A165" s="1">
        <v>43930</v>
      </c>
      <c r="B165">
        <v>1000000054</v>
      </c>
      <c r="C165" t="s">
        <v>15</v>
      </c>
      <c r="D165">
        <v>1</v>
      </c>
      <c r="E165">
        <v>5000.04</v>
      </c>
      <c r="F165" t="s">
        <v>16</v>
      </c>
      <c r="G165" t="s">
        <v>17</v>
      </c>
      <c r="H165" t="s">
        <v>18</v>
      </c>
      <c r="I165" t="s">
        <v>34</v>
      </c>
      <c r="J165" t="s">
        <v>26</v>
      </c>
      <c r="K165" t="s">
        <v>35</v>
      </c>
      <c r="L165" t="s">
        <v>22</v>
      </c>
      <c r="M165">
        <v>5000.04</v>
      </c>
      <c r="N165">
        <v>2020</v>
      </c>
      <c r="O165">
        <v>4</v>
      </c>
    </row>
    <row r="166" spans="1:15" x14ac:dyDescent="0.3">
      <c r="A166" s="1">
        <v>43930</v>
      </c>
      <c r="B166">
        <v>1000000067</v>
      </c>
      <c r="C166" t="s">
        <v>23</v>
      </c>
      <c r="D166">
        <v>2</v>
      </c>
      <c r="E166">
        <v>2499.9699999999998</v>
      </c>
      <c r="F166" t="s">
        <v>16</v>
      </c>
      <c r="G166" t="s">
        <v>24</v>
      </c>
      <c r="H166" t="s">
        <v>18</v>
      </c>
      <c r="I166" t="s">
        <v>25</v>
      </c>
      <c r="J166" t="s">
        <v>20</v>
      </c>
      <c r="K166" t="s">
        <v>51</v>
      </c>
      <c r="L166" t="s">
        <v>22</v>
      </c>
      <c r="M166">
        <v>1249.9849999999999</v>
      </c>
      <c r="N166">
        <v>2020</v>
      </c>
      <c r="O166">
        <v>4</v>
      </c>
    </row>
    <row r="167" spans="1:15" x14ac:dyDescent="0.3">
      <c r="A167" s="1">
        <v>43930</v>
      </c>
      <c r="B167">
        <v>1000000031</v>
      </c>
      <c r="C167" t="s">
        <v>23</v>
      </c>
      <c r="D167">
        <v>1</v>
      </c>
      <c r="E167">
        <v>2000.1</v>
      </c>
      <c r="F167" t="s">
        <v>16</v>
      </c>
      <c r="G167" t="s">
        <v>24</v>
      </c>
      <c r="H167" t="s">
        <v>18</v>
      </c>
      <c r="I167" t="s">
        <v>19</v>
      </c>
      <c r="J167" t="s">
        <v>26</v>
      </c>
      <c r="K167" t="s">
        <v>29</v>
      </c>
      <c r="L167" t="s">
        <v>28</v>
      </c>
      <c r="M167">
        <v>2000.1</v>
      </c>
      <c r="N167">
        <v>2020</v>
      </c>
      <c r="O167">
        <v>4</v>
      </c>
    </row>
    <row r="168" spans="1:15" x14ac:dyDescent="0.3">
      <c r="A168" s="1">
        <v>43930</v>
      </c>
      <c r="B168">
        <v>1000000043</v>
      </c>
      <c r="C168" t="s">
        <v>23</v>
      </c>
      <c r="D168">
        <v>1</v>
      </c>
      <c r="E168">
        <v>2000.07</v>
      </c>
      <c r="F168" t="s">
        <v>16</v>
      </c>
      <c r="G168" t="s">
        <v>24</v>
      </c>
      <c r="H168" t="s">
        <v>30</v>
      </c>
      <c r="I168" t="s">
        <v>38</v>
      </c>
      <c r="J168" t="s">
        <v>26</v>
      </c>
      <c r="K168" t="s">
        <v>39</v>
      </c>
      <c r="L168" t="s">
        <v>22</v>
      </c>
      <c r="M168">
        <v>2000.07</v>
      </c>
      <c r="N168">
        <v>2020</v>
      </c>
      <c r="O168">
        <v>4</v>
      </c>
    </row>
    <row r="169" spans="1:15" x14ac:dyDescent="0.3">
      <c r="A169" s="1">
        <v>43931</v>
      </c>
      <c r="B169">
        <v>1000000576</v>
      </c>
      <c r="C169" t="s">
        <v>42</v>
      </c>
      <c r="D169">
        <v>2</v>
      </c>
      <c r="E169">
        <v>42000.86</v>
      </c>
      <c r="F169" t="s">
        <v>16</v>
      </c>
      <c r="G169" t="s">
        <v>43</v>
      </c>
      <c r="H169" t="s">
        <v>18</v>
      </c>
      <c r="I169" t="s">
        <v>25</v>
      </c>
      <c r="J169" t="s">
        <v>36</v>
      </c>
      <c r="K169" t="s">
        <v>37</v>
      </c>
      <c r="L169" t="s">
        <v>22</v>
      </c>
      <c r="M169">
        <v>21000.43</v>
      </c>
      <c r="N169">
        <v>2020</v>
      </c>
      <c r="O169">
        <v>4</v>
      </c>
    </row>
    <row r="170" spans="1:15" x14ac:dyDescent="0.3">
      <c r="A170" s="1">
        <v>43931</v>
      </c>
      <c r="B170">
        <v>1000000237</v>
      </c>
      <c r="C170" t="s">
        <v>42</v>
      </c>
      <c r="D170">
        <v>2</v>
      </c>
      <c r="E170">
        <v>38000.639999999999</v>
      </c>
      <c r="F170" t="s">
        <v>16</v>
      </c>
      <c r="G170" t="s">
        <v>43</v>
      </c>
      <c r="H170" t="s">
        <v>18</v>
      </c>
      <c r="I170" t="s">
        <v>40</v>
      </c>
      <c r="J170" t="s">
        <v>26</v>
      </c>
      <c r="K170" t="s">
        <v>41</v>
      </c>
      <c r="L170" t="s">
        <v>22</v>
      </c>
      <c r="M170">
        <v>19000.32</v>
      </c>
      <c r="N170">
        <v>2020</v>
      </c>
      <c r="O170">
        <v>4</v>
      </c>
    </row>
    <row r="171" spans="1:15" x14ac:dyDescent="0.3">
      <c r="A171" s="1">
        <v>43931</v>
      </c>
      <c r="B171">
        <v>1000000044</v>
      </c>
      <c r="C171" t="s">
        <v>15</v>
      </c>
      <c r="D171">
        <v>3</v>
      </c>
      <c r="E171">
        <v>38000.120000000003</v>
      </c>
      <c r="F171" t="s">
        <v>16</v>
      </c>
      <c r="G171" t="s">
        <v>17</v>
      </c>
      <c r="H171" t="s">
        <v>30</v>
      </c>
      <c r="I171" t="s">
        <v>31</v>
      </c>
      <c r="J171" t="s">
        <v>36</v>
      </c>
      <c r="K171" t="s">
        <v>52</v>
      </c>
      <c r="L171" t="s">
        <v>28</v>
      </c>
      <c r="M171">
        <v>12666.706666666669</v>
      </c>
      <c r="N171">
        <v>2020</v>
      </c>
      <c r="O171">
        <v>4</v>
      </c>
    </row>
    <row r="172" spans="1:15" x14ac:dyDescent="0.3">
      <c r="A172" s="1">
        <v>43931</v>
      </c>
      <c r="B172">
        <v>1000000049</v>
      </c>
      <c r="C172" t="s">
        <v>42</v>
      </c>
      <c r="D172">
        <v>3</v>
      </c>
      <c r="E172">
        <v>33000.57</v>
      </c>
      <c r="F172" t="s">
        <v>16</v>
      </c>
      <c r="G172" t="s">
        <v>43</v>
      </c>
      <c r="H172" t="s">
        <v>18</v>
      </c>
      <c r="I172" t="s">
        <v>40</v>
      </c>
      <c r="J172" t="s">
        <v>26</v>
      </c>
      <c r="K172" t="s">
        <v>41</v>
      </c>
      <c r="L172" t="s">
        <v>22</v>
      </c>
      <c r="M172">
        <v>11000.19</v>
      </c>
      <c r="N172">
        <v>2020</v>
      </c>
      <c r="O172">
        <v>4</v>
      </c>
    </row>
    <row r="173" spans="1:15" x14ac:dyDescent="0.3">
      <c r="A173" s="1">
        <v>43931</v>
      </c>
      <c r="B173">
        <v>1000000057</v>
      </c>
      <c r="C173" t="s">
        <v>15</v>
      </c>
      <c r="D173">
        <v>2</v>
      </c>
      <c r="E173">
        <v>28000.78</v>
      </c>
      <c r="F173" t="s">
        <v>16</v>
      </c>
      <c r="G173" t="s">
        <v>17</v>
      </c>
      <c r="H173" t="s">
        <v>18</v>
      </c>
      <c r="I173" t="s">
        <v>34</v>
      </c>
      <c r="J173" t="s">
        <v>20</v>
      </c>
      <c r="K173" t="s">
        <v>44</v>
      </c>
      <c r="L173" t="s">
        <v>22</v>
      </c>
      <c r="M173">
        <v>14000.39</v>
      </c>
      <c r="N173">
        <v>2020</v>
      </c>
      <c r="O173">
        <v>4</v>
      </c>
    </row>
    <row r="174" spans="1:15" x14ac:dyDescent="0.3">
      <c r="A174" s="1">
        <v>43931</v>
      </c>
      <c r="B174">
        <v>1000000566</v>
      </c>
      <c r="C174" t="s">
        <v>42</v>
      </c>
      <c r="D174">
        <v>2</v>
      </c>
      <c r="E174">
        <v>27000.6</v>
      </c>
      <c r="F174" t="s">
        <v>16</v>
      </c>
      <c r="G174" t="s">
        <v>43</v>
      </c>
      <c r="H174" t="s">
        <v>47</v>
      </c>
      <c r="I174" t="s">
        <v>48</v>
      </c>
      <c r="J174" t="s">
        <v>36</v>
      </c>
      <c r="K174" t="s">
        <v>49</v>
      </c>
      <c r="L174" t="s">
        <v>22</v>
      </c>
      <c r="M174">
        <v>13500.3</v>
      </c>
      <c r="N174">
        <v>2020</v>
      </c>
      <c r="O174">
        <v>4</v>
      </c>
    </row>
    <row r="175" spans="1:15" x14ac:dyDescent="0.3">
      <c r="A175" s="1">
        <v>43931</v>
      </c>
      <c r="B175">
        <v>1000001513</v>
      </c>
      <c r="C175" t="s">
        <v>42</v>
      </c>
      <c r="D175">
        <v>1</v>
      </c>
      <c r="E175">
        <v>22000.34</v>
      </c>
      <c r="F175" t="s">
        <v>16</v>
      </c>
      <c r="G175" t="s">
        <v>43</v>
      </c>
      <c r="H175" t="s">
        <v>18</v>
      </c>
      <c r="I175" t="s">
        <v>34</v>
      </c>
      <c r="J175" t="s">
        <v>20</v>
      </c>
      <c r="K175" t="s">
        <v>44</v>
      </c>
      <c r="L175" t="s">
        <v>22</v>
      </c>
      <c r="M175">
        <v>22000.34</v>
      </c>
      <c r="N175">
        <v>2020</v>
      </c>
      <c r="O175">
        <v>4</v>
      </c>
    </row>
    <row r="176" spans="1:15" x14ac:dyDescent="0.3">
      <c r="A176" s="1">
        <v>43931</v>
      </c>
      <c r="B176">
        <v>1000000035</v>
      </c>
      <c r="C176" t="s">
        <v>23</v>
      </c>
      <c r="D176">
        <v>1</v>
      </c>
      <c r="E176">
        <v>22000.32</v>
      </c>
      <c r="F176" t="s">
        <v>16</v>
      </c>
      <c r="G176" t="s">
        <v>24</v>
      </c>
      <c r="H176" t="s">
        <v>18</v>
      </c>
      <c r="I176" t="s">
        <v>25</v>
      </c>
      <c r="J176" t="s">
        <v>36</v>
      </c>
      <c r="K176" t="s">
        <v>37</v>
      </c>
      <c r="L176" t="s">
        <v>22</v>
      </c>
      <c r="M176">
        <v>22000.32</v>
      </c>
      <c r="N176">
        <v>2020</v>
      </c>
      <c r="O176">
        <v>4</v>
      </c>
    </row>
    <row r="177" spans="1:15" x14ac:dyDescent="0.3">
      <c r="A177" s="1">
        <v>43931</v>
      </c>
      <c r="B177">
        <v>1000000040</v>
      </c>
      <c r="C177" t="s">
        <v>23</v>
      </c>
      <c r="D177">
        <v>1</v>
      </c>
      <c r="E177">
        <v>20001.260000000002</v>
      </c>
      <c r="F177" t="s">
        <v>16</v>
      </c>
      <c r="G177" t="s">
        <v>24</v>
      </c>
      <c r="H177" t="s">
        <v>30</v>
      </c>
      <c r="I177" t="s">
        <v>31</v>
      </c>
      <c r="J177" t="s">
        <v>32</v>
      </c>
      <c r="K177" t="s">
        <v>33</v>
      </c>
      <c r="L177" t="s">
        <v>28</v>
      </c>
      <c r="M177">
        <v>20001.259999999998</v>
      </c>
      <c r="N177">
        <v>2020</v>
      </c>
      <c r="O177">
        <v>4</v>
      </c>
    </row>
    <row r="178" spans="1:15" x14ac:dyDescent="0.3">
      <c r="A178" s="1">
        <v>43931</v>
      </c>
      <c r="B178">
        <v>1000000041</v>
      </c>
      <c r="C178" t="s">
        <v>15</v>
      </c>
      <c r="D178">
        <v>1</v>
      </c>
      <c r="E178">
        <v>20000.54</v>
      </c>
      <c r="F178" t="s">
        <v>16</v>
      </c>
      <c r="G178" t="s">
        <v>17</v>
      </c>
      <c r="H178" t="s">
        <v>30</v>
      </c>
      <c r="I178" t="s">
        <v>31</v>
      </c>
      <c r="J178" t="s">
        <v>32</v>
      </c>
      <c r="K178" t="s">
        <v>33</v>
      </c>
      <c r="L178" t="s">
        <v>22</v>
      </c>
      <c r="M178">
        <v>20000.54</v>
      </c>
      <c r="N178">
        <v>2020</v>
      </c>
      <c r="O178">
        <v>4</v>
      </c>
    </row>
    <row r="179" spans="1:15" x14ac:dyDescent="0.3">
      <c r="A179" s="1">
        <v>43931</v>
      </c>
      <c r="B179">
        <v>1000000029</v>
      </c>
      <c r="C179" t="s">
        <v>23</v>
      </c>
      <c r="D179">
        <v>1</v>
      </c>
      <c r="E179">
        <v>15000.61</v>
      </c>
      <c r="F179" t="s">
        <v>16</v>
      </c>
      <c r="G179" t="s">
        <v>24</v>
      </c>
      <c r="H179" t="s">
        <v>18</v>
      </c>
      <c r="I179" t="s">
        <v>19</v>
      </c>
      <c r="J179" t="s">
        <v>20</v>
      </c>
      <c r="K179" t="s">
        <v>21</v>
      </c>
      <c r="L179" t="s">
        <v>22</v>
      </c>
      <c r="M179">
        <v>15000.61</v>
      </c>
      <c r="N179">
        <v>2020</v>
      </c>
      <c r="O179">
        <v>4</v>
      </c>
    </row>
    <row r="180" spans="1:15" x14ac:dyDescent="0.3">
      <c r="A180" s="1">
        <v>43931</v>
      </c>
      <c r="B180">
        <v>1000000068</v>
      </c>
      <c r="C180" t="s">
        <v>15</v>
      </c>
      <c r="D180">
        <v>1</v>
      </c>
      <c r="E180">
        <v>15000.33</v>
      </c>
      <c r="F180" t="s">
        <v>16</v>
      </c>
      <c r="G180" t="s">
        <v>17</v>
      </c>
      <c r="H180" t="s">
        <v>30</v>
      </c>
      <c r="I180" t="s">
        <v>55</v>
      </c>
      <c r="J180" t="s">
        <v>26</v>
      </c>
      <c r="K180" t="s">
        <v>56</v>
      </c>
      <c r="L180" t="s">
        <v>28</v>
      </c>
      <c r="M180">
        <v>15000.33</v>
      </c>
      <c r="N180">
        <v>2020</v>
      </c>
      <c r="O180">
        <v>4</v>
      </c>
    </row>
    <row r="181" spans="1:15" x14ac:dyDescent="0.3">
      <c r="A181" s="1">
        <v>43931</v>
      </c>
      <c r="B181">
        <v>1000000058</v>
      </c>
      <c r="C181" t="s">
        <v>15</v>
      </c>
      <c r="D181">
        <v>1</v>
      </c>
      <c r="E181">
        <v>10000.719999999999</v>
      </c>
      <c r="F181" t="s">
        <v>16</v>
      </c>
      <c r="G181" t="s">
        <v>17</v>
      </c>
      <c r="H181" t="s">
        <v>18</v>
      </c>
      <c r="I181" t="s">
        <v>34</v>
      </c>
      <c r="J181" t="s">
        <v>20</v>
      </c>
      <c r="K181" t="s">
        <v>44</v>
      </c>
      <c r="L181" t="s">
        <v>22</v>
      </c>
      <c r="M181">
        <v>10000.719999999999</v>
      </c>
      <c r="N181">
        <v>2020</v>
      </c>
      <c r="O181">
        <v>4</v>
      </c>
    </row>
    <row r="182" spans="1:15" x14ac:dyDescent="0.3">
      <c r="A182" s="1">
        <v>43931</v>
      </c>
      <c r="B182">
        <v>1000000036</v>
      </c>
      <c r="C182" t="s">
        <v>15</v>
      </c>
      <c r="D182">
        <v>1</v>
      </c>
      <c r="E182">
        <v>10000.26</v>
      </c>
      <c r="F182" t="s">
        <v>16</v>
      </c>
      <c r="G182" t="s">
        <v>17</v>
      </c>
      <c r="H182" t="s">
        <v>47</v>
      </c>
      <c r="I182" t="s">
        <v>48</v>
      </c>
      <c r="J182" t="s">
        <v>36</v>
      </c>
      <c r="K182" t="s">
        <v>49</v>
      </c>
      <c r="L182" t="s">
        <v>28</v>
      </c>
      <c r="M182">
        <v>10000.26</v>
      </c>
      <c r="N182">
        <v>2020</v>
      </c>
      <c r="O182">
        <v>4</v>
      </c>
    </row>
    <row r="183" spans="1:15" x14ac:dyDescent="0.3">
      <c r="A183" s="1">
        <v>43931</v>
      </c>
      <c r="B183">
        <v>1000000031</v>
      </c>
      <c r="C183" t="s">
        <v>15</v>
      </c>
      <c r="D183">
        <v>1</v>
      </c>
      <c r="E183">
        <v>10000.23</v>
      </c>
      <c r="F183" t="s">
        <v>16</v>
      </c>
      <c r="G183" t="s">
        <v>17</v>
      </c>
      <c r="H183" t="s">
        <v>18</v>
      </c>
      <c r="I183" t="s">
        <v>19</v>
      </c>
      <c r="J183" t="s">
        <v>26</v>
      </c>
      <c r="K183" t="s">
        <v>29</v>
      </c>
      <c r="L183" t="s">
        <v>28</v>
      </c>
      <c r="M183">
        <v>10000.23</v>
      </c>
      <c r="N183">
        <v>2020</v>
      </c>
      <c r="O183">
        <v>4</v>
      </c>
    </row>
    <row r="184" spans="1:15" x14ac:dyDescent="0.3">
      <c r="A184" s="1">
        <v>43931</v>
      </c>
      <c r="B184">
        <v>1000000032</v>
      </c>
      <c r="C184" t="s">
        <v>15</v>
      </c>
      <c r="D184">
        <v>1</v>
      </c>
      <c r="E184">
        <v>10000.1</v>
      </c>
      <c r="F184" t="s">
        <v>16</v>
      </c>
      <c r="G184" t="s">
        <v>17</v>
      </c>
      <c r="H184" t="s">
        <v>18</v>
      </c>
      <c r="I184" t="s">
        <v>25</v>
      </c>
      <c r="J184" t="s">
        <v>26</v>
      </c>
      <c r="K184" t="s">
        <v>27</v>
      </c>
      <c r="L184" t="s">
        <v>28</v>
      </c>
      <c r="M184">
        <v>10000.1</v>
      </c>
      <c r="N184">
        <v>2020</v>
      </c>
      <c r="O184">
        <v>4</v>
      </c>
    </row>
    <row r="185" spans="1:15" x14ac:dyDescent="0.3">
      <c r="A185" s="1">
        <v>43931</v>
      </c>
      <c r="B185">
        <v>1000000049</v>
      </c>
      <c r="C185" t="s">
        <v>23</v>
      </c>
      <c r="D185">
        <v>1</v>
      </c>
      <c r="E185">
        <v>10000.09</v>
      </c>
      <c r="F185" t="s">
        <v>16</v>
      </c>
      <c r="G185" t="s">
        <v>24</v>
      </c>
      <c r="H185" t="s">
        <v>18</v>
      </c>
      <c r="I185" t="s">
        <v>40</v>
      </c>
      <c r="J185" t="s">
        <v>26</v>
      </c>
      <c r="K185" t="s">
        <v>41</v>
      </c>
      <c r="L185" t="s">
        <v>22</v>
      </c>
      <c r="M185">
        <v>10000.09</v>
      </c>
      <c r="N185">
        <v>2020</v>
      </c>
      <c r="O185">
        <v>4</v>
      </c>
    </row>
    <row r="186" spans="1:15" x14ac:dyDescent="0.3">
      <c r="A186" s="1">
        <v>43931</v>
      </c>
      <c r="B186">
        <v>1000000043</v>
      </c>
      <c r="C186" t="s">
        <v>42</v>
      </c>
      <c r="D186">
        <v>1</v>
      </c>
      <c r="E186">
        <v>9999.98</v>
      </c>
      <c r="F186" t="s">
        <v>16</v>
      </c>
      <c r="G186" t="s">
        <v>43</v>
      </c>
      <c r="H186" t="s">
        <v>30</v>
      </c>
      <c r="I186" t="s">
        <v>38</v>
      </c>
      <c r="J186" t="s">
        <v>26</v>
      </c>
      <c r="K186" t="s">
        <v>39</v>
      </c>
      <c r="L186" t="s">
        <v>22</v>
      </c>
      <c r="M186">
        <v>9999.98</v>
      </c>
      <c r="N186">
        <v>2020</v>
      </c>
      <c r="O186">
        <v>4</v>
      </c>
    </row>
    <row r="187" spans="1:15" x14ac:dyDescent="0.3">
      <c r="A187" s="1">
        <v>43931</v>
      </c>
      <c r="B187">
        <v>1000000237</v>
      </c>
      <c r="C187" t="s">
        <v>15</v>
      </c>
      <c r="D187">
        <v>1</v>
      </c>
      <c r="E187">
        <v>8000.27</v>
      </c>
      <c r="F187" t="s">
        <v>16</v>
      </c>
      <c r="G187" t="s">
        <v>17</v>
      </c>
      <c r="H187" t="s">
        <v>18</v>
      </c>
      <c r="I187" t="s">
        <v>40</v>
      </c>
      <c r="J187" t="s">
        <v>26</v>
      </c>
      <c r="K187" t="s">
        <v>41</v>
      </c>
      <c r="L187" t="s">
        <v>22</v>
      </c>
      <c r="M187">
        <v>8000.27</v>
      </c>
      <c r="N187">
        <v>2020</v>
      </c>
      <c r="O187">
        <v>4</v>
      </c>
    </row>
    <row r="188" spans="1:15" x14ac:dyDescent="0.3">
      <c r="A188" s="1">
        <v>43931</v>
      </c>
      <c r="B188">
        <v>1000000034</v>
      </c>
      <c r="C188" t="s">
        <v>23</v>
      </c>
      <c r="D188">
        <v>1</v>
      </c>
      <c r="E188">
        <v>5000.59</v>
      </c>
      <c r="F188" t="s">
        <v>16</v>
      </c>
      <c r="G188" t="s">
        <v>24</v>
      </c>
      <c r="H188" t="s">
        <v>18</v>
      </c>
      <c r="I188" t="s">
        <v>25</v>
      </c>
      <c r="J188" t="s">
        <v>26</v>
      </c>
      <c r="K188" t="s">
        <v>27</v>
      </c>
      <c r="L188" t="s">
        <v>22</v>
      </c>
      <c r="M188">
        <v>5000.59</v>
      </c>
      <c r="N188">
        <v>2020</v>
      </c>
      <c r="O188">
        <v>4</v>
      </c>
    </row>
    <row r="189" spans="1:15" x14ac:dyDescent="0.3">
      <c r="A189" s="1">
        <v>43931</v>
      </c>
      <c r="B189">
        <v>1000000566</v>
      </c>
      <c r="C189" t="s">
        <v>15</v>
      </c>
      <c r="D189">
        <v>1</v>
      </c>
      <c r="E189">
        <v>5000.2299999999996</v>
      </c>
      <c r="F189" t="s">
        <v>16</v>
      </c>
      <c r="G189" t="s">
        <v>17</v>
      </c>
      <c r="H189" t="s">
        <v>47</v>
      </c>
      <c r="I189" t="s">
        <v>48</v>
      </c>
      <c r="J189" t="s">
        <v>36</v>
      </c>
      <c r="K189" t="s">
        <v>49</v>
      </c>
      <c r="L189" t="s">
        <v>22</v>
      </c>
      <c r="M189">
        <v>5000.2299999999996</v>
      </c>
      <c r="N189">
        <v>2020</v>
      </c>
      <c r="O189">
        <v>4</v>
      </c>
    </row>
    <row r="190" spans="1:15" x14ac:dyDescent="0.3">
      <c r="A190" s="1">
        <v>43932</v>
      </c>
      <c r="B190">
        <v>1000000040</v>
      </c>
      <c r="C190" t="s">
        <v>15</v>
      </c>
      <c r="D190">
        <v>3</v>
      </c>
      <c r="E190">
        <v>52001.440000000002</v>
      </c>
      <c r="F190" t="s">
        <v>16</v>
      </c>
      <c r="G190" t="s">
        <v>17</v>
      </c>
      <c r="H190" t="s">
        <v>30</v>
      </c>
      <c r="I190" t="s">
        <v>31</v>
      </c>
      <c r="J190" t="s">
        <v>32</v>
      </c>
      <c r="K190" t="s">
        <v>33</v>
      </c>
      <c r="L190" t="s">
        <v>28</v>
      </c>
      <c r="M190">
        <v>17333.813333333335</v>
      </c>
      <c r="N190">
        <v>2020</v>
      </c>
      <c r="O190">
        <v>4</v>
      </c>
    </row>
    <row r="191" spans="1:15" x14ac:dyDescent="0.3">
      <c r="A191" s="1">
        <v>43932</v>
      </c>
      <c r="B191">
        <v>1000000029</v>
      </c>
      <c r="C191" t="s">
        <v>23</v>
      </c>
      <c r="D191">
        <v>2</v>
      </c>
      <c r="E191">
        <v>42001.19</v>
      </c>
      <c r="F191" t="s">
        <v>16</v>
      </c>
      <c r="G191" t="s">
        <v>24</v>
      </c>
      <c r="H191" t="s">
        <v>18</v>
      </c>
      <c r="I191" t="s">
        <v>19</v>
      </c>
      <c r="J191" t="s">
        <v>20</v>
      </c>
      <c r="K191" t="s">
        <v>21</v>
      </c>
      <c r="L191" t="s">
        <v>22</v>
      </c>
      <c r="M191">
        <v>21000.595000000001</v>
      </c>
      <c r="N191">
        <v>2020</v>
      </c>
      <c r="O191">
        <v>4</v>
      </c>
    </row>
    <row r="192" spans="1:15" x14ac:dyDescent="0.3">
      <c r="A192" s="1">
        <v>43932</v>
      </c>
      <c r="B192">
        <v>1000000067</v>
      </c>
      <c r="C192" t="s">
        <v>15</v>
      </c>
      <c r="D192">
        <v>3</v>
      </c>
      <c r="E192">
        <v>40001.21</v>
      </c>
      <c r="F192" t="s">
        <v>16</v>
      </c>
      <c r="G192" t="s">
        <v>17</v>
      </c>
      <c r="H192" t="s">
        <v>18</v>
      </c>
      <c r="I192" t="s">
        <v>25</v>
      </c>
      <c r="J192" t="s">
        <v>20</v>
      </c>
      <c r="K192" t="s">
        <v>51</v>
      </c>
      <c r="L192" t="s">
        <v>22</v>
      </c>
      <c r="M192">
        <v>13333.736666666666</v>
      </c>
      <c r="N192">
        <v>2020</v>
      </c>
      <c r="O192">
        <v>4</v>
      </c>
    </row>
    <row r="193" spans="1:15" x14ac:dyDescent="0.3">
      <c r="A193" s="1">
        <v>43932</v>
      </c>
      <c r="B193">
        <v>1000001513</v>
      </c>
      <c r="C193" t="s">
        <v>15</v>
      </c>
      <c r="D193">
        <v>3</v>
      </c>
      <c r="E193">
        <v>38000.92</v>
      </c>
      <c r="F193" t="s">
        <v>16</v>
      </c>
      <c r="G193" t="s">
        <v>17</v>
      </c>
      <c r="H193" t="s">
        <v>18</v>
      </c>
      <c r="I193" t="s">
        <v>34</v>
      </c>
      <c r="J193" t="s">
        <v>20</v>
      </c>
      <c r="K193" t="s">
        <v>44</v>
      </c>
      <c r="L193" t="s">
        <v>22</v>
      </c>
      <c r="M193">
        <v>12666.973333333332</v>
      </c>
      <c r="N193">
        <v>2020</v>
      </c>
      <c r="O193">
        <v>4</v>
      </c>
    </row>
    <row r="194" spans="1:15" x14ac:dyDescent="0.3">
      <c r="A194" s="1">
        <v>43932</v>
      </c>
      <c r="B194">
        <v>1000000036</v>
      </c>
      <c r="C194" t="s">
        <v>15</v>
      </c>
      <c r="D194">
        <v>2</v>
      </c>
      <c r="E194">
        <v>25001.239999999998</v>
      </c>
      <c r="F194" t="s">
        <v>16</v>
      </c>
      <c r="G194" t="s">
        <v>17</v>
      </c>
      <c r="H194" t="s">
        <v>47</v>
      </c>
      <c r="I194" t="s">
        <v>48</v>
      </c>
      <c r="J194" t="s">
        <v>36</v>
      </c>
      <c r="K194" t="s">
        <v>49</v>
      </c>
      <c r="L194" t="s">
        <v>28</v>
      </c>
      <c r="M194">
        <v>12500.62</v>
      </c>
      <c r="N194">
        <v>2020</v>
      </c>
      <c r="O194">
        <v>4</v>
      </c>
    </row>
    <row r="195" spans="1:15" x14ac:dyDescent="0.3">
      <c r="A195" s="1">
        <v>43932</v>
      </c>
      <c r="B195">
        <v>1000000031</v>
      </c>
      <c r="C195" t="s">
        <v>15</v>
      </c>
      <c r="D195">
        <v>2</v>
      </c>
      <c r="E195">
        <v>25000.720000000001</v>
      </c>
      <c r="F195" t="s">
        <v>16</v>
      </c>
      <c r="G195" t="s">
        <v>17</v>
      </c>
      <c r="H195" t="s">
        <v>18</v>
      </c>
      <c r="I195" t="s">
        <v>19</v>
      </c>
      <c r="J195" t="s">
        <v>26</v>
      </c>
      <c r="K195" t="s">
        <v>29</v>
      </c>
      <c r="L195" t="s">
        <v>28</v>
      </c>
      <c r="M195">
        <v>12500.36</v>
      </c>
      <c r="N195">
        <v>2020</v>
      </c>
      <c r="O195">
        <v>4</v>
      </c>
    </row>
    <row r="196" spans="1:15" x14ac:dyDescent="0.3">
      <c r="A196" s="1">
        <v>43932</v>
      </c>
      <c r="B196">
        <v>1000000056</v>
      </c>
      <c r="C196" t="s">
        <v>15</v>
      </c>
      <c r="D196">
        <v>1</v>
      </c>
      <c r="E196">
        <v>22000.62</v>
      </c>
      <c r="F196" t="s">
        <v>16</v>
      </c>
      <c r="G196" t="s">
        <v>17</v>
      </c>
      <c r="H196" t="s">
        <v>18</v>
      </c>
      <c r="I196" t="s">
        <v>34</v>
      </c>
      <c r="J196" t="s">
        <v>26</v>
      </c>
      <c r="K196" t="s">
        <v>35</v>
      </c>
      <c r="L196" t="s">
        <v>28</v>
      </c>
      <c r="M196">
        <v>22000.62</v>
      </c>
      <c r="N196">
        <v>2020</v>
      </c>
      <c r="O196">
        <v>4</v>
      </c>
    </row>
    <row r="197" spans="1:15" x14ac:dyDescent="0.3">
      <c r="A197" s="1">
        <v>43932</v>
      </c>
      <c r="B197">
        <v>1000000031</v>
      </c>
      <c r="C197" t="s">
        <v>23</v>
      </c>
      <c r="D197">
        <v>1</v>
      </c>
      <c r="E197">
        <v>20000.169999999998</v>
      </c>
      <c r="F197" t="s">
        <v>16</v>
      </c>
      <c r="G197" t="s">
        <v>24</v>
      </c>
      <c r="H197" t="s">
        <v>18</v>
      </c>
      <c r="I197" t="s">
        <v>19</v>
      </c>
      <c r="J197" t="s">
        <v>26</v>
      </c>
      <c r="K197" t="s">
        <v>29</v>
      </c>
      <c r="L197" t="s">
        <v>28</v>
      </c>
      <c r="M197">
        <v>20000.169999999998</v>
      </c>
      <c r="N197">
        <v>2020</v>
      </c>
      <c r="O197">
        <v>4</v>
      </c>
    </row>
    <row r="198" spans="1:15" x14ac:dyDescent="0.3">
      <c r="A198" s="1">
        <v>43932</v>
      </c>
      <c r="B198">
        <v>1000000054</v>
      </c>
      <c r="C198" t="s">
        <v>15</v>
      </c>
      <c r="D198">
        <v>1</v>
      </c>
      <c r="E198">
        <v>20000.150000000001</v>
      </c>
      <c r="F198" t="s">
        <v>16</v>
      </c>
      <c r="G198" t="s">
        <v>17</v>
      </c>
      <c r="H198" t="s">
        <v>18</v>
      </c>
      <c r="I198" t="s">
        <v>34</v>
      </c>
      <c r="J198" t="s">
        <v>26</v>
      </c>
      <c r="K198" t="s">
        <v>35</v>
      </c>
      <c r="L198" t="s">
        <v>22</v>
      </c>
      <c r="M198">
        <v>20000.150000000001</v>
      </c>
      <c r="N198">
        <v>2020</v>
      </c>
      <c r="O198">
        <v>4</v>
      </c>
    </row>
    <row r="199" spans="1:15" x14ac:dyDescent="0.3">
      <c r="A199" s="1">
        <v>43932</v>
      </c>
      <c r="B199">
        <v>1000000237</v>
      </c>
      <c r="C199" t="s">
        <v>42</v>
      </c>
      <c r="D199">
        <v>1</v>
      </c>
      <c r="E199">
        <v>20000.11</v>
      </c>
      <c r="F199" t="s">
        <v>16</v>
      </c>
      <c r="G199" t="s">
        <v>43</v>
      </c>
      <c r="H199" t="s">
        <v>18</v>
      </c>
      <c r="I199" t="s">
        <v>40</v>
      </c>
      <c r="J199" t="s">
        <v>26</v>
      </c>
      <c r="K199" t="s">
        <v>41</v>
      </c>
      <c r="L199" t="s">
        <v>22</v>
      </c>
      <c r="M199">
        <v>20000.11</v>
      </c>
      <c r="N199">
        <v>2020</v>
      </c>
      <c r="O199">
        <v>4</v>
      </c>
    </row>
    <row r="200" spans="1:15" x14ac:dyDescent="0.3">
      <c r="A200" s="1">
        <v>43932</v>
      </c>
      <c r="B200">
        <v>1000000566</v>
      </c>
      <c r="C200" t="s">
        <v>42</v>
      </c>
      <c r="D200">
        <v>2</v>
      </c>
      <c r="E200">
        <v>18000.68</v>
      </c>
      <c r="F200" t="s">
        <v>16</v>
      </c>
      <c r="G200" t="s">
        <v>43</v>
      </c>
      <c r="H200" t="s">
        <v>47</v>
      </c>
      <c r="I200" t="s">
        <v>48</v>
      </c>
      <c r="J200" t="s">
        <v>36</v>
      </c>
      <c r="K200" t="s">
        <v>49</v>
      </c>
      <c r="L200" t="s">
        <v>22</v>
      </c>
      <c r="M200">
        <v>9000.34</v>
      </c>
      <c r="N200">
        <v>2020</v>
      </c>
      <c r="O200">
        <v>4</v>
      </c>
    </row>
    <row r="201" spans="1:15" x14ac:dyDescent="0.3">
      <c r="A201" s="1">
        <v>43932</v>
      </c>
      <c r="B201">
        <v>1000000030</v>
      </c>
      <c r="C201" t="s">
        <v>42</v>
      </c>
      <c r="D201">
        <v>1</v>
      </c>
      <c r="E201">
        <v>18000.580000000002</v>
      </c>
      <c r="F201" t="s">
        <v>16</v>
      </c>
      <c r="G201" t="s">
        <v>43</v>
      </c>
      <c r="H201" t="s">
        <v>47</v>
      </c>
      <c r="I201" t="s">
        <v>48</v>
      </c>
      <c r="J201" t="s">
        <v>36</v>
      </c>
      <c r="K201" t="s">
        <v>49</v>
      </c>
      <c r="L201" t="s">
        <v>22</v>
      </c>
      <c r="M201">
        <v>18000.580000000002</v>
      </c>
      <c r="N201">
        <v>2020</v>
      </c>
      <c r="O201">
        <v>4</v>
      </c>
    </row>
    <row r="202" spans="1:15" x14ac:dyDescent="0.3">
      <c r="A202" s="1">
        <v>43932</v>
      </c>
      <c r="B202">
        <v>1000000035</v>
      </c>
      <c r="C202" t="s">
        <v>15</v>
      </c>
      <c r="D202">
        <v>1</v>
      </c>
      <c r="E202">
        <v>18000.3</v>
      </c>
      <c r="F202" t="s">
        <v>16</v>
      </c>
      <c r="G202" t="s">
        <v>17</v>
      </c>
      <c r="H202" t="s">
        <v>18</v>
      </c>
      <c r="I202" t="s">
        <v>25</v>
      </c>
      <c r="J202" t="s">
        <v>36</v>
      </c>
      <c r="K202" t="s">
        <v>37</v>
      </c>
      <c r="L202" t="s">
        <v>22</v>
      </c>
      <c r="M202">
        <v>18000.3</v>
      </c>
      <c r="N202">
        <v>2020</v>
      </c>
      <c r="O202">
        <v>4</v>
      </c>
    </row>
    <row r="203" spans="1:15" x14ac:dyDescent="0.3">
      <c r="A203" s="1">
        <v>43932</v>
      </c>
      <c r="B203">
        <v>1000000047</v>
      </c>
      <c r="C203" t="s">
        <v>42</v>
      </c>
      <c r="D203">
        <v>1</v>
      </c>
      <c r="E203">
        <v>18000.21</v>
      </c>
      <c r="F203" t="s">
        <v>16</v>
      </c>
      <c r="G203" t="s">
        <v>43</v>
      </c>
      <c r="H203" t="s">
        <v>47</v>
      </c>
      <c r="I203" t="s">
        <v>48</v>
      </c>
      <c r="J203" t="s">
        <v>26</v>
      </c>
      <c r="K203" t="s">
        <v>50</v>
      </c>
      <c r="L203" t="s">
        <v>22</v>
      </c>
      <c r="M203">
        <v>18000.21</v>
      </c>
      <c r="N203">
        <v>2020</v>
      </c>
      <c r="O203">
        <v>4</v>
      </c>
    </row>
    <row r="204" spans="1:15" x14ac:dyDescent="0.3">
      <c r="A204" s="1">
        <v>43932</v>
      </c>
      <c r="B204">
        <v>1000000034</v>
      </c>
      <c r="C204" t="s">
        <v>23</v>
      </c>
      <c r="D204">
        <v>1</v>
      </c>
      <c r="E204">
        <v>15000.64</v>
      </c>
      <c r="F204" t="s">
        <v>16</v>
      </c>
      <c r="G204" t="s">
        <v>24</v>
      </c>
      <c r="H204" t="s">
        <v>18</v>
      </c>
      <c r="I204" t="s">
        <v>25</v>
      </c>
      <c r="J204" t="s">
        <v>26</v>
      </c>
      <c r="K204" t="s">
        <v>27</v>
      </c>
      <c r="L204" t="s">
        <v>22</v>
      </c>
      <c r="M204">
        <v>15000.64</v>
      </c>
      <c r="N204">
        <v>2020</v>
      </c>
      <c r="O204">
        <v>4</v>
      </c>
    </row>
    <row r="205" spans="1:15" x14ac:dyDescent="0.3">
      <c r="A205" s="1">
        <v>43932</v>
      </c>
      <c r="B205">
        <v>1000000034</v>
      </c>
      <c r="C205" t="s">
        <v>15</v>
      </c>
      <c r="D205">
        <v>1</v>
      </c>
      <c r="E205">
        <v>15000.46</v>
      </c>
      <c r="F205" t="s">
        <v>16</v>
      </c>
      <c r="G205" t="s">
        <v>17</v>
      </c>
      <c r="H205" t="s">
        <v>18</v>
      </c>
      <c r="I205" t="s">
        <v>25</v>
      </c>
      <c r="J205" t="s">
        <v>26</v>
      </c>
      <c r="K205" t="s">
        <v>27</v>
      </c>
      <c r="L205" t="s">
        <v>22</v>
      </c>
      <c r="M205">
        <v>15000.46</v>
      </c>
      <c r="N205">
        <v>2020</v>
      </c>
      <c r="O205">
        <v>4</v>
      </c>
    </row>
    <row r="206" spans="1:15" x14ac:dyDescent="0.3">
      <c r="A206" s="1">
        <v>43932</v>
      </c>
      <c r="B206">
        <v>1000000036</v>
      </c>
      <c r="C206" t="s">
        <v>23</v>
      </c>
      <c r="D206">
        <v>1</v>
      </c>
      <c r="E206">
        <v>15000.09</v>
      </c>
      <c r="F206" t="s">
        <v>16</v>
      </c>
      <c r="G206" t="s">
        <v>24</v>
      </c>
      <c r="H206" t="s">
        <v>47</v>
      </c>
      <c r="I206" t="s">
        <v>48</v>
      </c>
      <c r="J206" t="s">
        <v>36</v>
      </c>
      <c r="K206" t="s">
        <v>49</v>
      </c>
      <c r="L206" t="s">
        <v>28</v>
      </c>
      <c r="M206">
        <v>15000.09</v>
      </c>
      <c r="N206">
        <v>2020</v>
      </c>
      <c r="O206">
        <v>4</v>
      </c>
    </row>
    <row r="207" spans="1:15" x14ac:dyDescent="0.3">
      <c r="A207" s="1">
        <v>43932</v>
      </c>
      <c r="B207">
        <v>1000000052</v>
      </c>
      <c r="C207" t="s">
        <v>15</v>
      </c>
      <c r="D207">
        <v>1</v>
      </c>
      <c r="E207">
        <v>14999.99</v>
      </c>
      <c r="F207" t="s">
        <v>16</v>
      </c>
      <c r="G207" t="s">
        <v>17</v>
      </c>
      <c r="H207" t="s">
        <v>18</v>
      </c>
      <c r="I207" t="s">
        <v>34</v>
      </c>
      <c r="J207" t="s">
        <v>20</v>
      </c>
      <c r="K207" t="s">
        <v>44</v>
      </c>
      <c r="L207" t="s">
        <v>22</v>
      </c>
      <c r="M207">
        <v>14999.99</v>
      </c>
      <c r="N207">
        <v>2020</v>
      </c>
      <c r="O207">
        <v>4</v>
      </c>
    </row>
    <row r="208" spans="1:15" x14ac:dyDescent="0.3">
      <c r="A208" s="1">
        <v>43932</v>
      </c>
      <c r="B208">
        <v>1000000052</v>
      </c>
      <c r="C208" t="s">
        <v>23</v>
      </c>
      <c r="D208">
        <v>1</v>
      </c>
      <c r="E208">
        <v>10000.709999999999</v>
      </c>
      <c r="F208" t="s">
        <v>16</v>
      </c>
      <c r="G208" t="s">
        <v>24</v>
      </c>
      <c r="H208" t="s">
        <v>18</v>
      </c>
      <c r="I208" t="s">
        <v>34</v>
      </c>
      <c r="J208" t="s">
        <v>20</v>
      </c>
      <c r="K208" t="s">
        <v>44</v>
      </c>
      <c r="L208" t="s">
        <v>22</v>
      </c>
      <c r="M208">
        <v>10000.709999999999</v>
      </c>
      <c r="N208">
        <v>2020</v>
      </c>
      <c r="O208">
        <v>4</v>
      </c>
    </row>
    <row r="209" spans="1:15" x14ac:dyDescent="0.3">
      <c r="A209" s="1">
        <v>43932</v>
      </c>
      <c r="B209">
        <v>1000000576</v>
      </c>
      <c r="C209" t="s">
        <v>42</v>
      </c>
      <c r="D209">
        <v>1</v>
      </c>
      <c r="E209">
        <v>10000.540000000001</v>
      </c>
      <c r="F209" t="s">
        <v>16</v>
      </c>
      <c r="G209" t="s">
        <v>43</v>
      </c>
      <c r="H209" t="s">
        <v>18</v>
      </c>
      <c r="I209" t="s">
        <v>25</v>
      </c>
      <c r="J209" t="s">
        <v>36</v>
      </c>
      <c r="K209" t="s">
        <v>37</v>
      </c>
      <c r="L209" t="s">
        <v>22</v>
      </c>
      <c r="M209">
        <v>10000.540000000001</v>
      </c>
      <c r="N209">
        <v>2020</v>
      </c>
      <c r="O209">
        <v>4</v>
      </c>
    </row>
    <row r="210" spans="1:15" x14ac:dyDescent="0.3">
      <c r="A210" s="1">
        <v>43932</v>
      </c>
      <c r="B210">
        <v>1000000576</v>
      </c>
      <c r="C210" t="s">
        <v>15</v>
      </c>
      <c r="D210">
        <v>1</v>
      </c>
      <c r="E210">
        <v>10000.39</v>
      </c>
      <c r="F210" t="s">
        <v>16</v>
      </c>
      <c r="G210" t="s">
        <v>17</v>
      </c>
      <c r="H210" t="s">
        <v>18</v>
      </c>
      <c r="I210" t="s">
        <v>25</v>
      </c>
      <c r="J210" t="s">
        <v>36</v>
      </c>
      <c r="K210" t="s">
        <v>37</v>
      </c>
      <c r="L210" t="s">
        <v>22</v>
      </c>
      <c r="M210">
        <v>10000.39</v>
      </c>
      <c r="N210">
        <v>2020</v>
      </c>
      <c r="O210">
        <v>4</v>
      </c>
    </row>
    <row r="211" spans="1:15" x14ac:dyDescent="0.3">
      <c r="A211" s="1">
        <v>43932</v>
      </c>
      <c r="B211">
        <v>1000000044</v>
      </c>
      <c r="C211" t="s">
        <v>15</v>
      </c>
      <c r="D211">
        <v>1</v>
      </c>
      <c r="E211">
        <v>10000.16</v>
      </c>
      <c r="F211" t="s">
        <v>16</v>
      </c>
      <c r="G211" t="s">
        <v>17</v>
      </c>
      <c r="H211" t="s">
        <v>30</v>
      </c>
      <c r="I211" t="s">
        <v>31</v>
      </c>
      <c r="J211" t="s">
        <v>36</v>
      </c>
      <c r="K211" t="s">
        <v>52</v>
      </c>
      <c r="L211" t="s">
        <v>28</v>
      </c>
      <c r="M211">
        <v>10000.16</v>
      </c>
      <c r="N211">
        <v>2020</v>
      </c>
      <c r="O211">
        <v>4</v>
      </c>
    </row>
    <row r="212" spans="1:15" x14ac:dyDescent="0.3">
      <c r="A212" s="1">
        <v>43932</v>
      </c>
      <c r="B212">
        <v>1000000049</v>
      </c>
      <c r="C212" t="s">
        <v>42</v>
      </c>
      <c r="D212">
        <v>1</v>
      </c>
      <c r="E212">
        <v>10000.07</v>
      </c>
      <c r="F212" t="s">
        <v>16</v>
      </c>
      <c r="G212" t="s">
        <v>43</v>
      </c>
      <c r="H212" t="s">
        <v>18</v>
      </c>
      <c r="I212" t="s">
        <v>40</v>
      </c>
      <c r="J212" t="s">
        <v>26</v>
      </c>
      <c r="K212" t="s">
        <v>41</v>
      </c>
      <c r="L212" t="s">
        <v>22</v>
      </c>
      <c r="M212">
        <v>10000.07</v>
      </c>
      <c r="N212">
        <v>2020</v>
      </c>
      <c r="O212">
        <v>4</v>
      </c>
    </row>
    <row r="213" spans="1:15" x14ac:dyDescent="0.3">
      <c r="A213" s="1">
        <v>43932</v>
      </c>
      <c r="B213">
        <v>1000000035</v>
      </c>
      <c r="C213" t="s">
        <v>23</v>
      </c>
      <c r="D213">
        <v>1</v>
      </c>
      <c r="E213">
        <v>7999.98</v>
      </c>
      <c r="F213" t="s">
        <v>16</v>
      </c>
      <c r="G213" t="s">
        <v>24</v>
      </c>
      <c r="H213" t="s">
        <v>18</v>
      </c>
      <c r="I213" t="s">
        <v>25</v>
      </c>
      <c r="J213" t="s">
        <v>36</v>
      </c>
      <c r="K213" t="s">
        <v>37</v>
      </c>
      <c r="L213" t="s">
        <v>22</v>
      </c>
      <c r="M213">
        <v>7999.98</v>
      </c>
      <c r="N213">
        <v>2020</v>
      </c>
      <c r="O213">
        <v>4</v>
      </c>
    </row>
    <row r="214" spans="1:15" x14ac:dyDescent="0.3">
      <c r="A214" s="1">
        <v>43932</v>
      </c>
      <c r="B214">
        <v>1000000067</v>
      </c>
      <c r="C214" t="s">
        <v>23</v>
      </c>
      <c r="D214">
        <v>2</v>
      </c>
      <c r="E214">
        <v>5500.62</v>
      </c>
      <c r="F214" t="s">
        <v>16</v>
      </c>
      <c r="G214" t="s">
        <v>24</v>
      </c>
      <c r="H214" t="s">
        <v>18</v>
      </c>
      <c r="I214" t="s">
        <v>25</v>
      </c>
      <c r="J214" t="s">
        <v>20</v>
      </c>
      <c r="K214" t="s">
        <v>51</v>
      </c>
      <c r="L214" t="s">
        <v>22</v>
      </c>
      <c r="M214">
        <v>2750.31</v>
      </c>
      <c r="N214">
        <v>2020</v>
      </c>
      <c r="O214">
        <v>4</v>
      </c>
    </row>
    <row r="215" spans="1:15" x14ac:dyDescent="0.3">
      <c r="A215" s="1">
        <v>43932</v>
      </c>
      <c r="B215">
        <v>1000000047</v>
      </c>
      <c r="C215" t="s">
        <v>15</v>
      </c>
      <c r="D215">
        <v>1</v>
      </c>
      <c r="E215">
        <v>5000.7299999999996</v>
      </c>
      <c r="F215" t="s">
        <v>16</v>
      </c>
      <c r="G215" t="s">
        <v>17</v>
      </c>
      <c r="H215" t="s">
        <v>47</v>
      </c>
      <c r="I215" t="s">
        <v>48</v>
      </c>
      <c r="J215" t="s">
        <v>26</v>
      </c>
      <c r="K215" t="s">
        <v>50</v>
      </c>
      <c r="L215" t="s">
        <v>22</v>
      </c>
      <c r="M215">
        <v>5000.7299999999996</v>
      </c>
      <c r="N215">
        <v>2020</v>
      </c>
      <c r="O215">
        <v>4</v>
      </c>
    </row>
    <row r="216" spans="1:15" x14ac:dyDescent="0.3">
      <c r="A216" s="1">
        <v>43932</v>
      </c>
      <c r="B216">
        <v>1000000068</v>
      </c>
      <c r="C216" t="s">
        <v>23</v>
      </c>
      <c r="D216">
        <v>2</v>
      </c>
      <c r="E216">
        <v>4000.81</v>
      </c>
      <c r="F216" t="s">
        <v>16</v>
      </c>
      <c r="G216" t="s">
        <v>24</v>
      </c>
      <c r="H216" t="s">
        <v>30</v>
      </c>
      <c r="I216" t="s">
        <v>55</v>
      </c>
      <c r="J216" t="s">
        <v>26</v>
      </c>
      <c r="K216" t="s">
        <v>56</v>
      </c>
      <c r="L216" t="s">
        <v>28</v>
      </c>
      <c r="M216">
        <v>2000.405</v>
      </c>
      <c r="N216">
        <v>2020</v>
      </c>
      <c r="O216">
        <v>4</v>
      </c>
    </row>
    <row r="217" spans="1:15" x14ac:dyDescent="0.3">
      <c r="A217" s="1">
        <v>43932</v>
      </c>
      <c r="B217">
        <v>1000000036</v>
      </c>
      <c r="C217" t="s">
        <v>54</v>
      </c>
      <c r="D217">
        <v>1</v>
      </c>
      <c r="E217">
        <v>339.44</v>
      </c>
      <c r="F217" t="s">
        <v>46</v>
      </c>
      <c r="G217" t="s">
        <v>24</v>
      </c>
      <c r="H217" t="s">
        <v>47</v>
      </c>
      <c r="I217" t="s">
        <v>48</v>
      </c>
      <c r="J217" t="s">
        <v>36</v>
      </c>
      <c r="K217" t="s">
        <v>49</v>
      </c>
      <c r="L217" t="s">
        <v>28</v>
      </c>
      <c r="M217">
        <v>339.44</v>
      </c>
      <c r="N217">
        <v>2020</v>
      </c>
      <c r="O217">
        <v>4</v>
      </c>
    </row>
    <row r="218" spans="1:15" x14ac:dyDescent="0.3">
      <c r="A218" s="1">
        <v>43933</v>
      </c>
      <c r="B218">
        <v>1000000067</v>
      </c>
      <c r="C218" t="s">
        <v>15</v>
      </c>
      <c r="D218">
        <v>3</v>
      </c>
      <c r="E218">
        <v>56001.540000000008</v>
      </c>
      <c r="F218" t="s">
        <v>16</v>
      </c>
      <c r="G218" t="s">
        <v>17</v>
      </c>
      <c r="H218" t="s">
        <v>18</v>
      </c>
      <c r="I218" t="s">
        <v>25</v>
      </c>
      <c r="J218" t="s">
        <v>20</v>
      </c>
      <c r="K218" t="s">
        <v>51</v>
      </c>
      <c r="L218" t="s">
        <v>22</v>
      </c>
      <c r="M218">
        <v>18667.180000000004</v>
      </c>
      <c r="N218">
        <v>2020</v>
      </c>
      <c r="O218">
        <v>4</v>
      </c>
    </row>
    <row r="219" spans="1:15" x14ac:dyDescent="0.3">
      <c r="A219" s="1">
        <v>43933</v>
      </c>
      <c r="B219">
        <v>1000000237</v>
      </c>
      <c r="C219" t="s">
        <v>15</v>
      </c>
      <c r="D219">
        <v>3</v>
      </c>
      <c r="E219">
        <v>50001.51</v>
      </c>
      <c r="F219" t="s">
        <v>16</v>
      </c>
      <c r="G219" t="s">
        <v>17</v>
      </c>
      <c r="H219" t="s">
        <v>18</v>
      </c>
      <c r="I219" t="s">
        <v>40</v>
      </c>
      <c r="J219" t="s">
        <v>26</v>
      </c>
      <c r="K219" t="s">
        <v>41</v>
      </c>
      <c r="L219" t="s">
        <v>22</v>
      </c>
      <c r="M219">
        <v>16667.170000000002</v>
      </c>
      <c r="N219">
        <v>2020</v>
      </c>
      <c r="O219">
        <v>4</v>
      </c>
    </row>
    <row r="220" spans="1:15" x14ac:dyDescent="0.3">
      <c r="A220" s="1">
        <v>43933</v>
      </c>
      <c r="B220">
        <v>1000000237</v>
      </c>
      <c r="C220" t="s">
        <v>42</v>
      </c>
      <c r="D220">
        <v>2</v>
      </c>
      <c r="E220">
        <v>45000.130000000005</v>
      </c>
      <c r="F220" t="s">
        <v>16</v>
      </c>
      <c r="G220" t="s">
        <v>43</v>
      </c>
      <c r="H220" t="s">
        <v>18</v>
      </c>
      <c r="I220" t="s">
        <v>40</v>
      </c>
      <c r="J220" t="s">
        <v>26</v>
      </c>
      <c r="K220" t="s">
        <v>41</v>
      </c>
      <c r="L220" t="s">
        <v>22</v>
      </c>
      <c r="M220">
        <v>22500.064999999999</v>
      </c>
      <c r="N220">
        <v>2020</v>
      </c>
      <c r="O220">
        <v>4</v>
      </c>
    </row>
    <row r="221" spans="1:15" x14ac:dyDescent="0.3">
      <c r="A221" s="1">
        <v>43933</v>
      </c>
      <c r="B221">
        <v>1000000029</v>
      </c>
      <c r="C221" t="s">
        <v>15</v>
      </c>
      <c r="D221">
        <v>2</v>
      </c>
      <c r="E221">
        <v>38000.229999999996</v>
      </c>
      <c r="F221" t="s">
        <v>16</v>
      </c>
      <c r="G221" t="s">
        <v>17</v>
      </c>
      <c r="H221" t="s">
        <v>18</v>
      </c>
      <c r="I221" t="s">
        <v>19</v>
      </c>
      <c r="J221" t="s">
        <v>20</v>
      </c>
      <c r="K221" t="s">
        <v>21</v>
      </c>
      <c r="L221" t="s">
        <v>22</v>
      </c>
      <c r="M221">
        <v>19000.115000000002</v>
      </c>
      <c r="N221">
        <v>2020</v>
      </c>
      <c r="O221">
        <v>4</v>
      </c>
    </row>
    <row r="222" spans="1:15" x14ac:dyDescent="0.3">
      <c r="A222" s="1">
        <v>43933</v>
      </c>
      <c r="B222">
        <v>1000000049</v>
      </c>
      <c r="C222" t="s">
        <v>42</v>
      </c>
      <c r="D222">
        <v>3</v>
      </c>
      <c r="E222">
        <v>35001.15</v>
      </c>
      <c r="F222" t="s">
        <v>16</v>
      </c>
      <c r="G222" t="s">
        <v>43</v>
      </c>
      <c r="H222" t="s">
        <v>18</v>
      </c>
      <c r="I222" t="s">
        <v>40</v>
      </c>
      <c r="J222" t="s">
        <v>26</v>
      </c>
      <c r="K222" t="s">
        <v>41</v>
      </c>
      <c r="L222" t="s">
        <v>22</v>
      </c>
      <c r="M222">
        <v>11667.05</v>
      </c>
      <c r="N222">
        <v>2020</v>
      </c>
      <c r="O222">
        <v>4</v>
      </c>
    </row>
    <row r="223" spans="1:15" x14ac:dyDescent="0.3">
      <c r="A223" s="1">
        <v>43933</v>
      </c>
      <c r="B223">
        <v>1000001513</v>
      </c>
      <c r="C223" t="s">
        <v>15</v>
      </c>
      <c r="D223">
        <v>2</v>
      </c>
      <c r="E223">
        <v>30000.86</v>
      </c>
      <c r="F223" t="s">
        <v>16</v>
      </c>
      <c r="G223" t="s">
        <v>17</v>
      </c>
      <c r="H223" t="s">
        <v>18</v>
      </c>
      <c r="I223" t="s">
        <v>34</v>
      </c>
      <c r="J223" t="s">
        <v>20</v>
      </c>
      <c r="K223" t="s">
        <v>44</v>
      </c>
      <c r="L223" t="s">
        <v>22</v>
      </c>
      <c r="M223">
        <v>15000.43</v>
      </c>
      <c r="N223">
        <v>2020</v>
      </c>
      <c r="O223">
        <v>4</v>
      </c>
    </row>
    <row r="224" spans="1:15" x14ac:dyDescent="0.3">
      <c r="A224" s="1">
        <v>43933</v>
      </c>
      <c r="B224">
        <v>1000000028</v>
      </c>
      <c r="C224" t="s">
        <v>42</v>
      </c>
      <c r="D224">
        <v>2</v>
      </c>
      <c r="E224">
        <v>28000.82</v>
      </c>
      <c r="F224" t="s">
        <v>16</v>
      </c>
      <c r="G224" t="s">
        <v>43</v>
      </c>
      <c r="H224" t="s">
        <v>18</v>
      </c>
      <c r="I224" t="s">
        <v>19</v>
      </c>
      <c r="J224" t="s">
        <v>20</v>
      </c>
      <c r="K224" t="s">
        <v>21</v>
      </c>
      <c r="L224" t="s">
        <v>22</v>
      </c>
      <c r="M224">
        <v>14000.41</v>
      </c>
      <c r="N224">
        <v>2020</v>
      </c>
      <c r="O224">
        <v>4</v>
      </c>
    </row>
    <row r="225" spans="1:15" x14ac:dyDescent="0.3">
      <c r="A225" s="1">
        <v>43933</v>
      </c>
      <c r="B225">
        <v>1000000928</v>
      </c>
      <c r="C225" t="s">
        <v>15</v>
      </c>
      <c r="D225">
        <v>2</v>
      </c>
      <c r="E225">
        <v>25000.440000000002</v>
      </c>
      <c r="F225" t="s">
        <v>16</v>
      </c>
      <c r="G225" t="s">
        <v>17</v>
      </c>
      <c r="H225" t="s">
        <v>30</v>
      </c>
      <c r="I225" t="s">
        <v>57</v>
      </c>
      <c r="J225" t="s">
        <v>26</v>
      </c>
      <c r="K225" t="s">
        <v>58</v>
      </c>
      <c r="L225" t="s">
        <v>22</v>
      </c>
      <c r="M225">
        <v>12500.22</v>
      </c>
      <c r="N225">
        <v>2020</v>
      </c>
      <c r="O225">
        <v>4</v>
      </c>
    </row>
    <row r="226" spans="1:15" x14ac:dyDescent="0.3">
      <c r="A226" s="1">
        <v>43933</v>
      </c>
      <c r="B226">
        <v>1000000043</v>
      </c>
      <c r="C226" t="s">
        <v>23</v>
      </c>
      <c r="D226">
        <v>1</v>
      </c>
      <c r="E226">
        <v>24999.98</v>
      </c>
      <c r="F226" t="s">
        <v>16</v>
      </c>
      <c r="G226" t="s">
        <v>24</v>
      </c>
      <c r="H226" t="s">
        <v>30</v>
      </c>
      <c r="I226" t="s">
        <v>38</v>
      </c>
      <c r="J226" t="s">
        <v>26</v>
      </c>
      <c r="K226" t="s">
        <v>39</v>
      </c>
      <c r="L226" t="s">
        <v>22</v>
      </c>
      <c r="M226">
        <v>24999.98</v>
      </c>
      <c r="N226">
        <v>2020</v>
      </c>
      <c r="O226">
        <v>4</v>
      </c>
    </row>
    <row r="227" spans="1:15" x14ac:dyDescent="0.3">
      <c r="A227" s="1">
        <v>43933</v>
      </c>
      <c r="B227">
        <v>1000000576</v>
      </c>
      <c r="C227" t="s">
        <v>23</v>
      </c>
      <c r="D227">
        <v>1</v>
      </c>
      <c r="E227">
        <v>22000.7</v>
      </c>
      <c r="F227" t="s">
        <v>16</v>
      </c>
      <c r="G227" t="s">
        <v>24</v>
      </c>
      <c r="H227" t="s">
        <v>18</v>
      </c>
      <c r="I227" t="s">
        <v>25</v>
      </c>
      <c r="J227" t="s">
        <v>36</v>
      </c>
      <c r="K227" t="s">
        <v>37</v>
      </c>
      <c r="L227" t="s">
        <v>22</v>
      </c>
      <c r="M227">
        <v>22000.7</v>
      </c>
      <c r="N227">
        <v>2020</v>
      </c>
      <c r="O227">
        <v>4</v>
      </c>
    </row>
    <row r="228" spans="1:15" x14ac:dyDescent="0.3">
      <c r="A228" s="1">
        <v>43933</v>
      </c>
      <c r="B228">
        <v>1000000040</v>
      </c>
      <c r="C228" t="s">
        <v>15</v>
      </c>
      <c r="D228">
        <v>1</v>
      </c>
      <c r="E228">
        <v>22000.46</v>
      </c>
      <c r="F228" t="s">
        <v>16</v>
      </c>
      <c r="G228" t="s">
        <v>17</v>
      </c>
      <c r="H228" t="s">
        <v>30</v>
      </c>
      <c r="I228" t="s">
        <v>31</v>
      </c>
      <c r="J228" t="s">
        <v>32</v>
      </c>
      <c r="K228" t="s">
        <v>33</v>
      </c>
      <c r="L228" t="s">
        <v>28</v>
      </c>
      <c r="M228">
        <v>22000.46</v>
      </c>
      <c r="N228">
        <v>2020</v>
      </c>
      <c r="O228">
        <v>4</v>
      </c>
    </row>
    <row r="229" spans="1:15" x14ac:dyDescent="0.3">
      <c r="A229" s="1">
        <v>43933</v>
      </c>
      <c r="B229">
        <v>1000000067</v>
      </c>
      <c r="C229" t="s">
        <v>42</v>
      </c>
      <c r="D229">
        <v>1</v>
      </c>
      <c r="E229">
        <v>22000.02</v>
      </c>
      <c r="F229" t="s">
        <v>16</v>
      </c>
      <c r="G229" t="s">
        <v>43</v>
      </c>
      <c r="H229" t="s">
        <v>18</v>
      </c>
      <c r="I229" t="s">
        <v>25</v>
      </c>
      <c r="J229" t="s">
        <v>20</v>
      </c>
      <c r="K229" t="s">
        <v>51</v>
      </c>
      <c r="L229" t="s">
        <v>22</v>
      </c>
      <c r="M229">
        <v>22000.02</v>
      </c>
      <c r="N229">
        <v>2020</v>
      </c>
      <c r="O229">
        <v>4</v>
      </c>
    </row>
    <row r="230" spans="1:15" x14ac:dyDescent="0.3">
      <c r="A230" s="1">
        <v>43933</v>
      </c>
      <c r="B230">
        <v>1000000050</v>
      </c>
      <c r="C230" t="s">
        <v>42</v>
      </c>
      <c r="D230">
        <v>2</v>
      </c>
      <c r="E230">
        <v>20000.75</v>
      </c>
      <c r="F230" t="s">
        <v>16</v>
      </c>
      <c r="G230" t="s">
        <v>43</v>
      </c>
      <c r="H230" t="s">
        <v>18</v>
      </c>
      <c r="I230" t="s">
        <v>40</v>
      </c>
      <c r="J230" t="s">
        <v>26</v>
      </c>
      <c r="K230" t="s">
        <v>41</v>
      </c>
      <c r="L230" t="s">
        <v>22</v>
      </c>
      <c r="M230">
        <v>10000.375</v>
      </c>
      <c r="N230">
        <v>2020</v>
      </c>
      <c r="O230">
        <v>4</v>
      </c>
    </row>
    <row r="231" spans="1:15" x14ac:dyDescent="0.3">
      <c r="A231" s="1">
        <v>43933</v>
      </c>
      <c r="B231">
        <v>1000000056</v>
      </c>
      <c r="C231" t="s">
        <v>23</v>
      </c>
      <c r="D231">
        <v>1</v>
      </c>
      <c r="E231">
        <v>19999.95</v>
      </c>
      <c r="F231" t="s">
        <v>16</v>
      </c>
      <c r="G231" t="s">
        <v>24</v>
      </c>
      <c r="H231" t="s">
        <v>18</v>
      </c>
      <c r="I231" t="s">
        <v>34</v>
      </c>
      <c r="J231" t="s">
        <v>26</v>
      </c>
      <c r="K231" t="s">
        <v>35</v>
      </c>
      <c r="L231" t="s">
        <v>28</v>
      </c>
      <c r="M231">
        <v>19999.95</v>
      </c>
      <c r="N231">
        <v>2020</v>
      </c>
      <c r="O231">
        <v>4</v>
      </c>
    </row>
    <row r="232" spans="1:15" x14ac:dyDescent="0.3">
      <c r="A232" s="1">
        <v>43933</v>
      </c>
      <c r="B232">
        <v>1000000036</v>
      </c>
      <c r="C232" t="s">
        <v>23</v>
      </c>
      <c r="D232">
        <v>2</v>
      </c>
      <c r="E232">
        <v>18000.940000000002</v>
      </c>
      <c r="F232" t="s">
        <v>16</v>
      </c>
      <c r="G232" t="s">
        <v>24</v>
      </c>
      <c r="H232" t="s">
        <v>47</v>
      </c>
      <c r="I232" t="s">
        <v>48</v>
      </c>
      <c r="J232" t="s">
        <v>36</v>
      </c>
      <c r="K232" t="s">
        <v>49</v>
      </c>
      <c r="L232" t="s">
        <v>28</v>
      </c>
      <c r="M232">
        <v>9000.4700000000012</v>
      </c>
      <c r="N232">
        <v>2020</v>
      </c>
      <c r="O232">
        <v>4</v>
      </c>
    </row>
    <row r="233" spans="1:15" x14ac:dyDescent="0.3">
      <c r="A233" s="1">
        <v>43933</v>
      </c>
      <c r="B233">
        <v>1000000031</v>
      </c>
      <c r="C233" t="s">
        <v>23</v>
      </c>
      <c r="D233">
        <v>2</v>
      </c>
      <c r="E233">
        <v>17000.84</v>
      </c>
      <c r="F233" t="s">
        <v>16</v>
      </c>
      <c r="G233" t="s">
        <v>24</v>
      </c>
      <c r="H233" t="s">
        <v>18</v>
      </c>
      <c r="I233" t="s">
        <v>19</v>
      </c>
      <c r="J233" t="s">
        <v>26</v>
      </c>
      <c r="K233" t="s">
        <v>29</v>
      </c>
      <c r="L233" t="s">
        <v>28</v>
      </c>
      <c r="M233">
        <v>8500.42</v>
      </c>
      <c r="N233">
        <v>2020</v>
      </c>
      <c r="O233">
        <v>4</v>
      </c>
    </row>
    <row r="234" spans="1:15" x14ac:dyDescent="0.3">
      <c r="A234" s="1">
        <v>43933</v>
      </c>
      <c r="B234">
        <v>1000000035</v>
      </c>
      <c r="C234" t="s">
        <v>15</v>
      </c>
      <c r="D234">
        <v>1</v>
      </c>
      <c r="E234">
        <v>15000.12</v>
      </c>
      <c r="F234" t="s">
        <v>16</v>
      </c>
      <c r="G234" t="s">
        <v>17</v>
      </c>
      <c r="H234" t="s">
        <v>18</v>
      </c>
      <c r="I234" t="s">
        <v>25</v>
      </c>
      <c r="J234" t="s">
        <v>36</v>
      </c>
      <c r="K234" t="s">
        <v>37</v>
      </c>
      <c r="L234" t="s">
        <v>22</v>
      </c>
      <c r="M234">
        <v>15000.12</v>
      </c>
      <c r="N234">
        <v>2020</v>
      </c>
      <c r="O234">
        <v>4</v>
      </c>
    </row>
    <row r="235" spans="1:15" x14ac:dyDescent="0.3">
      <c r="A235" s="1">
        <v>43933</v>
      </c>
      <c r="B235">
        <v>1000000036</v>
      </c>
      <c r="C235" t="s">
        <v>15</v>
      </c>
      <c r="D235">
        <v>2</v>
      </c>
      <c r="E235">
        <v>13001.02</v>
      </c>
      <c r="F235" t="s">
        <v>16</v>
      </c>
      <c r="G235" t="s">
        <v>17</v>
      </c>
      <c r="H235" t="s">
        <v>47</v>
      </c>
      <c r="I235" t="s">
        <v>48</v>
      </c>
      <c r="J235" t="s">
        <v>36</v>
      </c>
      <c r="K235" t="s">
        <v>49</v>
      </c>
      <c r="L235" t="s">
        <v>28</v>
      </c>
      <c r="M235">
        <v>6500.51</v>
      </c>
      <c r="N235">
        <v>2020</v>
      </c>
      <c r="O235">
        <v>4</v>
      </c>
    </row>
    <row r="236" spans="1:15" x14ac:dyDescent="0.3">
      <c r="A236" s="1">
        <v>43933</v>
      </c>
      <c r="B236">
        <v>1000000040</v>
      </c>
      <c r="C236" t="s">
        <v>23</v>
      </c>
      <c r="D236">
        <v>1</v>
      </c>
      <c r="E236">
        <v>12000.42</v>
      </c>
      <c r="F236" t="s">
        <v>16</v>
      </c>
      <c r="G236" t="s">
        <v>24</v>
      </c>
      <c r="H236" t="s">
        <v>30</v>
      </c>
      <c r="I236" t="s">
        <v>31</v>
      </c>
      <c r="J236" t="s">
        <v>32</v>
      </c>
      <c r="K236" t="s">
        <v>33</v>
      </c>
      <c r="L236" t="s">
        <v>28</v>
      </c>
      <c r="M236">
        <v>12000.42</v>
      </c>
      <c r="N236">
        <v>2020</v>
      </c>
      <c r="O236">
        <v>4</v>
      </c>
    </row>
    <row r="237" spans="1:15" x14ac:dyDescent="0.3">
      <c r="A237" s="1">
        <v>43933</v>
      </c>
      <c r="B237">
        <v>1000000052</v>
      </c>
      <c r="C237" t="s">
        <v>23</v>
      </c>
      <c r="D237">
        <v>1</v>
      </c>
      <c r="E237">
        <v>10000.75</v>
      </c>
      <c r="F237" t="s">
        <v>16</v>
      </c>
      <c r="G237" t="s">
        <v>24</v>
      </c>
      <c r="H237" t="s">
        <v>18</v>
      </c>
      <c r="I237" t="s">
        <v>34</v>
      </c>
      <c r="J237" t="s">
        <v>20</v>
      </c>
      <c r="K237" t="s">
        <v>44</v>
      </c>
      <c r="L237" t="s">
        <v>22</v>
      </c>
      <c r="M237">
        <v>10000.75</v>
      </c>
      <c r="N237">
        <v>2020</v>
      </c>
      <c r="O237">
        <v>4</v>
      </c>
    </row>
    <row r="238" spans="1:15" x14ac:dyDescent="0.3">
      <c r="A238" s="1">
        <v>43933</v>
      </c>
      <c r="B238">
        <v>1000000057</v>
      </c>
      <c r="C238" t="s">
        <v>15</v>
      </c>
      <c r="D238">
        <v>1</v>
      </c>
      <c r="E238">
        <v>10000.629999999999</v>
      </c>
      <c r="F238" t="s">
        <v>16</v>
      </c>
      <c r="G238" t="s">
        <v>17</v>
      </c>
      <c r="H238" t="s">
        <v>18</v>
      </c>
      <c r="I238" t="s">
        <v>34</v>
      </c>
      <c r="J238" t="s">
        <v>20</v>
      </c>
      <c r="K238" t="s">
        <v>44</v>
      </c>
      <c r="L238" t="s">
        <v>22</v>
      </c>
      <c r="M238">
        <v>10000.629999999999</v>
      </c>
      <c r="N238">
        <v>2020</v>
      </c>
      <c r="O238">
        <v>4</v>
      </c>
    </row>
    <row r="239" spans="1:15" x14ac:dyDescent="0.3">
      <c r="A239" s="1">
        <v>43933</v>
      </c>
      <c r="B239">
        <v>1000000044</v>
      </c>
      <c r="C239" t="s">
        <v>23</v>
      </c>
      <c r="D239">
        <v>1</v>
      </c>
      <c r="E239">
        <v>10000.59</v>
      </c>
      <c r="F239" t="s">
        <v>16</v>
      </c>
      <c r="G239" t="s">
        <v>24</v>
      </c>
      <c r="H239" t="s">
        <v>30</v>
      </c>
      <c r="I239" t="s">
        <v>31</v>
      </c>
      <c r="J239" t="s">
        <v>36</v>
      </c>
      <c r="K239" t="s">
        <v>52</v>
      </c>
      <c r="L239" t="s">
        <v>28</v>
      </c>
      <c r="M239">
        <v>10000.59</v>
      </c>
      <c r="N239">
        <v>2020</v>
      </c>
      <c r="O239">
        <v>4</v>
      </c>
    </row>
    <row r="240" spans="1:15" x14ac:dyDescent="0.3">
      <c r="A240" s="1">
        <v>43933</v>
      </c>
      <c r="B240">
        <v>1000000029</v>
      </c>
      <c r="C240" t="s">
        <v>23</v>
      </c>
      <c r="D240">
        <v>1</v>
      </c>
      <c r="E240">
        <v>10000.57</v>
      </c>
      <c r="F240" t="s">
        <v>16</v>
      </c>
      <c r="G240" t="s">
        <v>24</v>
      </c>
      <c r="H240" t="s">
        <v>18</v>
      </c>
      <c r="I240" t="s">
        <v>19</v>
      </c>
      <c r="J240" t="s">
        <v>20</v>
      </c>
      <c r="K240" t="s">
        <v>21</v>
      </c>
      <c r="L240" t="s">
        <v>22</v>
      </c>
      <c r="M240">
        <v>10000.57</v>
      </c>
      <c r="N240">
        <v>2020</v>
      </c>
      <c r="O240">
        <v>4</v>
      </c>
    </row>
    <row r="241" spans="1:15" x14ac:dyDescent="0.3">
      <c r="A241" s="1">
        <v>43933</v>
      </c>
      <c r="B241">
        <v>1000000041</v>
      </c>
      <c r="C241" t="s">
        <v>15</v>
      </c>
      <c r="D241">
        <v>1</v>
      </c>
      <c r="E241">
        <v>10000.42</v>
      </c>
      <c r="F241" t="s">
        <v>16</v>
      </c>
      <c r="G241" t="s">
        <v>17</v>
      </c>
      <c r="H241" t="s">
        <v>30</v>
      </c>
      <c r="I241" t="s">
        <v>31</v>
      </c>
      <c r="J241" t="s">
        <v>32</v>
      </c>
      <c r="K241" t="s">
        <v>33</v>
      </c>
      <c r="L241" t="s">
        <v>22</v>
      </c>
      <c r="M241">
        <v>10000.42</v>
      </c>
      <c r="N241">
        <v>2020</v>
      </c>
      <c r="O241">
        <v>4</v>
      </c>
    </row>
    <row r="242" spans="1:15" x14ac:dyDescent="0.3">
      <c r="A242" s="1">
        <v>43933</v>
      </c>
      <c r="B242">
        <v>1000000566</v>
      </c>
      <c r="C242" t="s">
        <v>15</v>
      </c>
      <c r="D242">
        <v>1</v>
      </c>
      <c r="E242">
        <v>10000.379999999999</v>
      </c>
      <c r="F242" t="s">
        <v>16</v>
      </c>
      <c r="G242" t="s">
        <v>17</v>
      </c>
      <c r="H242" t="s">
        <v>47</v>
      </c>
      <c r="I242" t="s">
        <v>48</v>
      </c>
      <c r="J242" t="s">
        <v>36</v>
      </c>
      <c r="K242" t="s">
        <v>49</v>
      </c>
      <c r="L242" t="s">
        <v>22</v>
      </c>
      <c r="M242">
        <v>10000.379999999999</v>
      </c>
      <c r="N242">
        <v>2020</v>
      </c>
      <c r="O242">
        <v>4</v>
      </c>
    </row>
    <row r="243" spans="1:15" x14ac:dyDescent="0.3">
      <c r="A243" s="1">
        <v>43933</v>
      </c>
      <c r="B243">
        <v>1000000041</v>
      </c>
      <c r="C243" t="s">
        <v>23</v>
      </c>
      <c r="D243">
        <v>1</v>
      </c>
      <c r="E243">
        <v>9999.94</v>
      </c>
      <c r="F243" t="s">
        <v>16</v>
      </c>
      <c r="G243" t="s">
        <v>24</v>
      </c>
      <c r="H243" t="s">
        <v>30</v>
      </c>
      <c r="I243" t="s">
        <v>31</v>
      </c>
      <c r="J243" t="s">
        <v>32</v>
      </c>
      <c r="K243" t="s">
        <v>33</v>
      </c>
      <c r="L243" t="s">
        <v>22</v>
      </c>
      <c r="M243">
        <v>9999.94</v>
      </c>
      <c r="N243">
        <v>2020</v>
      </c>
      <c r="O243">
        <v>4</v>
      </c>
    </row>
    <row r="244" spans="1:15" x14ac:dyDescent="0.3">
      <c r="A244" s="1">
        <v>43933</v>
      </c>
      <c r="B244">
        <v>1000000033</v>
      </c>
      <c r="C244" t="s">
        <v>15</v>
      </c>
      <c r="D244">
        <v>1</v>
      </c>
      <c r="E244">
        <v>8000.66</v>
      </c>
      <c r="F244" t="s">
        <v>16</v>
      </c>
      <c r="G244" t="s">
        <v>17</v>
      </c>
      <c r="H244" t="s">
        <v>18</v>
      </c>
      <c r="I244" t="s">
        <v>25</v>
      </c>
      <c r="J244" t="s">
        <v>26</v>
      </c>
      <c r="K244" t="s">
        <v>27</v>
      </c>
      <c r="L244" t="s">
        <v>22</v>
      </c>
      <c r="M244">
        <v>8000.66</v>
      </c>
      <c r="N244">
        <v>2020</v>
      </c>
      <c r="O244">
        <v>4</v>
      </c>
    </row>
    <row r="245" spans="1:15" x14ac:dyDescent="0.3">
      <c r="A245" s="1">
        <v>43933</v>
      </c>
      <c r="B245">
        <v>1000000032</v>
      </c>
      <c r="C245" t="s">
        <v>15</v>
      </c>
      <c r="D245">
        <v>1</v>
      </c>
      <c r="E245">
        <v>8000.57</v>
      </c>
      <c r="F245" t="s">
        <v>16</v>
      </c>
      <c r="G245" t="s">
        <v>17</v>
      </c>
      <c r="H245" t="s">
        <v>18</v>
      </c>
      <c r="I245" t="s">
        <v>25</v>
      </c>
      <c r="J245" t="s">
        <v>26</v>
      </c>
      <c r="K245" t="s">
        <v>27</v>
      </c>
      <c r="L245" t="s">
        <v>28</v>
      </c>
      <c r="M245">
        <v>8000.57</v>
      </c>
      <c r="N245">
        <v>2020</v>
      </c>
      <c r="O245">
        <v>4</v>
      </c>
    </row>
    <row r="246" spans="1:15" x14ac:dyDescent="0.3">
      <c r="A246" s="1">
        <v>43934</v>
      </c>
      <c r="B246">
        <v>1000000237</v>
      </c>
      <c r="C246" t="s">
        <v>42</v>
      </c>
      <c r="D246">
        <v>3</v>
      </c>
      <c r="E246">
        <v>52001.5</v>
      </c>
      <c r="F246" t="s">
        <v>16</v>
      </c>
      <c r="G246" t="s">
        <v>43</v>
      </c>
      <c r="H246" t="s">
        <v>18</v>
      </c>
      <c r="I246" t="s">
        <v>40</v>
      </c>
      <c r="J246" t="s">
        <v>26</v>
      </c>
      <c r="K246" t="s">
        <v>41</v>
      </c>
      <c r="L246" t="s">
        <v>22</v>
      </c>
      <c r="M246">
        <v>17333.833333333332</v>
      </c>
      <c r="N246">
        <v>2020</v>
      </c>
      <c r="O246">
        <v>4</v>
      </c>
    </row>
    <row r="247" spans="1:15" x14ac:dyDescent="0.3">
      <c r="A247" s="1">
        <v>43934</v>
      </c>
      <c r="B247">
        <v>1000000566</v>
      </c>
      <c r="C247" t="s">
        <v>42</v>
      </c>
      <c r="D247">
        <v>2</v>
      </c>
      <c r="E247">
        <v>25000.550000000003</v>
      </c>
      <c r="F247" t="s">
        <v>16</v>
      </c>
      <c r="G247" t="s">
        <v>43</v>
      </c>
      <c r="H247" t="s">
        <v>47</v>
      </c>
      <c r="I247" t="s">
        <v>48</v>
      </c>
      <c r="J247" t="s">
        <v>36</v>
      </c>
      <c r="K247" t="s">
        <v>49</v>
      </c>
      <c r="L247" t="s">
        <v>22</v>
      </c>
      <c r="M247">
        <v>12500.275</v>
      </c>
      <c r="N247">
        <v>2020</v>
      </c>
      <c r="O247">
        <v>4</v>
      </c>
    </row>
    <row r="248" spans="1:15" x14ac:dyDescent="0.3">
      <c r="A248" s="1">
        <v>43934</v>
      </c>
      <c r="B248">
        <v>1000000028</v>
      </c>
      <c r="C248" t="s">
        <v>23</v>
      </c>
      <c r="D248">
        <v>1</v>
      </c>
      <c r="E248">
        <v>22000.09</v>
      </c>
      <c r="F248" t="s">
        <v>16</v>
      </c>
      <c r="G248" t="s">
        <v>24</v>
      </c>
      <c r="H248" t="s">
        <v>18</v>
      </c>
      <c r="I248" t="s">
        <v>19</v>
      </c>
      <c r="J248" t="s">
        <v>20</v>
      </c>
      <c r="K248" t="s">
        <v>21</v>
      </c>
      <c r="L248" t="s">
        <v>22</v>
      </c>
      <c r="M248">
        <v>22000.09</v>
      </c>
      <c r="N248">
        <v>2020</v>
      </c>
      <c r="O248">
        <v>4</v>
      </c>
    </row>
    <row r="249" spans="1:15" x14ac:dyDescent="0.3">
      <c r="A249" s="1">
        <v>43934</v>
      </c>
      <c r="B249">
        <v>1000000057</v>
      </c>
      <c r="C249" t="s">
        <v>42</v>
      </c>
      <c r="D249">
        <v>1</v>
      </c>
      <c r="E249">
        <v>20000.12</v>
      </c>
      <c r="F249" t="s">
        <v>16</v>
      </c>
      <c r="G249" t="s">
        <v>43</v>
      </c>
      <c r="H249" t="s">
        <v>18</v>
      </c>
      <c r="I249" t="s">
        <v>34</v>
      </c>
      <c r="J249" t="s">
        <v>20</v>
      </c>
      <c r="K249" t="s">
        <v>44</v>
      </c>
      <c r="L249" t="s">
        <v>22</v>
      </c>
      <c r="M249">
        <v>20000.12</v>
      </c>
      <c r="N249">
        <v>2020</v>
      </c>
      <c r="O249">
        <v>4</v>
      </c>
    </row>
    <row r="250" spans="1:15" x14ac:dyDescent="0.3">
      <c r="A250" s="1">
        <v>43934</v>
      </c>
      <c r="B250">
        <v>1000000566</v>
      </c>
      <c r="C250" t="s">
        <v>15</v>
      </c>
      <c r="D250">
        <v>1</v>
      </c>
      <c r="E250">
        <v>18000.150000000001</v>
      </c>
      <c r="F250" t="s">
        <v>16</v>
      </c>
      <c r="G250" t="s">
        <v>17</v>
      </c>
      <c r="H250" t="s">
        <v>47</v>
      </c>
      <c r="I250" t="s">
        <v>48</v>
      </c>
      <c r="J250" t="s">
        <v>36</v>
      </c>
      <c r="K250" t="s">
        <v>49</v>
      </c>
      <c r="L250" t="s">
        <v>22</v>
      </c>
      <c r="M250">
        <v>18000.150000000001</v>
      </c>
      <c r="N250">
        <v>2020</v>
      </c>
      <c r="O250">
        <v>4</v>
      </c>
    </row>
    <row r="251" spans="1:15" x14ac:dyDescent="0.3">
      <c r="A251" s="1">
        <v>43934</v>
      </c>
      <c r="B251">
        <v>1000000029</v>
      </c>
      <c r="C251" t="s">
        <v>23</v>
      </c>
      <c r="D251">
        <v>1</v>
      </c>
      <c r="E251">
        <v>15000.72</v>
      </c>
      <c r="F251" t="s">
        <v>16</v>
      </c>
      <c r="G251" t="s">
        <v>24</v>
      </c>
      <c r="H251" t="s">
        <v>18</v>
      </c>
      <c r="I251" t="s">
        <v>19</v>
      </c>
      <c r="J251" t="s">
        <v>20</v>
      </c>
      <c r="K251" t="s">
        <v>21</v>
      </c>
      <c r="L251" t="s">
        <v>22</v>
      </c>
      <c r="M251">
        <v>15000.72</v>
      </c>
      <c r="N251">
        <v>2020</v>
      </c>
      <c r="O251">
        <v>4</v>
      </c>
    </row>
    <row r="252" spans="1:15" x14ac:dyDescent="0.3">
      <c r="A252" s="1">
        <v>43934</v>
      </c>
      <c r="B252">
        <v>1000000028</v>
      </c>
      <c r="C252" t="s">
        <v>15</v>
      </c>
      <c r="D252">
        <v>1</v>
      </c>
      <c r="E252">
        <v>15000.28</v>
      </c>
      <c r="F252" t="s">
        <v>16</v>
      </c>
      <c r="G252" t="s">
        <v>17</v>
      </c>
      <c r="H252" t="s">
        <v>18</v>
      </c>
      <c r="I252" t="s">
        <v>19</v>
      </c>
      <c r="J252" t="s">
        <v>20</v>
      </c>
      <c r="K252" t="s">
        <v>21</v>
      </c>
      <c r="L252" t="s">
        <v>22</v>
      </c>
      <c r="M252">
        <v>15000.28</v>
      </c>
      <c r="N252">
        <v>2020</v>
      </c>
      <c r="O252">
        <v>4</v>
      </c>
    </row>
    <row r="253" spans="1:15" x14ac:dyDescent="0.3">
      <c r="A253" s="1">
        <v>43934</v>
      </c>
      <c r="B253">
        <v>1000000057</v>
      </c>
      <c r="C253" t="s">
        <v>15</v>
      </c>
      <c r="D253">
        <v>1</v>
      </c>
      <c r="E253">
        <v>15000.19</v>
      </c>
      <c r="F253" t="s">
        <v>16</v>
      </c>
      <c r="G253" t="s">
        <v>17</v>
      </c>
      <c r="H253" t="s">
        <v>18</v>
      </c>
      <c r="I253" t="s">
        <v>34</v>
      </c>
      <c r="J253" t="s">
        <v>20</v>
      </c>
      <c r="K253" t="s">
        <v>44</v>
      </c>
      <c r="L253" t="s">
        <v>22</v>
      </c>
      <c r="M253">
        <v>15000.19</v>
      </c>
      <c r="N253">
        <v>2020</v>
      </c>
      <c r="O253">
        <v>4</v>
      </c>
    </row>
    <row r="254" spans="1:15" x14ac:dyDescent="0.3">
      <c r="A254" s="1">
        <v>43934</v>
      </c>
      <c r="B254">
        <v>1000000031</v>
      </c>
      <c r="C254" t="s">
        <v>15</v>
      </c>
      <c r="D254">
        <v>1</v>
      </c>
      <c r="E254">
        <v>10000.69</v>
      </c>
      <c r="F254" t="s">
        <v>16</v>
      </c>
      <c r="G254" t="s">
        <v>17</v>
      </c>
      <c r="H254" t="s">
        <v>18</v>
      </c>
      <c r="I254" t="s">
        <v>19</v>
      </c>
      <c r="J254" t="s">
        <v>26</v>
      </c>
      <c r="K254" t="s">
        <v>29</v>
      </c>
      <c r="L254" t="s">
        <v>28</v>
      </c>
      <c r="M254">
        <v>10000.69</v>
      </c>
      <c r="N254">
        <v>2020</v>
      </c>
      <c r="O254">
        <v>4</v>
      </c>
    </row>
    <row r="255" spans="1:15" x14ac:dyDescent="0.3">
      <c r="A255" s="1">
        <v>43934</v>
      </c>
      <c r="B255">
        <v>1000000045</v>
      </c>
      <c r="C255" t="s">
        <v>15</v>
      </c>
      <c r="D255">
        <v>1</v>
      </c>
      <c r="E255">
        <v>7999.95</v>
      </c>
      <c r="F255" t="s">
        <v>16</v>
      </c>
      <c r="G255" t="s">
        <v>17</v>
      </c>
      <c r="H255" t="s">
        <v>47</v>
      </c>
      <c r="I255" t="s">
        <v>59</v>
      </c>
      <c r="J255" t="s">
        <v>26</v>
      </c>
      <c r="K255" t="s">
        <v>60</v>
      </c>
      <c r="L255" t="s">
        <v>22</v>
      </c>
      <c r="M255">
        <v>7999.95</v>
      </c>
      <c r="N255">
        <v>2020</v>
      </c>
      <c r="O255">
        <v>4</v>
      </c>
    </row>
    <row r="256" spans="1:15" x14ac:dyDescent="0.3">
      <c r="A256" s="1">
        <v>43934</v>
      </c>
      <c r="B256">
        <v>1000000068</v>
      </c>
      <c r="C256" t="s">
        <v>54</v>
      </c>
      <c r="D256">
        <v>1</v>
      </c>
      <c r="E256">
        <v>7788.74</v>
      </c>
      <c r="F256" t="s">
        <v>46</v>
      </c>
      <c r="G256" t="s">
        <v>24</v>
      </c>
      <c r="H256" t="s">
        <v>30</v>
      </c>
      <c r="I256" t="s">
        <v>55</v>
      </c>
      <c r="J256" t="s">
        <v>26</v>
      </c>
      <c r="K256" t="s">
        <v>56</v>
      </c>
      <c r="L256" t="s">
        <v>28</v>
      </c>
      <c r="M256">
        <v>7788.74</v>
      </c>
      <c r="N256">
        <v>2020</v>
      </c>
      <c r="O256">
        <v>4</v>
      </c>
    </row>
    <row r="257" spans="1:15" x14ac:dyDescent="0.3">
      <c r="A257" s="1">
        <v>43934</v>
      </c>
      <c r="B257">
        <v>1000000052</v>
      </c>
      <c r="C257" t="s">
        <v>23</v>
      </c>
      <c r="D257">
        <v>1</v>
      </c>
      <c r="E257">
        <v>5000.4399999999996</v>
      </c>
      <c r="F257" t="s">
        <v>16</v>
      </c>
      <c r="G257" t="s">
        <v>24</v>
      </c>
      <c r="H257" t="s">
        <v>18</v>
      </c>
      <c r="I257" t="s">
        <v>34</v>
      </c>
      <c r="J257" t="s">
        <v>20</v>
      </c>
      <c r="K257" t="s">
        <v>44</v>
      </c>
      <c r="L257" t="s">
        <v>22</v>
      </c>
      <c r="M257">
        <v>5000.4399999999996</v>
      </c>
      <c r="N257">
        <v>2020</v>
      </c>
      <c r="O257">
        <v>4</v>
      </c>
    </row>
    <row r="258" spans="1:15" x14ac:dyDescent="0.3">
      <c r="A258" s="1">
        <v>43934</v>
      </c>
      <c r="B258">
        <v>1000000237</v>
      </c>
      <c r="C258" t="s">
        <v>15</v>
      </c>
      <c r="D258">
        <v>1</v>
      </c>
      <c r="E258">
        <v>5000.2299999999996</v>
      </c>
      <c r="F258" t="s">
        <v>16</v>
      </c>
      <c r="G258" t="s">
        <v>17</v>
      </c>
      <c r="H258" t="s">
        <v>18</v>
      </c>
      <c r="I258" t="s">
        <v>40</v>
      </c>
      <c r="J258" t="s">
        <v>26</v>
      </c>
      <c r="K258" t="s">
        <v>41</v>
      </c>
      <c r="L258" t="s">
        <v>22</v>
      </c>
      <c r="M258">
        <v>5000.2299999999996</v>
      </c>
      <c r="N258">
        <v>2020</v>
      </c>
      <c r="O258">
        <v>4</v>
      </c>
    </row>
    <row r="259" spans="1:15" x14ac:dyDescent="0.3">
      <c r="A259" s="1">
        <v>43934</v>
      </c>
      <c r="B259">
        <v>1000000052</v>
      </c>
      <c r="C259" t="s">
        <v>15</v>
      </c>
      <c r="D259">
        <v>1</v>
      </c>
      <c r="E259">
        <v>5000.21</v>
      </c>
      <c r="F259" t="s">
        <v>16</v>
      </c>
      <c r="G259" t="s">
        <v>17</v>
      </c>
      <c r="H259" t="s">
        <v>18</v>
      </c>
      <c r="I259" t="s">
        <v>34</v>
      </c>
      <c r="J259" t="s">
        <v>20</v>
      </c>
      <c r="K259" t="s">
        <v>44</v>
      </c>
      <c r="L259" t="s">
        <v>22</v>
      </c>
      <c r="M259">
        <v>5000.21</v>
      </c>
      <c r="N259">
        <v>2020</v>
      </c>
      <c r="O259">
        <v>4</v>
      </c>
    </row>
    <row r="260" spans="1:15" x14ac:dyDescent="0.3">
      <c r="A260" s="1">
        <v>43934</v>
      </c>
      <c r="B260">
        <v>1000000034</v>
      </c>
      <c r="C260" t="s">
        <v>23</v>
      </c>
      <c r="D260">
        <v>1</v>
      </c>
      <c r="E260">
        <v>1499.98</v>
      </c>
      <c r="F260" t="s">
        <v>16</v>
      </c>
      <c r="G260" t="s">
        <v>24</v>
      </c>
      <c r="H260" t="s">
        <v>18</v>
      </c>
      <c r="I260" t="s">
        <v>25</v>
      </c>
      <c r="J260" t="s">
        <v>26</v>
      </c>
      <c r="K260" t="s">
        <v>27</v>
      </c>
      <c r="L260" t="s">
        <v>22</v>
      </c>
      <c r="M260">
        <v>1499.98</v>
      </c>
      <c r="N260">
        <v>2020</v>
      </c>
      <c r="O260">
        <v>4</v>
      </c>
    </row>
    <row r="261" spans="1:15" x14ac:dyDescent="0.3">
      <c r="A261" s="1">
        <v>43935</v>
      </c>
      <c r="B261">
        <v>1000000040</v>
      </c>
      <c r="C261" t="s">
        <v>23</v>
      </c>
      <c r="D261">
        <v>2</v>
      </c>
      <c r="E261">
        <v>30000.9</v>
      </c>
      <c r="F261" t="s">
        <v>16</v>
      </c>
      <c r="G261" t="s">
        <v>24</v>
      </c>
      <c r="H261" t="s">
        <v>30</v>
      </c>
      <c r="I261" t="s">
        <v>31</v>
      </c>
      <c r="J261" t="s">
        <v>32</v>
      </c>
      <c r="K261" t="s">
        <v>33</v>
      </c>
      <c r="L261" t="s">
        <v>28</v>
      </c>
      <c r="M261">
        <v>15000.45</v>
      </c>
      <c r="N261">
        <v>2020</v>
      </c>
      <c r="O261">
        <v>4</v>
      </c>
    </row>
    <row r="262" spans="1:15" x14ac:dyDescent="0.3">
      <c r="A262" s="1">
        <v>43935</v>
      </c>
      <c r="B262">
        <v>1000000040</v>
      </c>
      <c r="C262" t="s">
        <v>15</v>
      </c>
      <c r="D262">
        <v>1</v>
      </c>
      <c r="E262">
        <v>22000.21</v>
      </c>
      <c r="F262" t="s">
        <v>16</v>
      </c>
      <c r="G262" t="s">
        <v>17</v>
      </c>
      <c r="H262" t="s">
        <v>30</v>
      </c>
      <c r="I262" t="s">
        <v>31</v>
      </c>
      <c r="J262" t="s">
        <v>32</v>
      </c>
      <c r="K262" t="s">
        <v>33</v>
      </c>
      <c r="L262" t="s">
        <v>28</v>
      </c>
      <c r="M262">
        <v>22000.21</v>
      </c>
      <c r="N262">
        <v>2020</v>
      </c>
      <c r="O262">
        <v>4</v>
      </c>
    </row>
    <row r="263" spans="1:15" x14ac:dyDescent="0.3">
      <c r="A263" s="1">
        <v>43935</v>
      </c>
      <c r="B263">
        <v>1000000928</v>
      </c>
      <c r="C263" t="s">
        <v>23</v>
      </c>
      <c r="D263">
        <v>1</v>
      </c>
      <c r="E263">
        <v>20000.52</v>
      </c>
      <c r="F263" t="s">
        <v>16</v>
      </c>
      <c r="G263" t="s">
        <v>24</v>
      </c>
      <c r="H263" t="s">
        <v>30</v>
      </c>
      <c r="I263" t="s">
        <v>57</v>
      </c>
      <c r="J263" t="s">
        <v>26</v>
      </c>
      <c r="K263" t="s">
        <v>58</v>
      </c>
      <c r="L263" t="s">
        <v>22</v>
      </c>
      <c r="M263">
        <v>20000.52</v>
      </c>
      <c r="N263">
        <v>2020</v>
      </c>
      <c r="O263">
        <v>4</v>
      </c>
    </row>
    <row r="264" spans="1:15" x14ac:dyDescent="0.3">
      <c r="A264" s="1">
        <v>43935</v>
      </c>
      <c r="B264">
        <v>1000001513</v>
      </c>
      <c r="C264" t="s">
        <v>15</v>
      </c>
      <c r="D264">
        <v>1</v>
      </c>
      <c r="E264">
        <v>20000.009999999998</v>
      </c>
      <c r="F264" t="s">
        <v>16</v>
      </c>
      <c r="G264" t="s">
        <v>17</v>
      </c>
      <c r="H264" t="s">
        <v>18</v>
      </c>
      <c r="I264" t="s">
        <v>34</v>
      </c>
      <c r="J264" t="s">
        <v>20</v>
      </c>
      <c r="K264" t="s">
        <v>44</v>
      </c>
      <c r="L264" t="s">
        <v>22</v>
      </c>
      <c r="M264">
        <v>20000.009999999998</v>
      </c>
      <c r="N264">
        <v>2020</v>
      </c>
      <c r="O264">
        <v>4</v>
      </c>
    </row>
    <row r="265" spans="1:15" x14ac:dyDescent="0.3">
      <c r="A265" s="1">
        <v>43935</v>
      </c>
      <c r="B265">
        <v>1000000032</v>
      </c>
      <c r="C265" t="s">
        <v>23</v>
      </c>
      <c r="D265">
        <v>2</v>
      </c>
      <c r="E265">
        <v>15001.149999999998</v>
      </c>
      <c r="F265" t="s">
        <v>16</v>
      </c>
      <c r="G265" t="s">
        <v>24</v>
      </c>
      <c r="H265" t="s">
        <v>18</v>
      </c>
      <c r="I265" t="s">
        <v>25</v>
      </c>
      <c r="J265" t="s">
        <v>26</v>
      </c>
      <c r="K265" t="s">
        <v>27</v>
      </c>
      <c r="L265" t="s">
        <v>28</v>
      </c>
      <c r="M265">
        <v>7500.574999999998</v>
      </c>
      <c r="N265">
        <v>2020</v>
      </c>
      <c r="O265">
        <v>4</v>
      </c>
    </row>
    <row r="266" spans="1:15" x14ac:dyDescent="0.3">
      <c r="A266" s="1">
        <v>43935</v>
      </c>
      <c r="B266">
        <v>1000000034</v>
      </c>
      <c r="C266" t="s">
        <v>23</v>
      </c>
      <c r="D266">
        <v>1</v>
      </c>
      <c r="E266">
        <v>9999.94</v>
      </c>
      <c r="F266" t="s">
        <v>16</v>
      </c>
      <c r="G266" t="s">
        <v>24</v>
      </c>
      <c r="H266" t="s">
        <v>18</v>
      </c>
      <c r="I266" t="s">
        <v>25</v>
      </c>
      <c r="J266" t="s">
        <v>26</v>
      </c>
      <c r="K266" t="s">
        <v>27</v>
      </c>
      <c r="L266" t="s">
        <v>22</v>
      </c>
      <c r="M266">
        <v>9999.94</v>
      </c>
      <c r="N266">
        <v>2020</v>
      </c>
      <c r="O266">
        <v>4</v>
      </c>
    </row>
    <row r="267" spans="1:15" x14ac:dyDescent="0.3">
      <c r="A267" s="1">
        <v>43935</v>
      </c>
      <c r="B267">
        <v>1000000044</v>
      </c>
      <c r="C267" t="s">
        <v>23</v>
      </c>
      <c r="D267">
        <v>1</v>
      </c>
      <c r="E267">
        <v>9999.94</v>
      </c>
      <c r="F267" t="s">
        <v>16</v>
      </c>
      <c r="G267" t="s">
        <v>24</v>
      </c>
      <c r="H267" t="s">
        <v>30</v>
      </c>
      <c r="I267" t="s">
        <v>31</v>
      </c>
      <c r="J267" t="s">
        <v>36</v>
      </c>
      <c r="K267" t="s">
        <v>52</v>
      </c>
      <c r="L267" t="s">
        <v>28</v>
      </c>
      <c r="M267">
        <v>9999.94</v>
      </c>
      <c r="N267">
        <v>2020</v>
      </c>
      <c r="O267">
        <v>4</v>
      </c>
    </row>
    <row r="268" spans="1:15" x14ac:dyDescent="0.3">
      <c r="A268" s="1">
        <v>43935</v>
      </c>
      <c r="B268">
        <v>1000000050</v>
      </c>
      <c r="C268" t="s">
        <v>23</v>
      </c>
      <c r="D268">
        <v>1</v>
      </c>
      <c r="E268">
        <v>8000.47</v>
      </c>
      <c r="F268" t="s">
        <v>16</v>
      </c>
      <c r="G268" t="s">
        <v>24</v>
      </c>
      <c r="H268" t="s">
        <v>18</v>
      </c>
      <c r="I268" t="s">
        <v>40</v>
      </c>
      <c r="J268" t="s">
        <v>26</v>
      </c>
      <c r="K268" t="s">
        <v>41</v>
      </c>
      <c r="L268" t="s">
        <v>22</v>
      </c>
      <c r="M268">
        <v>8000.47</v>
      </c>
      <c r="N268">
        <v>2020</v>
      </c>
      <c r="O268">
        <v>4</v>
      </c>
    </row>
    <row r="269" spans="1:15" x14ac:dyDescent="0.3">
      <c r="A269" s="1">
        <v>43935</v>
      </c>
      <c r="B269">
        <v>1000000057</v>
      </c>
      <c r="C269" t="s">
        <v>23</v>
      </c>
      <c r="D269">
        <v>1</v>
      </c>
      <c r="E269">
        <v>8000.36</v>
      </c>
      <c r="F269" t="s">
        <v>16</v>
      </c>
      <c r="G269" t="s">
        <v>24</v>
      </c>
      <c r="H269" t="s">
        <v>18</v>
      </c>
      <c r="I269" t="s">
        <v>34</v>
      </c>
      <c r="J269" t="s">
        <v>20</v>
      </c>
      <c r="K269" t="s">
        <v>44</v>
      </c>
      <c r="L269" t="s">
        <v>22</v>
      </c>
      <c r="M269">
        <v>8000.36</v>
      </c>
      <c r="N269">
        <v>2020</v>
      </c>
      <c r="O269">
        <v>4</v>
      </c>
    </row>
    <row r="270" spans="1:15" x14ac:dyDescent="0.3">
      <c r="A270" s="1">
        <v>43935</v>
      </c>
      <c r="B270">
        <v>1000000031</v>
      </c>
      <c r="C270" t="s">
        <v>23</v>
      </c>
      <c r="D270">
        <v>1</v>
      </c>
      <c r="E270">
        <v>5999.97</v>
      </c>
      <c r="F270" t="s">
        <v>16</v>
      </c>
      <c r="G270" t="s">
        <v>24</v>
      </c>
      <c r="H270" t="s">
        <v>18</v>
      </c>
      <c r="I270" t="s">
        <v>19</v>
      </c>
      <c r="J270" t="s">
        <v>26</v>
      </c>
      <c r="K270" t="s">
        <v>29</v>
      </c>
      <c r="L270" t="s">
        <v>28</v>
      </c>
      <c r="M270">
        <v>5999.97</v>
      </c>
      <c r="N270">
        <v>2020</v>
      </c>
      <c r="O270">
        <v>4</v>
      </c>
    </row>
    <row r="271" spans="1:15" x14ac:dyDescent="0.3">
      <c r="A271" s="1">
        <v>43935</v>
      </c>
      <c r="B271">
        <v>1000000044</v>
      </c>
      <c r="C271" t="s">
        <v>15</v>
      </c>
      <c r="D271">
        <v>1</v>
      </c>
      <c r="E271">
        <v>5000.7299999999996</v>
      </c>
      <c r="F271" t="s">
        <v>16</v>
      </c>
      <c r="G271" t="s">
        <v>17</v>
      </c>
      <c r="H271" t="s">
        <v>30</v>
      </c>
      <c r="I271" t="s">
        <v>31</v>
      </c>
      <c r="J271" t="s">
        <v>36</v>
      </c>
      <c r="K271" t="s">
        <v>52</v>
      </c>
      <c r="L271" t="s">
        <v>28</v>
      </c>
      <c r="M271">
        <v>5000.7299999999996</v>
      </c>
      <c r="N271">
        <v>2020</v>
      </c>
      <c r="O271">
        <v>4</v>
      </c>
    </row>
    <row r="272" spans="1:15" x14ac:dyDescent="0.3">
      <c r="A272" s="1">
        <v>43935</v>
      </c>
      <c r="B272">
        <v>1000000067</v>
      </c>
      <c r="C272" t="s">
        <v>23</v>
      </c>
      <c r="D272">
        <v>1</v>
      </c>
      <c r="E272">
        <v>5000.49</v>
      </c>
      <c r="F272" t="s">
        <v>16</v>
      </c>
      <c r="G272" t="s">
        <v>24</v>
      </c>
      <c r="H272" t="s">
        <v>18</v>
      </c>
      <c r="I272" t="s">
        <v>25</v>
      </c>
      <c r="J272" t="s">
        <v>20</v>
      </c>
      <c r="K272" t="s">
        <v>51</v>
      </c>
      <c r="L272" t="s">
        <v>22</v>
      </c>
      <c r="M272">
        <v>5000.49</v>
      </c>
      <c r="N272">
        <v>2020</v>
      </c>
      <c r="O272">
        <v>4</v>
      </c>
    </row>
    <row r="273" spans="1:15" x14ac:dyDescent="0.3">
      <c r="A273" s="1">
        <v>43935</v>
      </c>
      <c r="B273">
        <v>1000000576</v>
      </c>
      <c r="C273" t="s">
        <v>42</v>
      </c>
      <c r="D273">
        <v>1</v>
      </c>
      <c r="E273">
        <v>5000.49</v>
      </c>
      <c r="F273" t="s">
        <v>16</v>
      </c>
      <c r="G273" t="s">
        <v>43</v>
      </c>
      <c r="H273" t="s">
        <v>18</v>
      </c>
      <c r="I273" t="s">
        <v>25</v>
      </c>
      <c r="J273" t="s">
        <v>36</v>
      </c>
      <c r="K273" t="s">
        <v>37</v>
      </c>
      <c r="L273" t="s">
        <v>22</v>
      </c>
      <c r="M273">
        <v>5000.49</v>
      </c>
      <c r="N273">
        <v>2020</v>
      </c>
      <c r="O273">
        <v>4</v>
      </c>
    </row>
    <row r="274" spans="1:15" x14ac:dyDescent="0.3">
      <c r="A274" s="1">
        <v>43935</v>
      </c>
      <c r="B274">
        <v>1000000032</v>
      </c>
      <c r="C274" t="s">
        <v>15</v>
      </c>
      <c r="D274">
        <v>1</v>
      </c>
      <c r="E274">
        <v>5000.1499999999996</v>
      </c>
      <c r="F274" t="s">
        <v>16</v>
      </c>
      <c r="G274" t="s">
        <v>17</v>
      </c>
      <c r="H274" t="s">
        <v>18</v>
      </c>
      <c r="I274" t="s">
        <v>25</v>
      </c>
      <c r="J274" t="s">
        <v>26</v>
      </c>
      <c r="K274" t="s">
        <v>27</v>
      </c>
      <c r="L274" t="s">
        <v>28</v>
      </c>
      <c r="M274">
        <v>5000.1499999999996</v>
      </c>
      <c r="N274">
        <v>2020</v>
      </c>
      <c r="O274">
        <v>4</v>
      </c>
    </row>
    <row r="275" spans="1:15" x14ac:dyDescent="0.3">
      <c r="A275" s="1">
        <v>43935</v>
      </c>
      <c r="B275">
        <v>1000001513</v>
      </c>
      <c r="C275" t="s">
        <v>42</v>
      </c>
      <c r="D275">
        <v>1</v>
      </c>
      <c r="E275">
        <v>5000.1400000000003</v>
      </c>
      <c r="F275" t="s">
        <v>16</v>
      </c>
      <c r="G275" t="s">
        <v>43</v>
      </c>
      <c r="H275" t="s">
        <v>18</v>
      </c>
      <c r="I275" t="s">
        <v>34</v>
      </c>
      <c r="J275" t="s">
        <v>20</v>
      </c>
      <c r="K275" t="s">
        <v>44</v>
      </c>
      <c r="L275" t="s">
        <v>22</v>
      </c>
      <c r="M275">
        <v>5000.1400000000003</v>
      </c>
      <c r="N275">
        <v>2020</v>
      </c>
      <c r="O275">
        <v>4</v>
      </c>
    </row>
    <row r="276" spans="1:15" x14ac:dyDescent="0.3">
      <c r="A276" s="1">
        <v>43936</v>
      </c>
      <c r="B276">
        <v>1000000237</v>
      </c>
      <c r="C276" t="s">
        <v>42</v>
      </c>
      <c r="D276">
        <v>3</v>
      </c>
      <c r="E276">
        <v>54000.63</v>
      </c>
      <c r="F276" t="s">
        <v>16</v>
      </c>
      <c r="G276" t="s">
        <v>43</v>
      </c>
      <c r="H276" t="s">
        <v>18</v>
      </c>
      <c r="I276" t="s">
        <v>40</v>
      </c>
      <c r="J276" t="s">
        <v>26</v>
      </c>
      <c r="K276" t="s">
        <v>41</v>
      </c>
      <c r="L276" t="s">
        <v>22</v>
      </c>
      <c r="M276">
        <v>18000.21</v>
      </c>
      <c r="N276">
        <v>2020</v>
      </c>
      <c r="O276">
        <v>4</v>
      </c>
    </row>
    <row r="277" spans="1:15" x14ac:dyDescent="0.3">
      <c r="A277" s="1">
        <v>43936</v>
      </c>
      <c r="B277">
        <v>1000000035</v>
      </c>
      <c r="C277" t="s">
        <v>15</v>
      </c>
      <c r="D277">
        <v>2</v>
      </c>
      <c r="E277">
        <v>42000.44</v>
      </c>
      <c r="F277" t="s">
        <v>16</v>
      </c>
      <c r="G277" t="s">
        <v>17</v>
      </c>
      <c r="H277" t="s">
        <v>18</v>
      </c>
      <c r="I277" t="s">
        <v>25</v>
      </c>
      <c r="J277" t="s">
        <v>36</v>
      </c>
      <c r="K277" t="s">
        <v>37</v>
      </c>
      <c r="L277" t="s">
        <v>22</v>
      </c>
      <c r="M277">
        <v>21000.22</v>
      </c>
      <c r="N277">
        <v>2020</v>
      </c>
      <c r="O277">
        <v>4</v>
      </c>
    </row>
    <row r="278" spans="1:15" x14ac:dyDescent="0.3">
      <c r="A278" s="1">
        <v>43936</v>
      </c>
      <c r="B278">
        <v>1000000034</v>
      </c>
      <c r="C278" t="s">
        <v>15</v>
      </c>
      <c r="D278">
        <v>2</v>
      </c>
      <c r="E278">
        <v>40000.03</v>
      </c>
      <c r="F278" t="s">
        <v>16</v>
      </c>
      <c r="G278" t="s">
        <v>17</v>
      </c>
      <c r="H278" t="s">
        <v>18</v>
      </c>
      <c r="I278" t="s">
        <v>25</v>
      </c>
      <c r="J278" t="s">
        <v>26</v>
      </c>
      <c r="K278" t="s">
        <v>27</v>
      </c>
      <c r="L278" t="s">
        <v>22</v>
      </c>
      <c r="M278">
        <v>20000.014999999999</v>
      </c>
      <c r="N278">
        <v>2020</v>
      </c>
      <c r="O278">
        <v>4</v>
      </c>
    </row>
    <row r="279" spans="1:15" x14ac:dyDescent="0.3">
      <c r="A279" s="1">
        <v>43936</v>
      </c>
      <c r="B279">
        <v>1000000576</v>
      </c>
      <c r="C279" t="s">
        <v>42</v>
      </c>
      <c r="D279">
        <v>2</v>
      </c>
      <c r="E279">
        <v>35000.43</v>
      </c>
      <c r="F279" t="s">
        <v>16</v>
      </c>
      <c r="G279" t="s">
        <v>43</v>
      </c>
      <c r="H279" t="s">
        <v>18</v>
      </c>
      <c r="I279" t="s">
        <v>25</v>
      </c>
      <c r="J279" t="s">
        <v>36</v>
      </c>
      <c r="K279" t="s">
        <v>37</v>
      </c>
      <c r="L279" t="s">
        <v>22</v>
      </c>
      <c r="M279">
        <v>17500.215</v>
      </c>
      <c r="N279">
        <v>2020</v>
      </c>
      <c r="O279">
        <v>4</v>
      </c>
    </row>
    <row r="280" spans="1:15" x14ac:dyDescent="0.3">
      <c r="A280" s="1">
        <v>43936</v>
      </c>
      <c r="B280">
        <v>1000000057</v>
      </c>
      <c r="C280" t="s">
        <v>23</v>
      </c>
      <c r="D280">
        <v>3</v>
      </c>
      <c r="E280">
        <v>30000.110000000004</v>
      </c>
      <c r="F280" t="s">
        <v>16</v>
      </c>
      <c r="G280" t="s">
        <v>24</v>
      </c>
      <c r="H280" t="s">
        <v>18</v>
      </c>
      <c r="I280" t="s">
        <v>34</v>
      </c>
      <c r="J280" t="s">
        <v>20</v>
      </c>
      <c r="K280" t="s">
        <v>44</v>
      </c>
      <c r="L280" t="s">
        <v>22</v>
      </c>
      <c r="M280">
        <v>10000.036666666669</v>
      </c>
      <c r="N280">
        <v>2020</v>
      </c>
      <c r="O280">
        <v>4</v>
      </c>
    </row>
    <row r="281" spans="1:15" x14ac:dyDescent="0.3">
      <c r="A281" s="1">
        <v>43936</v>
      </c>
      <c r="B281">
        <v>1000000566</v>
      </c>
      <c r="C281" t="s">
        <v>42</v>
      </c>
      <c r="D281">
        <v>2</v>
      </c>
      <c r="E281">
        <v>29999.949999999997</v>
      </c>
      <c r="F281" t="s">
        <v>16</v>
      </c>
      <c r="G281" t="s">
        <v>43</v>
      </c>
      <c r="H281" t="s">
        <v>47</v>
      </c>
      <c r="I281" t="s">
        <v>48</v>
      </c>
      <c r="J281" t="s">
        <v>36</v>
      </c>
      <c r="K281" t="s">
        <v>49</v>
      </c>
      <c r="L281" t="s">
        <v>22</v>
      </c>
      <c r="M281">
        <v>14999.975</v>
      </c>
      <c r="N281">
        <v>2020</v>
      </c>
      <c r="O281">
        <v>4</v>
      </c>
    </row>
    <row r="282" spans="1:15" x14ac:dyDescent="0.3">
      <c r="A282" s="1">
        <v>43936</v>
      </c>
      <c r="B282">
        <v>1000000031</v>
      </c>
      <c r="C282" t="s">
        <v>15</v>
      </c>
      <c r="D282">
        <v>2</v>
      </c>
      <c r="E282">
        <v>23500.23</v>
      </c>
      <c r="F282" t="s">
        <v>16</v>
      </c>
      <c r="G282" t="s">
        <v>17</v>
      </c>
      <c r="H282" t="s">
        <v>18</v>
      </c>
      <c r="I282" t="s">
        <v>19</v>
      </c>
      <c r="J282" t="s">
        <v>26</v>
      </c>
      <c r="K282" t="s">
        <v>29</v>
      </c>
      <c r="L282" t="s">
        <v>28</v>
      </c>
      <c r="M282">
        <v>11750.115</v>
      </c>
      <c r="N282">
        <v>2020</v>
      </c>
      <c r="O282">
        <v>4</v>
      </c>
    </row>
    <row r="283" spans="1:15" x14ac:dyDescent="0.3">
      <c r="A283" s="1">
        <v>43936</v>
      </c>
      <c r="B283">
        <v>1000000052</v>
      </c>
      <c r="C283" t="s">
        <v>42</v>
      </c>
      <c r="D283">
        <v>1</v>
      </c>
      <c r="E283">
        <v>22000.74</v>
      </c>
      <c r="F283" t="s">
        <v>16</v>
      </c>
      <c r="G283" t="s">
        <v>43</v>
      </c>
      <c r="H283" t="s">
        <v>18</v>
      </c>
      <c r="I283" t="s">
        <v>34</v>
      </c>
      <c r="J283" t="s">
        <v>20</v>
      </c>
      <c r="K283" t="s">
        <v>44</v>
      </c>
      <c r="L283" t="s">
        <v>22</v>
      </c>
      <c r="M283">
        <v>22000.74</v>
      </c>
      <c r="N283">
        <v>2020</v>
      </c>
      <c r="O283">
        <v>4</v>
      </c>
    </row>
    <row r="284" spans="1:15" x14ac:dyDescent="0.3">
      <c r="A284" s="1">
        <v>43936</v>
      </c>
      <c r="B284">
        <v>1000000051</v>
      </c>
      <c r="C284" t="s">
        <v>15</v>
      </c>
      <c r="D284">
        <v>1</v>
      </c>
      <c r="E284">
        <v>22000.5</v>
      </c>
      <c r="F284" t="s">
        <v>16</v>
      </c>
      <c r="G284" t="s">
        <v>17</v>
      </c>
      <c r="H284" t="s">
        <v>18</v>
      </c>
      <c r="I284" t="s">
        <v>34</v>
      </c>
      <c r="J284" t="s">
        <v>20</v>
      </c>
      <c r="K284" t="s">
        <v>44</v>
      </c>
      <c r="L284" t="s">
        <v>22</v>
      </c>
      <c r="M284">
        <v>22000.5</v>
      </c>
      <c r="N284">
        <v>2020</v>
      </c>
      <c r="O284">
        <v>4</v>
      </c>
    </row>
    <row r="285" spans="1:15" x14ac:dyDescent="0.3">
      <c r="A285" s="1">
        <v>43936</v>
      </c>
      <c r="B285">
        <v>1000000046</v>
      </c>
      <c r="C285" t="s">
        <v>15</v>
      </c>
      <c r="D285">
        <v>1</v>
      </c>
      <c r="E285">
        <v>20000.72</v>
      </c>
      <c r="F285" t="s">
        <v>16</v>
      </c>
      <c r="G285" t="s">
        <v>17</v>
      </c>
      <c r="H285" t="s">
        <v>30</v>
      </c>
      <c r="I285" t="s">
        <v>38</v>
      </c>
      <c r="J285" t="s">
        <v>26</v>
      </c>
      <c r="K285" t="s">
        <v>39</v>
      </c>
      <c r="L285" t="s">
        <v>22</v>
      </c>
      <c r="M285">
        <v>20000.72</v>
      </c>
      <c r="N285">
        <v>2020</v>
      </c>
      <c r="O285">
        <v>4</v>
      </c>
    </row>
    <row r="286" spans="1:15" x14ac:dyDescent="0.3">
      <c r="A286" s="1">
        <v>43936</v>
      </c>
      <c r="B286">
        <v>1000000067</v>
      </c>
      <c r="C286" t="s">
        <v>15</v>
      </c>
      <c r="D286">
        <v>1</v>
      </c>
      <c r="E286">
        <v>20000.47</v>
      </c>
      <c r="F286" t="s">
        <v>16</v>
      </c>
      <c r="G286" t="s">
        <v>17</v>
      </c>
      <c r="H286" t="s">
        <v>18</v>
      </c>
      <c r="I286" t="s">
        <v>25</v>
      </c>
      <c r="J286" t="s">
        <v>20</v>
      </c>
      <c r="K286" t="s">
        <v>51</v>
      </c>
      <c r="L286" t="s">
        <v>22</v>
      </c>
      <c r="M286">
        <v>20000.47</v>
      </c>
      <c r="N286">
        <v>2020</v>
      </c>
      <c r="O286">
        <v>4</v>
      </c>
    </row>
    <row r="287" spans="1:15" x14ac:dyDescent="0.3">
      <c r="A287" s="1">
        <v>43936</v>
      </c>
      <c r="B287">
        <v>1000000043</v>
      </c>
      <c r="C287" t="s">
        <v>15</v>
      </c>
      <c r="D287">
        <v>1</v>
      </c>
      <c r="E287">
        <v>20000.13</v>
      </c>
      <c r="F287" t="s">
        <v>16</v>
      </c>
      <c r="G287" t="s">
        <v>17</v>
      </c>
      <c r="H287" t="s">
        <v>30</v>
      </c>
      <c r="I287" t="s">
        <v>38</v>
      </c>
      <c r="J287" t="s">
        <v>26</v>
      </c>
      <c r="K287" t="s">
        <v>39</v>
      </c>
      <c r="L287" t="s">
        <v>22</v>
      </c>
      <c r="M287">
        <v>20000.13</v>
      </c>
      <c r="N287">
        <v>2020</v>
      </c>
      <c r="O287">
        <v>4</v>
      </c>
    </row>
    <row r="288" spans="1:15" x14ac:dyDescent="0.3">
      <c r="A288" s="1">
        <v>43936</v>
      </c>
      <c r="B288">
        <v>1000000928</v>
      </c>
      <c r="C288" t="s">
        <v>15</v>
      </c>
      <c r="D288">
        <v>1</v>
      </c>
      <c r="E288">
        <v>20000.12</v>
      </c>
      <c r="F288" t="s">
        <v>16</v>
      </c>
      <c r="G288" t="s">
        <v>17</v>
      </c>
      <c r="H288" t="s">
        <v>30</v>
      </c>
      <c r="I288" t="s">
        <v>57</v>
      </c>
      <c r="J288" t="s">
        <v>26</v>
      </c>
      <c r="K288" t="s">
        <v>58</v>
      </c>
      <c r="L288" t="s">
        <v>22</v>
      </c>
      <c r="M288">
        <v>20000.12</v>
      </c>
      <c r="N288">
        <v>2020</v>
      </c>
      <c r="O288">
        <v>4</v>
      </c>
    </row>
    <row r="289" spans="1:15" x14ac:dyDescent="0.3">
      <c r="A289" s="1">
        <v>43936</v>
      </c>
      <c r="B289">
        <v>1000000029</v>
      </c>
      <c r="C289" t="s">
        <v>15</v>
      </c>
      <c r="D289">
        <v>1</v>
      </c>
      <c r="E289">
        <v>20000.02</v>
      </c>
      <c r="F289" t="s">
        <v>16</v>
      </c>
      <c r="G289" t="s">
        <v>17</v>
      </c>
      <c r="H289" t="s">
        <v>18</v>
      </c>
      <c r="I289" t="s">
        <v>19</v>
      </c>
      <c r="J289" t="s">
        <v>20</v>
      </c>
      <c r="K289" t="s">
        <v>21</v>
      </c>
      <c r="L289" t="s">
        <v>22</v>
      </c>
      <c r="M289">
        <v>20000.02</v>
      </c>
      <c r="N289">
        <v>2020</v>
      </c>
      <c r="O289">
        <v>4</v>
      </c>
    </row>
    <row r="290" spans="1:15" x14ac:dyDescent="0.3">
      <c r="A290" s="1">
        <v>43936</v>
      </c>
      <c r="B290">
        <v>1000000056</v>
      </c>
      <c r="C290" t="s">
        <v>15</v>
      </c>
      <c r="D290">
        <v>2</v>
      </c>
      <c r="E290">
        <v>18000.509999999998</v>
      </c>
      <c r="F290" t="s">
        <v>16</v>
      </c>
      <c r="G290" t="s">
        <v>17</v>
      </c>
      <c r="H290" t="s">
        <v>18</v>
      </c>
      <c r="I290" t="s">
        <v>34</v>
      </c>
      <c r="J290" t="s">
        <v>26</v>
      </c>
      <c r="K290" t="s">
        <v>35</v>
      </c>
      <c r="L290" t="s">
        <v>28</v>
      </c>
      <c r="M290">
        <v>9000.2549999999992</v>
      </c>
      <c r="N290">
        <v>2020</v>
      </c>
      <c r="O290">
        <v>4</v>
      </c>
    </row>
    <row r="291" spans="1:15" x14ac:dyDescent="0.3">
      <c r="A291" s="1">
        <v>43936</v>
      </c>
      <c r="B291">
        <v>1000000033</v>
      </c>
      <c r="C291" t="s">
        <v>23</v>
      </c>
      <c r="D291">
        <v>1</v>
      </c>
      <c r="E291">
        <v>15000.67</v>
      </c>
      <c r="F291" t="s">
        <v>16</v>
      </c>
      <c r="G291" t="s">
        <v>24</v>
      </c>
      <c r="H291" t="s">
        <v>18</v>
      </c>
      <c r="I291" t="s">
        <v>25</v>
      </c>
      <c r="J291" t="s">
        <v>26</v>
      </c>
      <c r="K291" t="s">
        <v>27</v>
      </c>
      <c r="L291" t="s">
        <v>22</v>
      </c>
      <c r="M291">
        <v>15000.67</v>
      </c>
      <c r="N291">
        <v>2020</v>
      </c>
      <c r="O291">
        <v>4</v>
      </c>
    </row>
    <row r="292" spans="1:15" x14ac:dyDescent="0.3">
      <c r="A292" s="1">
        <v>43936</v>
      </c>
      <c r="B292">
        <v>1000000034</v>
      </c>
      <c r="C292" t="s">
        <v>23</v>
      </c>
      <c r="D292">
        <v>1</v>
      </c>
      <c r="E292">
        <v>15000.48</v>
      </c>
      <c r="F292" t="s">
        <v>16</v>
      </c>
      <c r="G292" t="s">
        <v>24</v>
      </c>
      <c r="H292" t="s">
        <v>18</v>
      </c>
      <c r="I292" t="s">
        <v>25</v>
      </c>
      <c r="J292" t="s">
        <v>26</v>
      </c>
      <c r="K292" t="s">
        <v>27</v>
      </c>
      <c r="L292" t="s">
        <v>22</v>
      </c>
      <c r="M292">
        <v>15000.48</v>
      </c>
      <c r="N292">
        <v>2020</v>
      </c>
      <c r="O292">
        <v>4</v>
      </c>
    </row>
    <row r="293" spans="1:15" x14ac:dyDescent="0.3">
      <c r="A293" s="1">
        <v>43936</v>
      </c>
      <c r="B293">
        <v>1000000028</v>
      </c>
      <c r="C293" t="s">
        <v>15</v>
      </c>
      <c r="D293">
        <v>1</v>
      </c>
      <c r="E293">
        <v>15000.42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21</v>
      </c>
      <c r="L293" t="s">
        <v>22</v>
      </c>
      <c r="M293">
        <v>15000.42</v>
      </c>
      <c r="N293">
        <v>2020</v>
      </c>
      <c r="O293">
        <v>4</v>
      </c>
    </row>
    <row r="294" spans="1:15" x14ac:dyDescent="0.3">
      <c r="A294" s="1">
        <v>43936</v>
      </c>
      <c r="B294">
        <v>1000000049</v>
      </c>
      <c r="C294" t="s">
        <v>42</v>
      </c>
      <c r="D294">
        <v>1</v>
      </c>
      <c r="E294">
        <v>15000.01</v>
      </c>
      <c r="F294" t="s">
        <v>16</v>
      </c>
      <c r="G294" t="s">
        <v>43</v>
      </c>
      <c r="H294" t="s">
        <v>18</v>
      </c>
      <c r="I294" t="s">
        <v>40</v>
      </c>
      <c r="J294" t="s">
        <v>26</v>
      </c>
      <c r="K294" t="s">
        <v>41</v>
      </c>
      <c r="L294" t="s">
        <v>22</v>
      </c>
      <c r="M294">
        <v>15000.01</v>
      </c>
      <c r="N294">
        <v>2020</v>
      </c>
      <c r="O294">
        <v>4</v>
      </c>
    </row>
    <row r="295" spans="1:15" x14ac:dyDescent="0.3">
      <c r="A295" s="1">
        <v>43936</v>
      </c>
      <c r="B295">
        <v>1000000036</v>
      </c>
      <c r="C295" t="s">
        <v>23</v>
      </c>
      <c r="D295">
        <v>1</v>
      </c>
      <c r="E295">
        <v>10000.58</v>
      </c>
      <c r="F295" t="s">
        <v>16</v>
      </c>
      <c r="G295" t="s">
        <v>24</v>
      </c>
      <c r="H295" t="s">
        <v>47</v>
      </c>
      <c r="I295" t="s">
        <v>48</v>
      </c>
      <c r="J295" t="s">
        <v>36</v>
      </c>
      <c r="K295" t="s">
        <v>49</v>
      </c>
      <c r="L295" t="s">
        <v>28</v>
      </c>
      <c r="M295">
        <v>10000.58</v>
      </c>
      <c r="N295">
        <v>2020</v>
      </c>
      <c r="O295">
        <v>4</v>
      </c>
    </row>
    <row r="296" spans="1:15" x14ac:dyDescent="0.3">
      <c r="A296" s="1">
        <v>43936</v>
      </c>
      <c r="B296">
        <v>1000000067</v>
      </c>
      <c r="C296" t="s">
        <v>42</v>
      </c>
      <c r="D296">
        <v>1</v>
      </c>
      <c r="E296">
        <v>10000.34</v>
      </c>
      <c r="F296" t="s">
        <v>16</v>
      </c>
      <c r="G296" t="s">
        <v>43</v>
      </c>
      <c r="H296" t="s">
        <v>18</v>
      </c>
      <c r="I296" t="s">
        <v>25</v>
      </c>
      <c r="J296" t="s">
        <v>20</v>
      </c>
      <c r="K296" t="s">
        <v>51</v>
      </c>
      <c r="L296" t="s">
        <v>22</v>
      </c>
      <c r="M296">
        <v>10000.34</v>
      </c>
      <c r="N296">
        <v>2020</v>
      </c>
      <c r="O296">
        <v>4</v>
      </c>
    </row>
    <row r="297" spans="1:15" x14ac:dyDescent="0.3">
      <c r="A297" s="1">
        <v>43936</v>
      </c>
      <c r="B297">
        <v>1000000052</v>
      </c>
      <c r="C297" t="s">
        <v>23</v>
      </c>
      <c r="D297">
        <v>1</v>
      </c>
      <c r="E297">
        <v>10000.26</v>
      </c>
      <c r="F297" t="s">
        <v>16</v>
      </c>
      <c r="G297" t="s">
        <v>24</v>
      </c>
      <c r="H297" t="s">
        <v>18</v>
      </c>
      <c r="I297" t="s">
        <v>34</v>
      </c>
      <c r="J297" t="s">
        <v>20</v>
      </c>
      <c r="K297" t="s">
        <v>44</v>
      </c>
      <c r="L297" t="s">
        <v>22</v>
      </c>
      <c r="M297">
        <v>10000.26</v>
      </c>
      <c r="N297">
        <v>2020</v>
      </c>
      <c r="O297">
        <v>4</v>
      </c>
    </row>
    <row r="298" spans="1:15" x14ac:dyDescent="0.3">
      <c r="A298" s="1">
        <v>43936</v>
      </c>
      <c r="B298">
        <v>1000000032</v>
      </c>
      <c r="C298" t="s">
        <v>15</v>
      </c>
      <c r="D298">
        <v>1</v>
      </c>
      <c r="E298">
        <v>10000.200000000001</v>
      </c>
      <c r="F298" t="s">
        <v>16</v>
      </c>
      <c r="G298" t="s">
        <v>17</v>
      </c>
      <c r="H298" t="s">
        <v>18</v>
      </c>
      <c r="I298" t="s">
        <v>25</v>
      </c>
      <c r="J298" t="s">
        <v>26</v>
      </c>
      <c r="K298" t="s">
        <v>27</v>
      </c>
      <c r="L298" t="s">
        <v>28</v>
      </c>
      <c r="M298">
        <v>10000.200000000001</v>
      </c>
      <c r="N298">
        <v>2020</v>
      </c>
      <c r="O298">
        <v>4</v>
      </c>
    </row>
    <row r="299" spans="1:15" x14ac:dyDescent="0.3">
      <c r="A299" s="1">
        <v>43936</v>
      </c>
      <c r="B299">
        <v>1000000039</v>
      </c>
      <c r="C299" t="s">
        <v>15</v>
      </c>
      <c r="D299">
        <v>1</v>
      </c>
      <c r="E299">
        <v>10000.09</v>
      </c>
      <c r="F299" t="s">
        <v>16</v>
      </c>
      <c r="G299" t="s">
        <v>17</v>
      </c>
      <c r="H299" t="s">
        <v>18</v>
      </c>
      <c r="I299" t="s">
        <v>25</v>
      </c>
      <c r="J299" t="s">
        <v>20</v>
      </c>
      <c r="K299" t="s">
        <v>51</v>
      </c>
      <c r="L299" t="s">
        <v>28</v>
      </c>
      <c r="M299">
        <v>10000.09</v>
      </c>
      <c r="N299">
        <v>2020</v>
      </c>
      <c r="O299">
        <v>4</v>
      </c>
    </row>
    <row r="300" spans="1:15" x14ac:dyDescent="0.3">
      <c r="A300" s="1">
        <v>43936</v>
      </c>
      <c r="B300">
        <v>1000000044</v>
      </c>
      <c r="C300" t="s">
        <v>23</v>
      </c>
      <c r="D300">
        <v>1</v>
      </c>
      <c r="E300">
        <v>10000.06</v>
      </c>
      <c r="F300" t="s">
        <v>16</v>
      </c>
      <c r="G300" t="s">
        <v>24</v>
      </c>
      <c r="H300" t="s">
        <v>30</v>
      </c>
      <c r="I300" t="s">
        <v>31</v>
      </c>
      <c r="J300" t="s">
        <v>36</v>
      </c>
      <c r="K300" t="s">
        <v>52</v>
      </c>
      <c r="L300" t="s">
        <v>28</v>
      </c>
      <c r="M300">
        <v>10000.06</v>
      </c>
      <c r="N300">
        <v>2020</v>
      </c>
      <c r="O300">
        <v>4</v>
      </c>
    </row>
    <row r="301" spans="1:15" x14ac:dyDescent="0.3">
      <c r="A301" s="1">
        <v>43936</v>
      </c>
      <c r="B301">
        <v>1000000068</v>
      </c>
      <c r="C301" t="s">
        <v>23</v>
      </c>
      <c r="D301">
        <v>1</v>
      </c>
      <c r="E301">
        <v>10000.030000000001</v>
      </c>
      <c r="F301" t="s">
        <v>16</v>
      </c>
      <c r="G301" t="s">
        <v>24</v>
      </c>
      <c r="H301" t="s">
        <v>30</v>
      </c>
      <c r="I301" t="s">
        <v>55</v>
      </c>
      <c r="J301" t="s">
        <v>26</v>
      </c>
      <c r="K301" t="s">
        <v>56</v>
      </c>
      <c r="L301" t="s">
        <v>28</v>
      </c>
      <c r="M301">
        <v>10000.030000000001</v>
      </c>
      <c r="N301">
        <v>2020</v>
      </c>
      <c r="O301">
        <v>4</v>
      </c>
    </row>
    <row r="302" spans="1:15" x14ac:dyDescent="0.3">
      <c r="A302" s="1">
        <v>43936</v>
      </c>
      <c r="B302">
        <v>1000000928</v>
      </c>
      <c r="C302" t="s">
        <v>23</v>
      </c>
      <c r="D302">
        <v>1</v>
      </c>
      <c r="E302">
        <v>10000</v>
      </c>
      <c r="F302" t="s">
        <v>16</v>
      </c>
      <c r="G302" t="s">
        <v>24</v>
      </c>
      <c r="H302" t="s">
        <v>30</v>
      </c>
      <c r="I302" t="s">
        <v>57</v>
      </c>
      <c r="J302" t="s">
        <v>26</v>
      </c>
      <c r="K302" t="s">
        <v>58</v>
      </c>
      <c r="L302" t="s">
        <v>22</v>
      </c>
      <c r="M302">
        <v>10000</v>
      </c>
      <c r="N302">
        <v>2020</v>
      </c>
      <c r="O302">
        <v>4</v>
      </c>
    </row>
    <row r="303" spans="1:15" x14ac:dyDescent="0.3">
      <c r="A303" s="1">
        <v>43936</v>
      </c>
      <c r="B303">
        <v>1000000044</v>
      </c>
      <c r="C303" t="s">
        <v>15</v>
      </c>
      <c r="D303">
        <v>1</v>
      </c>
      <c r="E303">
        <v>9999.99</v>
      </c>
      <c r="F303" t="s">
        <v>16</v>
      </c>
      <c r="G303" t="s">
        <v>17</v>
      </c>
      <c r="H303" t="s">
        <v>30</v>
      </c>
      <c r="I303" t="s">
        <v>31</v>
      </c>
      <c r="J303" t="s">
        <v>36</v>
      </c>
      <c r="K303" t="s">
        <v>52</v>
      </c>
      <c r="L303" t="s">
        <v>28</v>
      </c>
      <c r="M303">
        <v>9999.99</v>
      </c>
      <c r="N303">
        <v>2020</v>
      </c>
      <c r="O303">
        <v>4</v>
      </c>
    </row>
    <row r="304" spans="1:15" x14ac:dyDescent="0.3">
      <c r="A304" s="1">
        <v>43936</v>
      </c>
      <c r="B304">
        <v>1000000028</v>
      </c>
      <c r="C304" t="s">
        <v>42</v>
      </c>
      <c r="D304">
        <v>1</v>
      </c>
      <c r="E304">
        <v>8000.24</v>
      </c>
      <c r="F304" t="s">
        <v>16</v>
      </c>
      <c r="G304" t="s">
        <v>43</v>
      </c>
      <c r="H304" t="s">
        <v>18</v>
      </c>
      <c r="I304" t="s">
        <v>19</v>
      </c>
      <c r="J304" t="s">
        <v>20</v>
      </c>
      <c r="K304" t="s">
        <v>21</v>
      </c>
      <c r="L304" t="s">
        <v>22</v>
      </c>
      <c r="M304">
        <v>8000.24</v>
      </c>
      <c r="N304">
        <v>2020</v>
      </c>
      <c r="O304">
        <v>4</v>
      </c>
    </row>
    <row r="305" spans="1:15" x14ac:dyDescent="0.3">
      <c r="A305" s="1">
        <v>43936</v>
      </c>
      <c r="B305">
        <v>1000000047</v>
      </c>
      <c r="C305" t="s">
        <v>42</v>
      </c>
      <c r="D305">
        <v>1</v>
      </c>
      <c r="E305">
        <v>5000.2700000000004</v>
      </c>
      <c r="F305" t="s">
        <v>16</v>
      </c>
      <c r="G305" t="s">
        <v>43</v>
      </c>
      <c r="H305" t="s">
        <v>47</v>
      </c>
      <c r="I305" t="s">
        <v>48</v>
      </c>
      <c r="J305" t="s">
        <v>26</v>
      </c>
      <c r="K305" t="s">
        <v>50</v>
      </c>
      <c r="L305" t="s">
        <v>22</v>
      </c>
      <c r="M305">
        <v>5000.2700000000004</v>
      </c>
      <c r="N305">
        <v>2020</v>
      </c>
      <c r="O305">
        <v>4</v>
      </c>
    </row>
    <row r="306" spans="1:15" x14ac:dyDescent="0.3">
      <c r="A306" s="1">
        <v>43936</v>
      </c>
      <c r="B306">
        <v>1000000030</v>
      </c>
      <c r="C306" t="s">
        <v>23</v>
      </c>
      <c r="D306">
        <v>1</v>
      </c>
      <c r="E306">
        <v>3400.7</v>
      </c>
      <c r="F306" t="s">
        <v>16</v>
      </c>
      <c r="G306" t="s">
        <v>24</v>
      </c>
      <c r="H306" t="s">
        <v>47</v>
      </c>
      <c r="I306" t="s">
        <v>48</v>
      </c>
      <c r="J306" t="s">
        <v>36</v>
      </c>
      <c r="K306" t="s">
        <v>49</v>
      </c>
      <c r="L306" t="s">
        <v>22</v>
      </c>
      <c r="M306">
        <v>3400.7</v>
      </c>
      <c r="N306">
        <v>2020</v>
      </c>
      <c r="O306">
        <v>4</v>
      </c>
    </row>
    <row r="307" spans="1:15" x14ac:dyDescent="0.3">
      <c r="A307" s="1">
        <v>43936</v>
      </c>
      <c r="B307">
        <v>1000000067</v>
      </c>
      <c r="C307" t="s">
        <v>23</v>
      </c>
      <c r="D307">
        <v>1</v>
      </c>
      <c r="E307">
        <v>500.39</v>
      </c>
      <c r="F307" t="s">
        <v>16</v>
      </c>
      <c r="G307" t="s">
        <v>24</v>
      </c>
      <c r="H307" t="s">
        <v>18</v>
      </c>
      <c r="I307" t="s">
        <v>25</v>
      </c>
      <c r="J307" t="s">
        <v>20</v>
      </c>
      <c r="K307" t="s">
        <v>51</v>
      </c>
      <c r="L307" t="s">
        <v>22</v>
      </c>
      <c r="M307">
        <v>500.39</v>
      </c>
      <c r="N307">
        <v>2020</v>
      </c>
      <c r="O307">
        <v>4</v>
      </c>
    </row>
    <row r="308" spans="1:15" x14ac:dyDescent="0.3">
      <c r="A308" s="1">
        <v>43937</v>
      </c>
      <c r="B308">
        <v>1000000576</v>
      </c>
      <c r="C308" t="s">
        <v>15</v>
      </c>
      <c r="D308">
        <v>4</v>
      </c>
      <c r="E308">
        <v>70001.17</v>
      </c>
      <c r="F308" t="s">
        <v>16</v>
      </c>
      <c r="G308" t="s">
        <v>17</v>
      </c>
      <c r="H308" t="s">
        <v>18</v>
      </c>
      <c r="I308" t="s">
        <v>25</v>
      </c>
      <c r="J308" t="s">
        <v>36</v>
      </c>
      <c r="K308" t="s">
        <v>37</v>
      </c>
      <c r="L308" t="s">
        <v>22</v>
      </c>
      <c r="M308">
        <v>17500.2925</v>
      </c>
      <c r="N308">
        <v>2020</v>
      </c>
      <c r="O308">
        <v>4</v>
      </c>
    </row>
    <row r="309" spans="1:15" x14ac:dyDescent="0.3">
      <c r="A309" s="1">
        <v>43937</v>
      </c>
      <c r="B309">
        <v>1000000928</v>
      </c>
      <c r="C309" t="s">
        <v>15</v>
      </c>
      <c r="D309">
        <v>2</v>
      </c>
      <c r="E309">
        <v>40000.839999999997</v>
      </c>
      <c r="F309" t="s">
        <v>16</v>
      </c>
      <c r="G309" t="s">
        <v>17</v>
      </c>
      <c r="H309" t="s">
        <v>30</v>
      </c>
      <c r="I309" t="s">
        <v>57</v>
      </c>
      <c r="J309" t="s">
        <v>26</v>
      </c>
      <c r="K309" t="s">
        <v>58</v>
      </c>
      <c r="L309" t="s">
        <v>22</v>
      </c>
      <c r="M309">
        <v>20000.419999999998</v>
      </c>
      <c r="N309">
        <v>2020</v>
      </c>
      <c r="O309">
        <v>4</v>
      </c>
    </row>
    <row r="310" spans="1:15" x14ac:dyDescent="0.3">
      <c r="A310" s="1">
        <v>43937</v>
      </c>
      <c r="B310">
        <v>1000000029</v>
      </c>
      <c r="C310" t="s">
        <v>15</v>
      </c>
      <c r="D310">
        <v>2</v>
      </c>
      <c r="E310">
        <v>32000.400000000001</v>
      </c>
      <c r="F310" t="s">
        <v>16</v>
      </c>
      <c r="G310" t="s">
        <v>17</v>
      </c>
      <c r="H310" t="s">
        <v>18</v>
      </c>
      <c r="I310" t="s">
        <v>19</v>
      </c>
      <c r="J310" t="s">
        <v>20</v>
      </c>
      <c r="K310" t="s">
        <v>21</v>
      </c>
      <c r="L310" t="s">
        <v>22</v>
      </c>
      <c r="M310">
        <v>16000.2</v>
      </c>
      <c r="N310">
        <v>2020</v>
      </c>
      <c r="O310">
        <v>4</v>
      </c>
    </row>
    <row r="311" spans="1:15" x14ac:dyDescent="0.3">
      <c r="A311" s="1">
        <v>43937</v>
      </c>
      <c r="B311">
        <v>1000000031</v>
      </c>
      <c r="C311" t="s">
        <v>15</v>
      </c>
      <c r="D311">
        <v>2</v>
      </c>
      <c r="E311">
        <v>25000.870000000003</v>
      </c>
      <c r="F311" t="s">
        <v>16</v>
      </c>
      <c r="G311" t="s">
        <v>17</v>
      </c>
      <c r="H311" t="s">
        <v>18</v>
      </c>
      <c r="I311" t="s">
        <v>19</v>
      </c>
      <c r="J311" t="s">
        <v>26</v>
      </c>
      <c r="K311" t="s">
        <v>29</v>
      </c>
      <c r="L311" t="s">
        <v>28</v>
      </c>
      <c r="M311">
        <v>12500.434999999999</v>
      </c>
      <c r="N311">
        <v>2020</v>
      </c>
      <c r="O311">
        <v>4</v>
      </c>
    </row>
    <row r="312" spans="1:15" x14ac:dyDescent="0.3">
      <c r="A312" s="1">
        <v>43937</v>
      </c>
      <c r="B312">
        <v>1000000028</v>
      </c>
      <c r="C312" t="s">
        <v>15</v>
      </c>
      <c r="D312">
        <v>1</v>
      </c>
      <c r="E312">
        <v>25000.21</v>
      </c>
      <c r="F312" t="s">
        <v>16</v>
      </c>
      <c r="G312" t="s">
        <v>17</v>
      </c>
      <c r="H312" t="s">
        <v>18</v>
      </c>
      <c r="I312" t="s">
        <v>19</v>
      </c>
      <c r="J312" t="s">
        <v>20</v>
      </c>
      <c r="K312" t="s">
        <v>21</v>
      </c>
      <c r="L312" t="s">
        <v>22</v>
      </c>
      <c r="M312">
        <v>25000.21</v>
      </c>
      <c r="N312">
        <v>2020</v>
      </c>
      <c r="O312">
        <v>4</v>
      </c>
    </row>
    <row r="313" spans="1:15" x14ac:dyDescent="0.3">
      <c r="A313" s="1">
        <v>43937</v>
      </c>
      <c r="B313">
        <v>1000001513</v>
      </c>
      <c r="C313" t="s">
        <v>15</v>
      </c>
      <c r="D313">
        <v>2</v>
      </c>
      <c r="E313">
        <v>23000.22</v>
      </c>
      <c r="F313" t="s">
        <v>16</v>
      </c>
      <c r="G313" t="s">
        <v>17</v>
      </c>
      <c r="H313" t="s">
        <v>18</v>
      </c>
      <c r="I313" t="s">
        <v>34</v>
      </c>
      <c r="J313" t="s">
        <v>20</v>
      </c>
      <c r="K313" t="s">
        <v>44</v>
      </c>
      <c r="L313" t="s">
        <v>22</v>
      </c>
      <c r="M313">
        <v>11500.11</v>
      </c>
      <c r="N313">
        <v>2020</v>
      </c>
      <c r="O313">
        <v>4</v>
      </c>
    </row>
    <row r="314" spans="1:15" x14ac:dyDescent="0.3">
      <c r="A314" s="1">
        <v>43937</v>
      </c>
      <c r="B314">
        <v>1000000046</v>
      </c>
      <c r="C314" t="s">
        <v>15</v>
      </c>
      <c r="D314">
        <v>1</v>
      </c>
      <c r="E314">
        <v>22000.560000000001</v>
      </c>
      <c r="F314" t="s">
        <v>16</v>
      </c>
      <c r="G314" t="s">
        <v>17</v>
      </c>
      <c r="H314" t="s">
        <v>30</v>
      </c>
      <c r="I314" t="s">
        <v>38</v>
      </c>
      <c r="J314" t="s">
        <v>26</v>
      </c>
      <c r="K314" t="s">
        <v>39</v>
      </c>
      <c r="L314" t="s">
        <v>22</v>
      </c>
      <c r="M314">
        <v>22000.560000000001</v>
      </c>
      <c r="N314">
        <v>2020</v>
      </c>
      <c r="O314">
        <v>4</v>
      </c>
    </row>
    <row r="315" spans="1:15" x14ac:dyDescent="0.3">
      <c r="A315" s="1">
        <v>43937</v>
      </c>
      <c r="B315">
        <v>1000000035</v>
      </c>
      <c r="C315" t="s">
        <v>15</v>
      </c>
      <c r="D315">
        <v>1</v>
      </c>
      <c r="E315">
        <v>20000.68</v>
      </c>
      <c r="F315" t="s">
        <v>16</v>
      </c>
      <c r="G315" t="s">
        <v>17</v>
      </c>
      <c r="H315" t="s">
        <v>18</v>
      </c>
      <c r="I315" t="s">
        <v>25</v>
      </c>
      <c r="J315" t="s">
        <v>36</v>
      </c>
      <c r="K315" t="s">
        <v>37</v>
      </c>
      <c r="L315" t="s">
        <v>22</v>
      </c>
      <c r="M315">
        <v>20000.68</v>
      </c>
      <c r="N315">
        <v>2020</v>
      </c>
      <c r="O315">
        <v>4</v>
      </c>
    </row>
    <row r="316" spans="1:15" x14ac:dyDescent="0.3">
      <c r="A316" s="1">
        <v>43937</v>
      </c>
      <c r="B316">
        <v>1000000057</v>
      </c>
      <c r="C316" t="s">
        <v>15</v>
      </c>
      <c r="D316">
        <v>2</v>
      </c>
      <c r="E316">
        <v>20000.559999999998</v>
      </c>
      <c r="F316" t="s">
        <v>16</v>
      </c>
      <c r="G316" t="s">
        <v>17</v>
      </c>
      <c r="H316" t="s">
        <v>18</v>
      </c>
      <c r="I316" t="s">
        <v>34</v>
      </c>
      <c r="J316" t="s">
        <v>20</v>
      </c>
      <c r="K316" t="s">
        <v>44</v>
      </c>
      <c r="L316" t="s">
        <v>22</v>
      </c>
      <c r="M316">
        <v>10000.280000000001</v>
      </c>
      <c r="N316">
        <v>2020</v>
      </c>
      <c r="O316">
        <v>4</v>
      </c>
    </row>
    <row r="317" spans="1:15" x14ac:dyDescent="0.3">
      <c r="A317" s="1">
        <v>43937</v>
      </c>
      <c r="B317">
        <v>1000000045</v>
      </c>
      <c r="C317" t="s">
        <v>15</v>
      </c>
      <c r="D317">
        <v>1</v>
      </c>
      <c r="E317">
        <v>20000.419999999998</v>
      </c>
      <c r="F317" t="s">
        <v>16</v>
      </c>
      <c r="G317" t="s">
        <v>17</v>
      </c>
      <c r="H317" t="s">
        <v>47</v>
      </c>
      <c r="I317" t="s">
        <v>59</v>
      </c>
      <c r="J317" t="s">
        <v>26</v>
      </c>
      <c r="K317" t="s">
        <v>60</v>
      </c>
      <c r="L317" t="s">
        <v>22</v>
      </c>
      <c r="M317">
        <v>20000.419999999998</v>
      </c>
      <c r="N317">
        <v>2020</v>
      </c>
      <c r="O317">
        <v>4</v>
      </c>
    </row>
    <row r="318" spans="1:15" x14ac:dyDescent="0.3">
      <c r="A318" s="1">
        <v>43937</v>
      </c>
      <c r="B318">
        <v>1000001513</v>
      </c>
      <c r="C318" t="s">
        <v>42</v>
      </c>
      <c r="D318">
        <v>1</v>
      </c>
      <c r="E318">
        <v>20000.310000000001</v>
      </c>
      <c r="F318" t="s">
        <v>16</v>
      </c>
      <c r="G318" t="s">
        <v>43</v>
      </c>
      <c r="H318" t="s">
        <v>18</v>
      </c>
      <c r="I318" t="s">
        <v>34</v>
      </c>
      <c r="J318" t="s">
        <v>20</v>
      </c>
      <c r="K318" t="s">
        <v>44</v>
      </c>
      <c r="L318" t="s">
        <v>22</v>
      </c>
      <c r="M318">
        <v>20000.310000000001</v>
      </c>
      <c r="N318">
        <v>2020</v>
      </c>
      <c r="O318">
        <v>4</v>
      </c>
    </row>
    <row r="319" spans="1:15" x14ac:dyDescent="0.3">
      <c r="A319" s="1">
        <v>43937</v>
      </c>
      <c r="B319">
        <v>1000000047</v>
      </c>
      <c r="C319" t="s">
        <v>15</v>
      </c>
      <c r="D319">
        <v>1</v>
      </c>
      <c r="E319">
        <v>15000.14</v>
      </c>
      <c r="F319" t="s">
        <v>16</v>
      </c>
      <c r="G319" t="s">
        <v>17</v>
      </c>
      <c r="H319" t="s">
        <v>47</v>
      </c>
      <c r="I319" t="s">
        <v>48</v>
      </c>
      <c r="J319" t="s">
        <v>26</v>
      </c>
      <c r="K319" t="s">
        <v>50</v>
      </c>
      <c r="L319" t="s">
        <v>22</v>
      </c>
      <c r="M319">
        <v>15000.14</v>
      </c>
      <c r="N319">
        <v>2020</v>
      </c>
      <c r="O319">
        <v>4</v>
      </c>
    </row>
    <row r="320" spans="1:15" x14ac:dyDescent="0.3">
      <c r="A320" s="1">
        <v>43937</v>
      </c>
      <c r="B320">
        <v>1000000050</v>
      </c>
      <c r="C320" t="s">
        <v>15</v>
      </c>
      <c r="D320">
        <v>2</v>
      </c>
      <c r="E320">
        <v>13000.69</v>
      </c>
      <c r="F320" t="s">
        <v>16</v>
      </c>
      <c r="G320" t="s">
        <v>17</v>
      </c>
      <c r="H320" t="s">
        <v>18</v>
      </c>
      <c r="I320" t="s">
        <v>40</v>
      </c>
      <c r="J320" t="s">
        <v>26</v>
      </c>
      <c r="K320" t="s">
        <v>41</v>
      </c>
      <c r="L320" t="s">
        <v>22</v>
      </c>
      <c r="M320">
        <v>6500.3450000000003</v>
      </c>
      <c r="N320">
        <v>2020</v>
      </c>
      <c r="O320">
        <v>4</v>
      </c>
    </row>
    <row r="321" spans="1:15" x14ac:dyDescent="0.3">
      <c r="A321" s="1">
        <v>43937</v>
      </c>
      <c r="B321">
        <v>1000000044</v>
      </c>
      <c r="C321" t="s">
        <v>15</v>
      </c>
      <c r="D321">
        <v>1</v>
      </c>
      <c r="E321">
        <v>10000.620000000001</v>
      </c>
      <c r="F321" t="s">
        <v>16</v>
      </c>
      <c r="G321" t="s">
        <v>17</v>
      </c>
      <c r="H321" t="s">
        <v>30</v>
      </c>
      <c r="I321" t="s">
        <v>31</v>
      </c>
      <c r="J321" t="s">
        <v>36</v>
      </c>
      <c r="K321" t="s">
        <v>52</v>
      </c>
      <c r="L321" t="s">
        <v>28</v>
      </c>
      <c r="M321">
        <v>10000.620000000001</v>
      </c>
      <c r="N321">
        <v>2020</v>
      </c>
      <c r="O321">
        <v>4</v>
      </c>
    </row>
    <row r="322" spans="1:15" x14ac:dyDescent="0.3">
      <c r="A322" s="1">
        <v>43937</v>
      </c>
      <c r="B322">
        <v>1000000928</v>
      </c>
      <c r="C322" t="s">
        <v>23</v>
      </c>
      <c r="D322">
        <v>1</v>
      </c>
      <c r="E322">
        <v>10000.6</v>
      </c>
      <c r="F322" t="s">
        <v>16</v>
      </c>
      <c r="G322" t="s">
        <v>24</v>
      </c>
      <c r="H322" t="s">
        <v>30</v>
      </c>
      <c r="I322" t="s">
        <v>57</v>
      </c>
      <c r="J322" t="s">
        <v>26</v>
      </c>
      <c r="K322" t="s">
        <v>58</v>
      </c>
      <c r="L322" t="s">
        <v>22</v>
      </c>
      <c r="M322">
        <v>10000.6</v>
      </c>
      <c r="N322">
        <v>2020</v>
      </c>
      <c r="O322">
        <v>4</v>
      </c>
    </row>
    <row r="323" spans="1:15" x14ac:dyDescent="0.3">
      <c r="A323" s="1">
        <v>43937</v>
      </c>
      <c r="B323">
        <v>1000000039</v>
      </c>
      <c r="C323" t="s">
        <v>23</v>
      </c>
      <c r="D323">
        <v>1</v>
      </c>
      <c r="E323">
        <v>10000.209999999999</v>
      </c>
      <c r="F323" t="s">
        <v>16</v>
      </c>
      <c r="G323" t="s">
        <v>24</v>
      </c>
      <c r="H323" t="s">
        <v>18</v>
      </c>
      <c r="I323" t="s">
        <v>25</v>
      </c>
      <c r="J323" t="s">
        <v>20</v>
      </c>
      <c r="K323" t="s">
        <v>51</v>
      </c>
      <c r="L323" t="s">
        <v>28</v>
      </c>
      <c r="M323">
        <v>10000.209999999999</v>
      </c>
      <c r="N323">
        <v>2020</v>
      </c>
      <c r="O323">
        <v>4</v>
      </c>
    </row>
    <row r="324" spans="1:15" x14ac:dyDescent="0.3">
      <c r="A324" s="1">
        <v>43937</v>
      </c>
      <c r="B324">
        <v>1000001513</v>
      </c>
      <c r="C324" t="s">
        <v>23</v>
      </c>
      <c r="D324">
        <v>1</v>
      </c>
      <c r="E324">
        <v>10000.15</v>
      </c>
      <c r="F324" t="s">
        <v>16</v>
      </c>
      <c r="G324" t="s">
        <v>24</v>
      </c>
      <c r="H324" t="s">
        <v>18</v>
      </c>
      <c r="I324" t="s">
        <v>34</v>
      </c>
      <c r="J324" t="s">
        <v>20</v>
      </c>
      <c r="K324" t="s">
        <v>44</v>
      </c>
      <c r="L324" t="s">
        <v>22</v>
      </c>
      <c r="M324">
        <v>10000.15</v>
      </c>
      <c r="N324">
        <v>2020</v>
      </c>
      <c r="O324">
        <v>4</v>
      </c>
    </row>
    <row r="325" spans="1:15" x14ac:dyDescent="0.3">
      <c r="A325" s="1">
        <v>43937</v>
      </c>
      <c r="B325">
        <v>1000000028</v>
      </c>
      <c r="C325" t="s">
        <v>23</v>
      </c>
      <c r="D325">
        <v>2</v>
      </c>
      <c r="E325">
        <v>8782.59</v>
      </c>
      <c r="F325" t="s">
        <v>16</v>
      </c>
      <c r="G325" t="s">
        <v>24</v>
      </c>
      <c r="H325" t="s">
        <v>18</v>
      </c>
      <c r="I325" t="s">
        <v>19</v>
      </c>
      <c r="J325" t="s">
        <v>20</v>
      </c>
      <c r="K325" t="s">
        <v>21</v>
      </c>
      <c r="L325" t="s">
        <v>22</v>
      </c>
      <c r="M325">
        <v>4391.2950000000001</v>
      </c>
      <c r="N325">
        <v>2020</v>
      </c>
      <c r="O325">
        <v>4</v>
      </c>
    </row>
    <row r="326" spans="1:15" x14ac:dyDescent="0.3">
      <c r="A326" s="1">
        <v>43937</v>
      </c>
      <c r="B326">
        <v>1000000052</v>
      </c>
      <c r="C326" t="s">
        <v>23</v>
      </c>
      <c r="D326">
        <v>1</v>
      </c>
      <c r="E326">
        <v>8000.62</v>
      </c>
      <c r="F326" t="s">
        <v>16</v>
      </c>
      <c r="G326" t="s">
        <v>24</v>
      </c>
      <c r="H326" t="s">
        <v>18</v>
      </c>
      <c r="I326" t="s">
        <v>34</v>
      </c>
      <c r="J326" t="s">
        <v>20</v>
      </c>
      <c r="K326" t="s">
        <v>44</v>
      </c>
      <c r="L326" t="s">
        <v>22</v>
      </c>
      <c r="M326">
        <v>8000.62</v>
      </c>
      <c r="N326">
        <v>2020</v>
      </c>
      <c r="O326">
        <v>4</v>
      </c>
    </row>
    <row r="327" spans="1:15" x14ac:dyDescent="0.3">
      <c r="A327" s="1">
        <v>43937</v>
      </c>
      <c r="B327">
        <v>1000000047</v>
      </c>
      <c r="C327" t="s">
        <v>42</v>
      </c>
      <c r="D327">
        <v>1</v>
      </c>
      <c r="E327">
        <v>8000.32</v>
      </c>
      <c r="F327" t="s">
        <v>16</v>
      </c>
      <c r="G327" t="s">
        <v>43</v>
      </c>
      <c r="H327" t="s">
        <v>47</v>
      </c>
      <c r="I327" t="s">
        <v>48</v>
      </c>
      <c r="J327" t="s">
        <v>26</v>
      </c>
      <c r="K327" t="s">
        <v>50</v>
      </c>
      <c r="L327" t="s">
        <v>22</v>
      </c>
      <c r="M327">
        <v>8000.32</v>
      </c>
      <c r="N327">
        <v>2020</v>
      </c>
      <c r="O327">
        <v>4</v>
      </c>
    </row>
    <row r="328" spans="1:15" x14ac:dyDescent="0.3">
      <c r="A328" s="1">
        <v>43937</v>
      </c>
      <c r="B328">
        <v>1000000031</v>
      </c>
      <c r="C328" t="s">
        <v>23</v>
      </c>
      <c r="D328">
        <v>1</v>
      </c>
      <c r="E328">
        <v>7999.95</v>
      </c>
      <c r="F328" t="s">
        <v>16</v>
      </c>
      <c r="G328" t="s">
        <v>24</v>
      </c>
      <c r="H328" t="s">
        <v>18</v>
      </c>
      <c r="I328" t="s">
        <v>19</v>
      </c>
      <c r="J328" t="s">
        <v>26</v>
      </c>
      <c r="K328" t="s">
        <v>29</v>
      </c>
      <c r="L328" t="s">
        <v>28</v>
      </c>
      <c r="M328">
        <v>7999.95</v>
      </c>
      <c r="N328">
        <v>2020</v>
      </c>
      <c r="O328">
        <v>4</v>
      </c>
    </row>
    <row r="329" spans="1:15" x14ac:dyDescent="0.3">
      <c r="A329" s="1">
        <v>43937</v>
      </c>
      <c r="B329">
        <v>1000000030</v>
      </c>
      <c r="C329" t="s">
        <v>23</v>
      </c>
      <c r="D329">
        <v>1</v>
      </c>
      <c r="E329">
        <v>5000.13</v>
      </c>
      <c r="F329" t="s">
        <v>16</v>
      </c>
      <c r="G329" t="s">
        <v>24</v>
      </c>
      <c r="H329" t="s">
        <v>47</v>
      </c>
      <c r="I329" t="s">
        <v>48</v>
      </c>
      <c r="J329" t="s">
        <v>36</v>
      </c>
      <c r="K329" t="s">
        <v>49</v>
      </c>
      <c r="L329" t="s">
        <v>22</v>
      </c>
      <c r="M329">
        <v>5000.13</v>
      </c>
      <c r="N329">
        <v>2020</v>
      </c>
      <c r="O329">
        <v>4</v>
      </c>
    </row>
    <row r="330" spans="1:15" x14ac:dyDescent="0.3">
      <c r="A330" s="1">
        <v>43937</v>
      </c>
      <c r="B330">
        <v>1000000034</v>
      </c>
      <c r="C330" t="s">
        <v>23</v>
      </c>
      <c r="D330">
        <v>1</v>
      </c>
      <c r="E330">
        <v>4000.05</v>
      </c>
      <c r="F330" t="s">
        <v>16</v>
      </c>
      <c r="G330" t="s">
        <v>24</v>
      </c>
      <c r="H330" t="s">
        <v>18</v>
      </c>
      <c r="I330" t="s">
        <v>25</v>
      </c>
      <c r="J330" t="s">
        <v>26</v>
      </c>
      <c r="K330" t="s">
        <v>27</v>
      </c>
      <c r="L330" t="s">
        <v>22</v>
      </c>
      <c r="M330">
        <v>4000.05</v>
      </c>
      <c r="N330">
        <v>2020</v>
      </c>
      <c r="O330">
        <v>4</v>
      </c>
    </row>
    <row r="331" spans="1:15" x14ac:dyDescent="0.3">
      <c r="A331" s="1">
        <v>43937</v>
      </c>
      <c r="B331">
        <v>1000000054</v>
      </c>
      <c r="C331" t="s">
        <v>23</v>
      </c>
      <c r="D331">
        <v>1</v>
      </c>
      <c r="E331">
        <v>1000.19</v>
      </c>
      <c r="F331" t="s">
        <v>16</v>
      </c>
      <c r="G331" t="s">
        <v>24</v>
      </c>
      <c r="H331" t="s">
        <v>18</v>
      </c>
      <c r="I331" t="s">
        <v>34</v>
      </c>
      <c r="J331" t="s">
        <v>26</v>
      </c>
      <c r="K331" t="s">
        <v>35</v>
      </c>
      <c r="L331" t="s">
        <v>22</v>
      </c>
      <c r="M331">
        <v>1000.19</v>
      </c>
      <c r="N331">
        <v>2020</v>
      </c>
      <c r="O331">
        <v>4</v>
      </c>
    </row>
    <row r="332" spans="1:15" x14ac:dyDescent="0.3">
      <c r="A332" s="1">
        <v>43938</v>
      </c>
      <c r="B332">
        <v>1000000029</v>
      </c>
      <c r="C332" t="s">
        <v>15</v>
      </c>
      <c r="D332">
        <v>2</v>
      </c>
      <c r="E332">
        <v>42000.81</v>
      </c>
      <c r="F332" t="s">
        <v>16</v>
      </c>
      <c r="G332" t="s">
        <v>17</v>
      </c>
      <c r="H332" t="s">
        <v>18</v>
      </c>
      <c r="I332" t="s">
        <v>19</v>
      </c>
      <c r="J332" t="s">
        <v>20</v>
      </c>
      <c r="K332" t="s">
        <v>21</v>
      </c>
      <c r="L332" t="s">
        <v>22</v>
      </c>
      <c r="M332">
        <v>21000.404999999999</v>
      </c>
      <c r="N332">
        <v>2020</v>
      </c>
      <c r="O332">
        <v>4</v>
      </c>
    </row>
    <row r="333" spans="1:15" x14ac:dyDescent="0.3">
      <c r="A333" s="1">
        <v>43938</v>
      </c>
      <c r="B333">
        <v>1000000056</v>
      </c>
      <c r="C333" t="s">
        <v>42</v>
      </c>
      <c r="D333">
        <v>2</v>
      </c>
      <c r="E333">
        <v>40000.949999999997</v>
      </c>
      <c r="F333" t="s">
        <v>16</v>
      </c>
      <c r="G333" t="s">
        <v>43</v>
      </c>
      <c r="H333" t="s">
        <v>18</v>
      </c>
      <c r="I333" t="s">
        <v>34</v>
      </c>
      <c r="J333" t="s">
        <v>26</v>
      </c>
      <c r="K333" t="s">
        <v>35</v>
      </c>
      <c r="L333" t="s">
        <v>28</v>
      </c>
      <c r="M333">
        <v>20000.474999999999</v>
      </c>
      <c r="N333">
        <v>2020</v>
      </c>
      <c r="O333">
        <v>4</v>
      </c>
    </row>
    <row r="334" spans="1:15" x14ac:dyDescent="0.3">
      <c r="A334" s="1">
        <v>43938</v>
      </c>
      <c r="B334">
        <v>1000001513</v>
      </c>
      <c r="C334" t="s">
        <v>15</v>
      </c>
      <c r="D334">
        <v>2</v>
      </c>
      <c r="E334">
        <v>31000.71</v>
      </c>
      <c r="F334" t="s">
        <v>16</v>
      </c>
      <c r="G334" t="s">
        <v>17</v>
      </c>
      <c r="H334" t="s">
        <v>18</v>
      </c>
      <c r="I334" t="s">
        <v>34</v>
      </c>
      <c r="J334" t="s">
        <v>20</v>
      </c>
      <c r="K334" t="s">
        <v>44</v>
      </c>
      <c r="L334" t="s">
        <v>22</v>
      </c>
      <c r="M334">
        <v>15500.355</v>
      </c>
      <c r="N334">
        <v>2020</v>
      </c>
      <c r="O334">
        <v>4</v>
      </c>
    </row>
    <row r="335" spans="1:15" x14ac:dyDescent="0.3">
      <c r="A335" s="1">
        <v>43938</v>
      </c>
      <c r="B335">
        <v>1000000928</v>
      </c>
      <c r="C335" t="s">
        <v>15</v>
      </c>
      <c r="D335">
        <v>2</v>
      </c>
      <c r="E335">
        <v>30000.89</v>
      </c>
      <c r="F335" t="s">
        <v>16</v>
      </c>
      <c r="G335" t="s">
        <v>17</v>
      </c>
      <c r="H335" t="s">
        <v>30</v>
      </c>
      <c r="I335" t="s">
        <v>57</v>
      </c>
      <c r="J335" t="s">
        <v>26</v>
      </c>
      <c r="K335" t="s">
        <v>58</v>
      </c>
      <c r="L335" t="s">
        <v>22</v>
      </c>
      <c r="M335">
        <v>15000.445</v>
      </c>
      <c r="N335">
        <v>2020</v>
      </c>
      <c r="O335">
        <v>4</v>
      </c>
    </row>
    <row r="336" spans="1:15" x14ac:dyDescent="0.3">
      <c r="A336" s="1">
        <v>43938</v>
      </c>
      <c r="B336">
        <v>1000000237</v>
      </c>
      <c r="C336" t="s">
        <v>42</v>
      </c>
      <c r="D336">
        <v>3</v>
      </c>
      <c r="E336">
        <v>28000.639999999999</v>
      </c>
      <c r="F336" t="s">
        <v>16</v>
      </c>
      <c r="G336" t="s">
        <v>43</v>
      </c>
      <c r="H336" t="s">
        <v>18</v>
      </c>
      <c r="I336" t="s">
        <v>40</v>
      </c>
      <c r="J336" t="s">
        <v>26</v>
      </c>
      <c r="K336" t="s">
        <v>41</v>
      </c>
      <c r="L336" t="s">
        <v>22</v>
      </c>
      <c r="M336">
        <v>9333.5466666666671</v>
      </c>
      <c r="N336">
        <v>2020</v>
      </c>
      <c r="O336">
        <v>4</v>
      </c>
    </row>
    <row r="337" spans="1:15" x14ac:dyDescent="0.3">
      <c r="A337" s="1">
        <v>43938</v>
      </c>
      <c r="B337">
        <v>1000000034</v>
      </c>
      <c r="C337" t="s">
        <v>15</v>
      </c>
      <c r="D337">
        <v>1</v>
      </c>
      <c r="E337">
        <v>25000.74</v>
      </c>
      <c r="F337" t="s">
        <v>16</v>
      </c>
      <c r="G337" t="s">
        <v>17</v>
      </c>
      <c r="H337" t="s">
        <v>18</v>
      </c>
      <c r="I337" t="s">
        <v>25</v>
      </c>
      <c r="J337" t="s">
        <v>26</v>
      </c>
      <c r="K337" t="s">
        <v>27</v>
      </c>
      <c r="L337" t="s">
        <v>22</v>
      </c>
      <c r="M337">
        <v>25000.74</v>
      </c>
      <c r="N337">
        <v>2020</v>
      </c>
      <c r="O337">
        <v>4</v>
      </c>
    </row>
    <row r="338" spans="1:15" x14ac:dyDescent="0.3">
      <c r="A338" s="1">
        <v>43938</v>
      </c>
      <c r="B338">
        <v>1000000028</v>
      </c>
      <c r="C338" t="s">
        <v>42</v>
      </c>
      <c r="D338">
        <v>1</v>
      </c>
      <c r="E338">
        <v>25000.62</v>
      </c>
      <c r="F338" t="s">
        <v>16</v>
      </c>
      <c r="G338" t="s">
        <v>43</v>
      </c>
      <c r="H338" t="s">
        <v>18</v>
      </c>
      <c r="I338" t="s">
        <v>19</v>
      </c>
      <c r="J338" t="s">
        <v>20</v>
      </c>
      <c r="K338" t="s">
        <v>21</v>
      </c>
      <c r="L338" t="s">
        <v>22</v>
      </c>
      <c r="M338">
        <v>25000.62</v>
      </c>
      <c r="N338">
        <v>2020</v>
      </c>
      <c r="O338">
        <v>4</v>
      </c>
    </row>
    <row r="339" spans="1:15" x14ac:dyDescent="0.3">
      <c r="A339" s="1">
        <v>43938</v>
      </c>
      <c r="B339">
        <v>1000000034</v>
      </c>
      <c r="C339" t="s">
        <v>23</v>
      </c>
      <c r="D339">
        <v>2</v>
      </c>
      <c r="E339">
        <v>22000.800000000003</v>
      </c>
      <c r="F339" t="s">
        <v>16</v>
      </c>
      <c r="G339" t="s">
        <v>24</v>
      </c>
      <c r="H339" t="s">
        <v>18</v>
      </c>
      <c r="I339" t="s">
        <v>25</v>
      </c>
      <c r="J339" t="s">
        <v>26</v>
      </c>
      <c r="K339" t="s">
        <v>27</v>
      </c>
      <c r="L339" t="s">
        <v>22</v>
      </c>
      <c r="M339">
        <v>11000.4</v>
      </c>
      <c r="N339">
        <v>2020</v>
      </c>
      <c r="O339">
        <v>4</v>
      </c>
    </row>
    <row r="340" spans="1:15" x14ac:dyDescent="0.3">
      <c r="A340" s="1">
        <v>43938</v>
      </c>
      <c r="B340">
        <v>1000000043</v>
      </c>
      <c r="C340" t="s">
        <v>42</v>
      </c>
      <c r="D340">
        <v>1</v>
      </c>
      <c r="E340">
        <v>22000.75</v>
      </c>
      <c r="F340" t="s">
        <v>16</v>
      </c>
      <c r="G340" t="s">
        <v>43</v>
      </c>
      <c r="H340" t="s">
        <v>30</v>
      </c>
      <c r="I340" t="s">
        <v>38</v>
      </c>
      <c r="J340" t="s">
        <v>26</v>
      </c>
      <c r="K340" t="s">
        <v>39</v>
      </c>
      <c r="L340" t="s">
        <v>22</v>
      </c>
      <c r="M340">
        <v>22000.75</v>
      </c>
      <c r="N340">
        <v>2020</v>
      </c>
      <c r="O340">
        <v>4</v>
      </c>
    </row>
    <row r="341" spans="1:15" x14ac:dyDescent="0.3">
      <c r="A341" s="1">
        <v>43938</v>
      </c>
      <c r="B341">
        <v>1000000056</v>
      </c>
      <c r="C341" t="s">
        <v>15</v>
      </c>
      <c r="D341">
        <v>1</v>
      </c>
      <c r="E341">
        <v>22000.48</v>
      </c>
      <c r="F341" t="s">
        <v>16</v>
      </c>
      <c r="G341" t="s">
        <v>17</v>
      </c>
      <c r="H341" t="s">
        <v>18</v>
      </c>
      <c r="I341" t="s">
        <v>34</v>
      </c>
      <c r="J341" t="s">
        <v>26</v>
      </c>
      <c r="K341" t="s">
        <v>35</v>
      </c>
      <c r="L341" t="s">
        <v>28</v>
      </c>
      <c r="M341">
        <v>22000.48</v>
      </c>
      <c r="N341">
        <v>2020</v>
      </c>
      <c r="O341">
        <v>4</v>
      </c>
    </row>
    <row r="342" spans="1:15" x14ac:dyDescent="0.3">
      <c r="A342" s="1">
        <v>43938</v>
      </c>
      <c r="B342">
        <v>1000000045</v>
      </c>
      <c r="C342" t="s">
        <v>23</v>
      </c>
      <c r="D342">
        <v>1</v>
      </c>
      <c r="E342">
        <v>22000.43</v>
      </c>
      <c r="F342" t="s">
        <v>16</v>
      </c>
      <c r="G342" t="s">
        <v>24</v>
      </c>
      <c r="H342" t="s">
        <v>47</v>
      </c>
      <c r="I342" t="s">
        <v>59</v>
      </c>
      <c r="J342" t="s">
        <v>26</v>
      </c>
      <c r="K342" t="s">
        <v>60</v>
      </c>
      <c r="L342" t="s">
        <v>22</v>
      </c>
      <c r="M342">
        <v>22000.43</v>
      </c>
      <c r="N342">
        <v>2020</v>
      </c>
      <c r="O342">
        <v>4</v>
      </c>
    </row>
    <row r="343" spans="1:15" x14ac:dyDescent="0.3">
      <c r="A343" s="1">
        <v>43938</v>
      </c>
      <c r="B343">
        <v>1000000037</v>
      </c>
      <c r="C343" t="s">
        <v>42</v>
      </c>
      <c r="D343">
        <v>1</v>
      </c>
      <c r="E343">
        <v>21999.95</v>
      </c>
      <c r="F343" t="s">
        <v>16</v>
      </c>
      <c r="G343" t="s">
        <v>43</v>
      </c>
      <c r="H343" t="s">
        <v>18</v>
      </c>
      <c r="I343" t="s">
        <v>19</v>
      </c>
      <c r="J343" t="s">
        <v>20</v>
      </c>
      <c r="K343" t="s">
        <v>21</v>
      </c>
      <c r="L343" t="s">
        <v>22</v>
      </c>
      <c r="M343">
        <v>21999.95</v>
      </c>
      <c r="N343">
        <v>2020</v>
      </c>
      <c r="O343">
        <v>4</v>
      </c>
    </row>
    <row r="344" spans="1:15" x14ac:dyDescent="0.3">
      <c r="A344" s="1">
        <v>43938</v>
      </c>
      <c r="B344">
        <v>1000000030</v>
      </c>
      <c r="C344" t="s">
        <v>23</v>
      </c>
      <c r="D344">
        <v>1</v>
      </c>
      <c r="E344">
        <v>20000.73</v>
      </c>
      <c r="F344" t="s">
        <v>16</v>
      </c>
      <c r="G344" t="s">
        <v>24</v>
      </c>
      <c r="H344" t="s">
        <v>47</v>
      </c>
      <c r="I344" t="s">
        <v>48</v>
      </c>
      <c r="J344" t="s">
        <v>36</v>
      </c>
      <c r="K344" t="s">
        <v>49</v>
      </c>
      <c r="L344" t="s">
        <v>22</v>
      </c>
      <c r="M344">
        <v>20000.73</v>
      </c>
      <c r="N344">
        <v>2020</v>
      </c>
      <c r="O344">
        <v>4</v>
      </c>
    </row>
    <row r="345" spans="1:15" x14ac:dyDescent="0.3">
      <c r="A345" s="1">
        <v>43938</v>
      </c>
      <c r="B345">
        <v>1000000045</v>
      </c>
      <c r="C345" t="s">
        <v>15</v>
      </c>
      <c r="D345">
        <v>2</v>
      </c>
      <c r="E345">
        <v>20000.690000000002</v>
      </c>
      <c r="F345" t="s">
        <v>16</v>
      </c>
      <c r="G345" t="s">
        <v>17</v>
      </c>
      <c r="H345" t="s">
        <v>47</v>
      </c>
      <c r="I345" t="s">
        <v>59</v>
      </c>
      <c r="J345" t="s">
        <v>26</v>
      </c>
      <c r="K345" t="s">
        <v>60</v>
      </c>
      <c r="L345" t="s">
        <v>22</v>
      </c>
      <c r="M345">
        <v>10000.344999999999</v>
      </c>
      <c r="N345">
        <v>2020</v>
      </c>
      <c r="O345">
        <v>4</v>
      </c>
    </row>
    <row r="346" spans="1:15" x14ac:dyDescent="0.3">
      <c r="A346" s="1">
        <v>43938</v>
      </c>
      <c r="B346">
        <v>1000000044</v>
      </c>
      <c r="C346" t="s">
        <v>23</v>
      </c>
      <c r="D346">
        <v>1</v>
      </c>
      <c r="E346">
        <v>20000.419999999998</v>
      </c>
      <c r="F346" t="s">
        <v>16</v>
      </c>
      <c r="G346" t="s">
        <v>24</v>
      </c>
      <c r="H346" t="s">
        <v>30</v>
      </c>
      <c r="I346" t="s">
        <v>31</v>
      </c>
      <c r="J346" t="s">
        <v>36</v>
      </c>
      <c r="K346" t="s">
        <v>52</v>
      </c>
      <c r="L346" t="s">
        <v>28</v>
      </c>
      <c r="M346">
        <v>20000.419999999998</v>
      </c>
      <c r="N346">
        <v>2020</v>
      </c>
      <c r="O346">
        <v>4</v>
      </c>
    </row>
    <row r="347" spans="1:15" x14ac:dyDescent="0.3">
      <c r="A347" s="1">
        <v>43938</v>
      </c>
      <c r="B347">
        <v>1000000033</v>
      </c>
      <c r="C347" t="s">
        <v>42</v>
      </c>
      <c r="D347">
        <v>1</v>
      </c>
      <c r="E347">
        <v>20000.13</v>
      </c>
      <c r="F347" t="s">
        <v>16</v>
      </c>
      <c r="G347" t="s">
        <v>43</v>
      </c>
      <c r="H347" t="s">
        <v>18</v>
      </c>
      <c r="I347" t="s">
        <v>25</v>
      </c>
      <c r="J347" t="s">
        <v>26</v>
      </c>
      <c r="K347" t="s">
        <v>27</v>
      </c>
      <c r="L347" t="s">
        <v>22</v>
      </c>
      <c r="M347">
        <v>20000.13</v>
      </c>
      <c r="N347">
        <v>2020</v>
      </c>
      <c r="O347">
        <v>4</v>
      </c>
    </row>
    <row r="348" spans="1:15" x14ac:dyDescent="0.3">
      <c r="A348" s="1">
        <v>43938</v>
      </c>
      <c r="B348">
        <v>1000000566</v>
      </c>
      <c r="C348" t="s">
        <v>23</v>
      </c>
      <c r="D348">
        <v>1</v>
      </c>
      <c r="E348">
        <v>20000</v>
      </c>
      <c r="F348" t="s">
        <v>16</v>
      </c>
      <c r="G348" t="s">
        <v>24</v>
      </c>
      <c r="H348" t="s">
        <v>47</v>
      </c>
      <c r="I348" t="s">
        <v>48</v>
      </c>
      <c r="J348" t="s">
        <v>36</v>
      </c>
      <c r="K348" t="s">
        <v>49</v>
      </c>
      <c r="L348" t="s">
        <v>22</v>
      </c>
      <c r="M348">
        <v>20000</v>
      </c>
      <c r="N348">
        <v>2020</v>
      </c>
      <c r="O348">
        <v>4</v>
      </c>
    </row>
    <row r="349" spans="1:15" x14ac:dyDescent="0.3">
      <c r="A349" s="1">
        <v>43938</v>
      </c>
      <c r="B349">
        <v>1000000031</v>
      </c>
      <c r="C349" t="s">
        <v>15</v>
      </c>
      <c r="D349">
        <v>2</v>
      </c>
      <c r="E349">
        <v>19500.86</v>
      </c>
      <c r="F349" t="s">
        <v>16</v>
      </c>
      <c r="G349" t="s">
        <v>17</v>
      </c>
      <c r="H349" t="s">
        <v>18</v>
      </c>
      <c r="I349" t="s">
        <v>19</v>
      </c>
      <c r="J349" t="s">
        <v>26</v>
      </c>
      <c r="K349" t="s">
        <v>29</v>
      </c>
      <c r="L349" t="s">
        <v>28</v>
      </c>
      <c r="M349">
        <v>9750.43</v>
      </c>
      <c r="N349">
        <v>2020</v>
      </c>
      <c r="O349">
        <v>4</v>
      </c>
    </row>
    <row r="350" spans="1:15" x14ac:dyDescent="0.3">
      <c r="A350" s="1">
        <v>43938</v>
      </c>
      <c r="B350">
        <v>1000000033</v>
      </c>
      <c r="C350" t="s">
        <v>23</v>
      </c>
      <c r="D350">
        <v>2</v>
      </c>
      <c r="E350">
        <v>18000.629999999997</v>
      </c>
      <c r="F350" t="s">
        <v>16</v>
      </c>
      <c r="G350" t="s">
        <v>24</v>
      </c>
      <c r="H350" t="s">
        <v>18</v>
      </c>
      <c r="I350" t="s">
        <v>25</v>
      </c>
      <c r="J350" t="s">
        <v>26</v>
      </c>
      <c r="K350" t="s">
        <v>27</v>
      </c>
      <c r="L350" t="s">
        <v>22</v>
      </c>
      <c r="M350">
        <v>9000.3149999999987</v>
      </c>
      <c r="N350">
        <v>2020</v>
      </c>
      <c r="O350">
        <v>4</v>
      </c>
    </row>
    <row r="351" spans="1:15" x14ac:dyDescent="0.3">
      <c r="A351" s="1">
        <v>43938</v>
      </c>
      <c r="B351">
        <v>1000000030</v>
      </c>
      <c r="C351" t="s">
        <v>15</v>
      </c>
      <c r="D351">
        <v>1</v>
      </c>
      <c r="E351">
        <v>18000.25</v>
      </c>
      <c r="F351" t="s">
        <v>16</v>
      </c>
      <c r="G351" t="s">
        <v>17</v>
      </c>
      <c r="H351" t="s">
        <v>47</v>
      </c>
      <c r="I351" t="s">
        <v>48</v>
      </c>
      <c r="J351" t="s">
        <v>36</v>
      </c>
      <c r="K351" t="s">
        <v>49</v>
      </c>
      <c r="L351" t="s">
        <v>22</v>
      </c>
      <c r="M351">
        <v>18000.25</v>
      </c>
      <c r="N351">
        <v>2020</v>
      </c>
      <c r="O351">
        <v>4</v>
      </c>
    </row>
    <row r="352" spans="1:15" x14ac:dyDescent="0.3">
      <c r="A352" s="1">
        <v>43938</v>
      </c>
      <c r="B352">
        <v>1000000068</v>
      </c>
      <c r="C352" t="s">
        <v>23</v>
      </c>
      <c r="D352">
        <v>1</v>
      </c>
      <c r="E352">
        <v>15000.66</v>
      </c>
      <c r="F352" t="s">
        <v>16</v>
      </c>
      <c r="G352" t="s">
        <v>24</v>
      </c>
      <c r="H352" t="s">
        <v>30</v>
      </c>
      <c r="I352" t="s">
        <v>55</v>
      </c>
      <c r="J352" t="s">
        <v>26</v>
      </c>
      <c r="K352" t="s">
        <v>56</v>
      </c>
      <c r="L352" t="s">
        <v>28</v>
      </c>
      <c r="M352">
        <v>15000.66</v>
      </c>
      <c r="N352">
        <v>2020</v>
      </c>
      <c r="O352">
        <v>4</v>
      </c>
    </row>
    <row r="353" spans="1:15" x14ac:dyDescent="0.3">
      <c r="A353" s="1">
        <v>43938</v>
      </c>
      <c r="B353">
        <v>1000000046</v>
      </c>
      <c r="C353" t="s">
        <v>15</v>
      </c>
      <c r="D353">
        <v>1</v>
      </c>
      <c r="E353">
        <v>14999.94</v>
      </c>
      <c r="F353" t="s">
        <v>16</v>
      </c>
      <c r="G353" t="s">
        <v>17</v>
      </c>
      <c r="H353" t="s">
        <v>30</v>
      </c>
      <c r="I353" t="s">
        <v>38</v>
      </c>
      <c r="J353" t="s">
        <v>26</v>
      </c>
      <c r="K353" t="s">
        <v>39</v>
      </c>
      <c r="L353" t="s">
        <v>22</v>
      </c>
      <c r="M353">
        <v>14999.94</v>
      </c>
      <c r="N353">
        <v>2020</v>
      </c>
      <c r="O353">
        <v>4</v>
      </c>
    </row>
    <row r="354" spans="1:15" x14ac:dyDescent="0.3">
      <c r="A354" s="1">
        <v>43938</v>
      </c>
      <c r="B354">
        <v>1000000049</v>
      </c>
      <c r="C354" t="s">
        <v>23</v>
      </c>
      <c r="D354">
        <v>1</v>
      </c>
      <c r="E354">
        <v>10000.549999999999</v>
      </c>
      <c r="F354" t="s">
        <v>16</v>
      </c>
      <c r="G354" t="s">
        <v>24</v>
      </c>
      <c r="H354" t="s">
        <v>18</v>
      </c>
      <c r="I354" t="s">
        <v>40</v>
      </c>
      <c r="J354" t="s">
        <v>26</v>
      </c>
      <c r="K354" t="s">
        <v>41</v>
      </c>
      <c r="L354" t="s">
        <v>22</v>
      </c>
      <c r="M354">
        <v>10000.549999999999</v>
      </c>
      <c r="N354">
        <v>2020</v>
      </c>
      <c r="O354">
        <v>4</v>
      </c>
    </row>
    <row r="355" spans="1:15" x14ac:dyDescent="0.3">
      <c r="A355" s="1">
        <v>43938</v>
      </c>
      <c r="B355">
        <v>1000000034</v>
      </c>
      <c r="C355" t="s">
        <v>42</v>
      </c>
      <c r="D355">
        <v>1</v>
      </c>
      <c r="E355">
        <v>10000.459999999999</v>
      </c>
      <c r="F355" t="s">
        <v>16</v>
      </c>
      <c r="G355" t="s">
        <v>43</v>
      </c>
      <c r="H355" t="s">
        <v>18</v>
      </c>
      <c r="I355" t="s">
        <v>25</v>
      </c>
      <c r="J355" t="s">
        <v>26</v>
      </c>
      <c r="K355" t="s">
        <v>27</v>
      </c>
      <c r="L355" t="s">
        <v>22</v>
      </c>
      <c r="M355">
        <v>10000.459999999999</v>
      </c>
      <c r="N355">
        <v>2020</v>
      </c>
      <c r="O355">
        <v>4</v>
      </c>
    </row>
    <row r="356" spans="1:15" x14ac:dyDescent="0.3">
      <c r="A356" s="1">
        <v>43938</v>
      </c>
      <c r="B356">
        <v>1000000028</v>
      </c>
      <c r="C356" t="s">
        <v>23</v>
      </c>
      <c r="D356">
        <v>1</v>
      </c>
      <c r="E356">
        <v>10000.27</v>
      </c>
      <c r="F356" t="s">
        <v>16</v>
      </c>
      <c r="G356" t="s">
        <v>24</v>
      </c>
      <c r="H356" t="s">
        <v>18</v>
      </c>
      <c r="I356" t="s">
        <v>19</v>
      </c>
      <c r="J356" t="s">
        <v>20</v>
      </c>
      <c r="K356" t="s">
        <v>21</v>
      </c>
      <c r="L356" t="s">
        <v>22</v>
      </c>
      <c r="M356">
        <v>10000.27</v>
      </c>
      <c r="N356">
        <v>2020</v>
      </c>
      <c r="O356">
        <v>4</v>
      </c>
    </row>
    <row r="357" spans="1:15" x14ac:dyDescent="0.3">
      <c r="A357" s="1">
        <v>43938</v>
      </c>
      <c r="B357">
        <v>1000000047</v>
      </c>
      <c r="C357" t="s">
        <v>15</v>
      </c>
      <c r="D357">
        <v>1</v>
      </c>
      <c r="E357">
        <v>10000.23</v>
      </c>
      <c r="F357" t="s">
        <v>16</v>
      </c>
      <c r="G357" t="s">
        <v>17</v>
      </c>
      <c r="H357" t="s">
        <v>47</v>
      </c>
      <c r="I357" t="s">
        <v>48</v>
      </c>
      <c r="J357" t="s">
        <v>26</v>
      </c>
      <c r="K357" t="s">
        <v>50</v>
      </c>
      <c r="L357" t="s">
        <v>22</v>
      </c>
      <c r="M357">
        <v>10000.23</v>
      </c>
      <c r="N357">
        <v>2020</v>
      </c>
      <c r="O357">
        <v>4</v>
      </c>
    </row>
    <row r="358" spans="1:15" x14ac:dyDescent="0.3">
      <c r="A358" s="1">
        <v>43938</v>
      </c>
      <c r="B358">
        <v>1000000040</v>
      </c>
      <c r="C358" t="s">
        <v>23</v>
      </c>
      <c r="D358">
        <v>1</v>
      </c>
      <c r="E358">
        <v>10000.200000000001</v>
      </c>
      <c r="F358" t="s">
        <v>16</v>
      </c>
      <c r="G358" t="s">
        <v>24</v>
      </c>
      <c r="H358" t="s">
        <v>30</v>
      </c>
      <c r="I358" t="s">
        <v>31</v>
      </c>
      <c r="J358" t="s">
        <v>32</v>
      </c>
      <c r="K358" t="s">
        <v>33</v>
      </c>
      <c r="L358" t="s">
        <v>28</v>
      </c>
      <c r="M358">
        <v>10000.200000000001</v>
      </c>
      <c r="N358">
        <v>2020</v>
      </c>
      <c r="O358">
        <v>4</v>
      </c>
    </row>
    <row r="359" spans="1:15" x14ac:dyDescent="0.3">
      <c r="A359" s="1">
        <v>43938</v>
      </c>
      <c r="B359">
        <v>1000000039</v>
      </c>
      <c r="C359" t="s">
        <v>42</v>
      </c>
      <c r="D359">
        <v>1</v>
      </c>
      <c r="E359">
        <v>10000</v>
      </c>
      <c r="F359" t="s">
        <v>16</v>
      </c>
      <c r="G359" t="s">
        <v>43</v>
      </c>
      <c r="H359" t="s">
        <v>18</v>
      </c>
      <c r="I359" t="s">
        <v>25</v>
      </c>
      <c r="J359" t="s">
        <v>20</v>
      </c>
      <c r="K359" t="s">
        <v>51</v>
      </c>
      <c r="L359" t="s">
        <v>28</v>
      </c>
      <c r="M359">
        <v>10000</v>
      </c>
      <c r="N359">
        <v>2020</v>
      </c>
      <c r="O359">
        <v>4</v>
      </c>
    </row>
    <row r="360" spans="1:15" x14ac:dyDescent="0.3">
      <c r="A360" s="1">
        <v>43938</v>
      </c>
      <c r="B360">
        <v>1000000036</v>
      </c>
      <c r="C360" t="s">
        <v>15</v>
      </c>
      <c r="D360">
        <v>1</v>
      </c>
      <c r="E360">
        <v>9999.98</v>
      </c>
      <c r="F360" t="s">
        <v>16</v>
      </c>
      <c r="G360" t="s">
        <v>17</v>
      </c>
      <c r="H360" t="s">
        <v>47</v>
      </c>
      <c r="I360" t="s">
        <v>48</v>
      </c>
      <c r="J360" t="s">
        <v>36</v>
      </c>
      <c r="K360" t="s">
        <v>49</v>
      </c>
      <c r="L360" t="s">
        <v>28</v>
      </c>
      <c r="M360">
        <v>9999.98</v>
      </c>
      <c r="N360">
        <v>2020</v>
      </c>
      <c r="O360">
        <v>4</v>
      </c>
    </row>
    <row r="361" spans="1:15" x14ac:dyDescent="0.3">
      <c r="A361" s="1">
        <v>43938</v>
      </c>
      <c r="B361">
        <v>1000000041</v>
      </c>
      <c r="C361" t="s">
        <v>23</v>
      </c>
      <c r="D361">
        <v>1</v>
      </c>
      <c r="E361">
        <v>8000.46</v>
      </c>
      <c r="F361" t="s">
        <v>16</v>
      </c>
      <c r="G361" t="s">
        <v>24</v>
      </c>
      <c r="H361" t="s">
        <v>30</v>
      </c>
      <c r="I361" t="s">
        <v>31</v>
      </c>
      <c r="J361" t="s">
        <v>32</v>
      </c>
      <c r="K361" t="s">
        <v>33</v>
      </c>
      <c r="L361" t="s">
        <v>22</v>
      </c>
      <c r="M361">
        <v>8000.46</v>
      </c>
      <c r="N361">
        <v>2020</v>
      </c>
      <c r="O361">
        <v>4</v>
      </c>
    </row>
    <row r="362" spans="1:15" x14ac:dyDescent="0.3">
      <c r="A362" s="1">
        <v>43938</v>
      </c>
      <c r="B362">
        <v>1000000050</v>
      </c>
      <c r="C362" t="s">
        <v>42</v>
      </c>
      <c r="D362">
        <v>1</v>
      </c>
      <c r="E362">
        <v>8000.07</v>
      </c>
      <c r="F362" t="s">
        <v>16</v>
      </c>
      <c r="G362" t="s">
        <v>43</v>
      </c>
      <c r="H362" t="s">
        <v>18</v>
      </c>
      <c r="I362" t="s">
        <v>40</v>
      </c>
      <c r="J362" t="s">
        <v>26</v>
      </c>
      <c r="K362" t="s">
        <v>41</v>
      </c>
      <c r="L362" t="s">
        <v>22</v>
      </c>
      <c r="M362">
        <v>8000.07</v>
      </c>
      <c r="N362">
        <v>2020</v>
      </c>
      <c r="O362">
        <v>4</v>
      </c>
    </row>
    <row r="363" spans="1:15" x14ac:dyDescent="0.3">
      <c r="A363" s="1">
        <v>43938</v>
      </c>
      <c r="B363">
        <v>1000000237</v>
      </c>
      <c r="C363" t="s">
        <v>23</v>
      </c>
      <c r="D363">
        <v>1</v>
      </c>
      <c r="E363">
        <v>5000.29</v>
      </c>
      <c r="F363" t="s">
        <v>16</v>
      </c>
      <c r="G363" t="s">
        <v>24</v>
      </c>
      <c r="H363" t="s">
        <v>18</v>
      </c>
      <c r="I363" t="s">
        <v>40</v>
      </c>
      <c r="J363" t="s">
        <v>26</v>
      </c>
      <c r="K363" t="s">
        <v>41</v>
      </c>
      <c r="L363" t="s">
        <v>22</v>
      </c>
      <c r="M363">
        <v>5000.29</v>
      </c>
      <c r="N363">
        <v>2020</v>
      </c>
      <c r="O363">
        <v>4</v>
      </c>
    </row>
    <row r="364" spans="1:15" x14ac:dyDescent="0.3">
      <c r="A364" s="1">
        <v>43938</v>
      </c>
      <c r="B364">
        <v>1000000043</v>
      </c>
      <c r="C364" t="s">
        <v>15</v>
      </c>
      <c r="D364">
        <v>1</v>
      </c>
      <c r="E364">
        <v>3500.74</v>
      </c>
      <c r="F364" t="s">
        <v>16</v>
      </c>
      <c r="G364" t="s">
        <v>17</v>
      </c>
      <c r="H364" t="s">
        <v>30</v>
      </c>
      <c r="I364" t="s">
        <v>38</v>
      </c>
      <c r="J364" t="s">
        <v>26</v>
      </c>
      <c r="K364" t="s">
        <v>39</v>
      </c>
      <c r="L364" t="s">
        <v>22</v>
      </c>
      <c r="M364">
        <v>3500.74</v>
      </c>
      <c r="N364">
        <v>2020</v>
      </c>
      <c r="O364">
        <v>4</v>
      </c>
    </row>
    <row r="365" spans="1:15" x14ac:dyDescent="0.3">
      <c r="A365" s="1">
        <v>43938</v>
      </c>
      <c r="B365">
        <v>1000000036</v>
      </c>
      <c r="C365" t="s">
        <v>23</v>
      </c>
      <c r="D365">
        <v>1</v>
      </c>
      <c r="E365">
        <v>2000.74</v>
      </c>
      <c r="F365" t="s">
        <v>16</v>
      </c>
      <c r="G365" t="s">
        <v>24</v>
      </c>
      <c r="H365" t="s">
        <v>47</v>
      </c>
      <c r="I365" t="s">
        <v>48</v>
      </c>
      <c r="J365" t="s">
        <v>36</v>
      </c>
      <c r="K365" t="s">
        <v>49</v>
      </c>
      <c r="L365" t="s">
        <v>28</v>
      </c>
      <c r="M365">
        <v>2000.74</v>
      </c>
      <c r="N365">
        <v>2020</v>
      </c>
      <c r="O365">
        <v>4</v>
      </c>
    </row>
    <row r="366" spans="1:15" x14ac:dyDescent="0.3">
      <c r="A366" s="1">
        <v>43938</v>
      </c>
      <c r="B366">
        <v>1000000041</v>
      </c>
      <c r="C366" t="s">
        <v>15</v>
      </c>
      <c r="D366">
        <v>1</v>
      </c>
      <c r="E366">
        <v>731.74</v>
      </c>
      <c r="F366" t="s">
        <v>16</v>
      </c>
      <c r="G366" t="s">
        <v>17</v>
      </c>
      <c r="H366" t="s">
        <v>30</v>
      </c>
      <c r="I366" t="s">
        <v>31</v>
      </c>
      <c r="J366" t="s">
        <v>32</v>
      </c>
      <c r="K366" t="s">
        <v>33</v>
      </c>
      <c r="L366" t="s">
        <v>22</v>
      </c>
      <c r="M366">
        <v>731.74</v>
      </c>
      <c r="N366">
        <v>2020</v>
      </c>
      <c r="O366">
        <v>4</v>
      </c>
    </row>
    <row r="367" spans="1:15" x14ac:dyDescent="0.3">
      <c r="A367" s="1">
        <v>43939</v>
      </c>
      <c r="B367">
        <v>1000000031</v>
      </c>
      <c r="C367" t="s">
        <v>15</v>
      </c>
      <c r="D367">
        <v>2</v>
      </c>
      <c r="E367">
        <v>42000.97</v>
      </c>
      <c r="F367" t="s">
        <v>16</v>
      </c>
      <c r="G367" t="s">
        <v>17</v>
      </c>
      <c r="H367" t="s">
        <v>18</v>
      </c>
      <c r="I367" t="s">
        <v>19</v>
      </c>
      <c r="J367" t="s">
        <v>26</v>
      </c>
      <c r="K367" t="s">
        <v>29</v>
      </c>
      <c r="L367" t="s">
        <v>28</v>
      </c>
      <c r="M367">
        <v>21000.485000000001</v>
      </c>
      <c r="N367">
        <v>2020</v>
      </c>
      <c r="O367">
        <v>4</v>
      </c>
    </row>
    <row r="368" spans="1:15" x14ac:dyDescent="0.3">
      <c r="A368" s="1">
        <v>43939</v>
      </c>
      <c r="B368">
        <v>1000000576</v>
      </c>
      <c r="C368" t="s">
        <v>15</v>
      </c>
      <c r="D368">
        <v>2</v>
      </c>
      <c r="E368">
        <v>33000.71</v>
      </c>
      <c r="F368" t="s">
        <v>16</v>
      </c>
      <c r="G368" t="s">
        <v>17</v>
      </c>
      <c r="H368" t="s">
        <v>18</v>
      </c>
      <c r="I368" t="s">
        <v>25</v>
      </c>
      <c r="J368" t="s">
        <v>36</v>
      </c>
      <c r="K368" t="s">
        <v>37</v>
      </c>
      <c r="L368" t="s">
        <v>22</v>
      </c>
      <c r="M368">
        <v>16500.355</v>
      </c>
      <c r="N368">
        <v>2020</v>
      </c>
      <c r="O368">
        <v>4</v>
      </c>
    </row>
    <row r="369" spans="1:15" x14ac:dyDescent="0.3">
      <c r="A369" s="1">
        <v>43939</v>
      </c>
      <c r="B369">
        <v>1000000928</v>
      </c>
      <c r="C369" t="s">
        <v>15</v>
      </c>
      <c r="D369">
        <v>2</v>
      </c>
      <c r="E369">
        <v>30000.629999999997</v>
      </c>
      <c r="F369" t="s">
        <v>16</v>
      </c>
      <c r="G369" t="s">
        <v>17</v>
      </c>
      <c r="H369" t="s">
        <v>30</v>
      </c>
      <c r="I369" t="s">
        <v>57</v>
      </c>
      <c r="J369" t="s">
        <v>26</v>
      </c>
      <c r="K369" t="s">
        <v>58</v>
      </c>
      <c r="L369" t="s">
        <v>22</v>
      </c>
      <c r="M369">
        <v>15000.315000000001</v>
      </c>
      <c r="N369">
        <v>2020</v>
      </c>
      <c r="O369">
        <v>4</v>
      </c>
    </row>
    <row r="370" spans="1:15" x14ac:dyDescent="0.3">
      <c r="A370" s="1">
        <v>43939</v>
      </c>
      <c r="B370">
        <v>1000000044</v>
      </c>
      <c r="C370" t="s">
        <v>23</v>
      </c>
      <c r="D370">
        <v>2</v>
      </c>
      <c r="E370">
        <v>30000.43</v>
      </c>
      <c r="F370" t="s">
        <v>16</v>
      </c>
      <c r="G370" t="s">
        <v>24</v>
      </c>
      <c r="H370" t="s">
        <v>30</v>
      </c>
      <c r="I370" t="s">
        <v>31</v>
      </c>
      <c r="J370" t="s">
        <v>36</v>
      </c>
      <c r="K370" t="s">
        <v>52</v>
      </c>
      <c r="L370" t="s">
        <v>28</v>
      </c>
      <c r="M370">
        <v>15000.215</v>
      </c>
      <c r="N370">
        <v>2020</v>
      </c>
      <c r="O370">
        <v>4</v>
      </c>
    </row>
    <row r="371" spans="1:15" x14ac:dyDescent="0.3">
      <c r="A371" s="1">
        <v>43939</v>
      </c>
      <c r="B371">
        <v>1000001513</v>
      </c>
      <c r="C371" t="s">
        <v>23</v>
      </c>
      <c r="D371">
        <v>2</v>
      </c>
      <c r="E371">
        <v>29000.590000000004</v>
      </c>
      <c r="F371" t="s">
        <v>16</v>
      </c>
      <c r="G371" t="s">
        <v>24</v>
      </c>
      <c r="H371" t="s">
        <v>18</v>
      </c>
      <c r="I371" t="s">
        <v>34</v>
      </c>
      <c r="J371" t="s">
        <v>20</v>
      </c>
      <c r="K371" t="s">
        <v>44</v>
      </c>
      <c r="L371" t="s">
        <v>22</v>
      </c>
      <c r="M371">
        <v>14500.295000000002</v>
      </c>
      <c r="N371">
        <v>2020</v>
      </c>
      <c r="O371">
        <v>4</v>
      </c>
    </row>
    <row r="372" spans="1:15" x14ac:dyDescent="0.3">
      <c r="A372" s="1">
        <v>43939</v>
      </c>
      <c r="B372">
        <v>1000000054</v>
      </c>
      <c r="C372" t="s">
        <v>15</v>
      </c>
      <c r="D372">
        <v>2</v>
      </c>
      <c r="E372">
        <v>28000.91</v>
      </c>
      <c r="F372" t="s">
        <v>16</v>
      </c>
      <c r="G372" t="s">
        <v>17</v>
      </c>
      <c r="H372" t="s">
        <v>18</v>
      </c>
      <c r="I372" t="s">
        <v>34</v>
      </c>
      <c r="J372" t="s">
        <v>26</v>
      </c>
      <c r="K372" t="s">
        <v>35</v>
      </c>
      <c r="L372" t="s">
        <v>22</v>
      </c>
      <c r="M372">
        <v>14000.455</v>
      </c>
      <c r="N372">
        <v>2020</v>
      </c>
      <c r="O372">
        <v>4</v>
      </c>
    </row>
    <row r="373" spans="1:15" x14ac:dyDescent="0.3">
      <c r="A373" s="1">
        <v>43939</v>
      </c>
      <c r="B373">
        <v>1000000029</v>
      </c>
      <c r="C373" t="s">
        <v>15</v>
      </c>
      <c r="D373">
        <v>2</v>
      </c>
      <c r="E373">
        <v>26001.27</v>
      </c>
      <c r="F373" t="s">
        <v>16</v>
      </c>
      <c r="G373" t="s">
        <v>17</v>
      </c>
      <c r="H373" t="s">
        <v>18</v>
      </c>
      <c r="I373" t="s">
        <v>19</v>
      </c>
      <c r="J373" t="s">
        <v>20</v>
      </c>
      <c r="K373" t="s">
        <v>21</v>
      </c>
      <c r="L373" t="s">
        <v>22</v>
      </c>
      <c r="M373">
        <v>13000.635</v>
      </c>
      <c r="N373">
        <v>2020</v>
      </c>
      <c r="O373">
        <v>4</v>
      </c>
    </row>
    <row r="374" spans="1:15" x14ac:dyDescent="0.3">
      <c r="A374" s="1">
        <v>43939</v>
      </c>
      <c r="B374">
        <v>1000000041</v>
      </c>
      <c r="C374" t="s">
        <v>15</v>
      </c>
      <c r="D374">
        <v>1</v>
      </c>
      <c r="E374">
        <v>20000.75</v>
      </c>
      <c r="F374" t="s">
        <v>16</v>
      </c>
      <c r="G374" t="s">
        <v>17</v>
      </c>
      <c r="H374" t="s">
        <v>30</v>
      </c>
      <c r="I374" t="s">
        <v>31</v>
      </c>
      <c r="J374" t="s">
        <v>32</v>
      </c>
      <c r="K374" t="s">
        <v>33</v>
      </c>
      <c r="L374" t="s">
        <v>22</v>
      </c>
      <c r="M374">
        <v>20000.75</v>
      </c>
      <c r="N374">
        <v>2020</v>
      </c>
      <c r="O374">
        <v>4</v>
      </c>
    </row>
    <row r="375" spans="1:15" x14ac:dyDescent="0.3">
      <c r="A375" s="1">
        <v>43939</v>
      </c>
      <c r="B375">
        <v>1000000040</v>
      </c>
      <c r="C375" t="s">
        <v>15</v>
      </c>
      <c r="D375">
        <v>1</v>
      </c>
      <c r="E375">
        <v>20000.63</v>
      </c>
      <c r="F375" t="s">
        <v>16</v>
      </c>
      <c r="G375" t="s">
        <v>17</v>
      </c>
      <c r="H375" t="s">
        <v>30</v>
      </c>
      <c r="I375" t="s">
        <v>31</v>
      </c>
      <c r="J375" t="s">
        <v>32</v>
      </c>
      <c r="K375" t="s">
        <v>33</v>
      </c>
      <c r="L375" t="s">
        <v>28</v>
      </c>
      <c r="M375">
        <v>20000.63</v>
      </c>
      <c r="N375">
        <v>2020</v>
      </c>
      <c r="O375">
        <v>4</v>
      </c>
    </row>
    <row r="376" spans="1:15" x14ac:dyDescent="0.3">
      <c r="A376" s="1">
        <v>43939</v>
      </c>
      <c r="B376">
        <v>1000000237</v>
      </c>
      <c r="C376" t="s">
        <v>42</v>
      </c>
      <c r="D376">
        <v>1</v>
      </c>
      <c r="E376">
        <v>20000.62</v>
      </c>
      <c r="F376" t="s">
        <v>16</v>
      </c>
      <c r="G376" t="s">
        <v>43</v>
      </c>
      <c r="H376" t="s">
        <v>18</v>
      </c>
      <c r="I376" t="s">
        <v>40</v>
      </c>
      <c r="J376" t="s">
        <v>26</v>
      </c>
      <c r="K376" t="s">
        <v>41</v>
      </c>
      <c r="L376" t="s">
        <v>22</v>
      </c>
      <c r="M376">
        <v>20000.62</v>
      </c>
      <c r="N376">
        <v>2020</v>
      </c>
      <c r="O376">
        <v>4</v>
      </c>
    </row>
    <row r="377" spans="1:15" x14ac:dyDescent="0.3">
      <c r="A377" s="1">
        <v>43939</v>
      </c>
      <c r="B377">
        <v>1000000036</v>
      </c>
      <c r="C377" t="s">
        <v>15</v>
      </c>
      <c r="D377">
        <v>1</v>
      </c>
      <c r="E377">
        <v>20000.45</v>
      </c>
      <c r="F377" t="s">
        <v>16</v>
      </c>
      <c r="G377" t="s">
        <v>17</v>
      </c>
      <c r="H377" t="s">
        <v>47</v>
      </c>
      <c r="I377" t="s">
        <v>48</v>
      </c>
      <c r="J377" t="s">
        <v>36</v>
      </c>
      <c r="K377" t="s">
        <v>49</v>
      </c>
      <c r="L377" t="s">
        <v>28</v>
      </c>
      <c r="M377">
        <v>20000.45</v>
      </c>
      <c r="N377">
        <v>2020</v>
      </c>
      <c r="O377">
        <v>4</v>
      </c>
    </row>
    <row r="378" spans="1:15" x14ac:dyDescent="0.3">
      <c r="A378" s="1">
        <v>43939</v>
      </c>
      <c r="B378">
        <v>1000000029</v>
      </c>
      <c r="C378" t="s">
        <v>42</v>
      </c>
      <c r="D378">
        <v>1</v>
      </c>
      <c r="E378">
        <v>20000.39</v>
      </c>
      <c r="F378" t="s">
        <v>16</v>
      </c>
      <c r="G378" t="s">
        <v>43</v>
      </c>
      <c r="H378" t="s">
        <v>18</v>
      </c>
      <c r="I378" t="s">
        <v>19</v>
      </c>
      <c r="J378" t="s">
        <v>20</v>
      </c>
      <c r="K378" t="s">
        <v>21</v>
      </c>
      <c r="L378" t="s">
        <v>22</v>
      </c>
      <c r="M378">
        <v>20000.39</v>
      </c>
      <c r="N378">
        <v>2020</v>
      </c>
      <c r="O378">
        <v>4</v>
      </c>
    </row>
    <row r="379" spans="1:15" x14ac:dyDescent="0.3">
      <c r="A379" s="1">
        <v>43939</v>
      </c>
      <c r="B379">
        <v>1000001513</v>
      </c>
      <c r="C379" t="s">
        <v>15</v>
      </c>
      <c r="D379">
        <v>1</v>
      </c>
      <c r="E379">
        <v>20000.05</v>
      </c>
      <c r="F379" t="s">
        <v>16</v>
      </c>
      <c r="G379" t="s">
        <v>17</v>
      </c>
      <c r="H379" t="s">
        <v>18</v>
      </c>
      <c r="I379" t="s">
        <v>34</v>
      </c>
      <c r="J379" t="s">
        <v>20</v>
      </c>
      <c r="K379" t="s">
        <v>44</v>
      </c>
      <c r="L379" t="s">
        <v>22</v>
      </c>
      <c r="M379">
        <v>20000.05</v>
      </c>
      <c r="N379">
        <v>2020</v>
      </c>
      <c r="O379">
        <v>4</v>
      </c>
    </row>
    <row r="380" spans="1:15" x14ac:dyDescent="0.3">
      <c r="A380" s="1">
        <v>43939</v>
      </c>
      <c r="B380">
        <v>1000000576</v>
      </c>
      <c r="C380" t="s">
        <v>23</v>
      </c>
      <c r="D380">
        <v>1</v>
      </c>
      <c r="E380">
        <v>20000</v>
      </c>
      <c r="F380" t="s">
        <v>16</v>
      </c>
      <c r="G380" t="s">
        <v>24</v>
      </c>
      <c r="H380" t="s">
        <v>18</v>
      </c>
      <c r="I380" t="s">
        <v>25</v>
      </c>
      <c r="J380" t="s">
        <v>36</v>
      </c>
      <c r="K380" t="s">
        <v>37</v>
      </c>
      <c r="L380" t="s">
        <v>22</v>
      </c>
      <c r="M380">
        <v>20000</v>
      </c>
      <c r="N380">
        <v>2020</v>
      </c>
      <c r="O380">
        <v>4</v>
      </c>
    </row>
    <row r="381" spans="1:15" x14ac:dyDescent="0.3">
      <c r="A381" s="1">
        <v>43939</v>
      </c>
      <c r="B381">
        <v>1000000041</v>
      </c>
      <c r="C381" t="s">
        <v>42</v>
      </c>
      <c r="D381">
        <v>1</v>
      </c>
      <c r="E381">
        <v>18000.740000000002</v>
      </c>
      <c r="F381" t="s">
        <v>16</v>
      </c>
      <c r="G381" t="s">
        <v>43</v>
      </c>
      <c r="H381" t="s">
        <v>30</v>
      </c>
      <c r="I381" t="s">
        <v>31</v>
      </c>
      <c r="J381" t="s">
        <v>32</v>
      </c>
      <c r="K381" t="s">
        <v>33</v>
      </c>
      <c r="L381" t="s">
        <v>22</v>
      </c>
      <c r="M381">
        <v>18000.740000000002</v>
      </c>
      <c r="N381">
        <v>2020</v>
      </c>
      <c r="O381">
        <v>4</v>
      </c>
    </row>
    <row r="382" spans="1:15" x14ac:dyDescent="0.3">
      <c r="A382" s="1">
        <v>43939</v>
      </c>
      <c r="B382">
        <v>1000000067</v>
      </c>
      <c r="C382" t="s">
        <v>15</v>
      </c>
      <c r="D382">
        <v>1</v>
      </c>
      <c r="E382">
        <v>18000.439999999999</v>
      </c>
      <c r="F382" t="s">
        <v>16</v>
      </c>
      <c r="G382" t="s">
        <v>17</v>
      </c>
      <c r="H382" t="s">
        <v>18</v>
      </c>
      <c r="I382" t="s">
        <v>25</v>
      </c>
      <c r="J382" t="s">
        <v>20</v>
      </c>
      <c r="K382" t="s">
        <v>51</v>
      </c>
      <c r="L382" t="s">
        <v>22</v>
      </c>
      <c r="M382">
        <v>18000.439999999999</v>
      </c>
      <c r="N382">
        <v>2020</v>
      </c>
      <c r="O382">
        <v>4</v>
      </c>
    </row>
    <row r="383" spans="1:15" x14ac:dyDescent="0.3">
      <c r="A383" s="1">
        <v>43939</v>
      </c>
      <c r="B383">
        <v>1000000045</v>
      </c>
      <c r="C383" t="s">
        <v>23</v>
      </c>
      <c r="D383">
        <v>1</v>
      </c>
      <c r="E383">
        <v>18000.27</v>
      </c>
      <c r="F383" t="s">
        <v>16</v>
      </c>
      <c r="G383" t="s">
        <v>24</v>
      </c>
      <c r="H383" t="s">
        <v>47</v>
      </c>
      <c r="I383" t="s">
        <v>59</v>
      </c>
      <c r="J383" t="s">
        <v>26</v>
      </c>
      <c r="K383" t="s">
        <v>60</v>
      </c>
      <c r="L383" t="s">
        <v>22</v>
      </c>
      <c r="M383">
        <v>18000.27</v>
      </c>
      <c r="N383">
        <v>2020</v>
      </c>
      <c r="O383">
        <v>4</v>
      </c>
    </row>
    <row r="384" spans="1:15" x14ac:dyDescent="0.3">
      <c r="A384" s="1">
        <v>43939</v>
      </c>
      <c r="B384">
        <v>1000000045</v>
      </c>
      <c r="C384" t="s">
        <v>15</v>
      </c>
      <c r="D384">
        <v>2</v>
      </c>
      <c r="E384">
        <v>11000.93</v>
      </c>
      <c r="F384" t="s">
        <v>16</v>
      </c>
      <c r="G384" t="s">
        <v>17</v>
      </c>
      <c r="H384" t="s">
        <v>47</v>
      </c>
      <c r="I384" t="s">
        <v>59</v>
      </c>
      <c r="J384" t="s">
        <v>26</v>
      </c>
      <c r="K384" t="s">
        <v>60</v>
      </c>
      <c r="L384" t="s">
        <v>22</v>
      </c>
      <c r="M384">
        <v>5500.4650000000001</v>
      </c>
      <c r="N384">
        <v>2020</v>
      </c>
      <c r="O384">
        <v>4</v>
      </c>
    </row>
    <row r="385" spans="1:15" x14ac:dyDescent="0.3">
      <c r="A385" s="1">
        <v>43939</v>
      </c>
      <c r="B385">
        <v>1000000057</v>
      </c>
      <c r="C385" t="s">
        <v>23</v>
      </c>
      <c r="D385">
        <v>2</v>
      </c>
      <c r="E385">
        <v>11000.7</v>
      </c>
      <c r="F385" t="s">
        <v>16</v>
      </c>
      <c r="G385" t="s">
        <v>24</v>
      </c>
      <c r="H385" t="s">
        <v>18</v>
      </c>
      <c r="I385" t="s">
        <v>34</v>
      </c>
      <c r="J385" t="s">
        <v>20</v>
      </c>
      <c r="K385" t="s">
        <v>44</v>
      </c>
      <c r="L385" t="s">
        <v>22</v>
      </c>
      <c r="M385">
        <v>5500.35</v>
      </c>
      <c r="N385">
        <v>2020</v>
      </c>
      <c r="O385">
        <v>4</v>
      </c>
    </row>
    <row r="386" spans="1:15" x14ac:dyDescent="0.3">
      <c r="A386" s="1">
        <v>43939</v>
      </c>
      <c r="B386">
        <v>1000000040</v>
      </c>
      <c r="C386" t="s">
        <v>42</v>
      </c>
      <c r="D386">
        <v>1</v>
      </c>
      <c r="E386">
        <v>10000.709999999999</v>
      </c>
      <c r="F386" t="s">
        <v>16</v>
      </c>
      <c r="G386" t="s">
        <v>43</v>
      </c>
      <c r="H386" t="s">
        <v>30</v>
      </c>
      <c r="I386" t="s">
        <v>31</v>
      </c>
      <c r="J386" t="s">
        <v>32</v>
      </c>
      <c r="K386" t="s">
        <v>33</v>
      </c>
      <c r="L386" t="s">
        <v>28</v>
      </c>
      <c r="M386">
        <v>10000.709999999999</v>
      </c>
      <c r="N386">
        <v>2020</v>
      </c>
      <c r="O386">
        <v>4</v>
      </c>
    </row>
    <row r="387" spans="1:15" x14ac:dyDescent="0.3">
      <c r="A387" s="1">
        <v>43939</v>
      </c>
      <c r="B387">
        <v>1000000030</v>
      </c>
      <c r="C387" t="s">
        <v>23</v>
      </c>
      <c r="D387">
        <v>1</v>
      </c>
      <c r="E387">
        <v>10000.36</v>
      </c>
      <c r="F387" t="s">
        <v>16</v>
      </c>
      <c r="G387" t="s">
        <v>24</v>
      </c>
      <c r="H387" t="s">
        <v>47</v>
      </c>
      <c r="I387" t="s">
        <v>48</v>
      </c>
      <c r="J387" t="s">
        <v>36</v>
      </c>
      <c r="K387" t="s">
        <v>49</v>
      </c>
      <c r="L387" t="s">
        <v>22</v>
      </c>
      <c r="M387">
        <v>10000.36</v>
      </c>
      <c r="N387">
        <v>2020</v>
      </c>
      <c r="O387">
        <v>4</v>
      </c>
    </row>
    <row r="388" spans="1:15" x14ac:dyDescent="0.3">
      <c r="A388" s="1">
        <v>43939</v>
      </c>
      <c r="B388">
        <v>1000000043</v>
      </c>
      <c r="C388" t="s">
        <v>15</v>
      </c>
      <c r="D388">
        <v>1</v>
      </c>
      <c r="E388">
        <v>9000.42</v>
      </c>
      <c r="F388" t="s">
        <v>16</v>
      </c>
      <c r="G388" t="s">
        <v>17</v>
      </c>
      <c r="H388" t="s">
        <v>30</v>
      </c>
      <c r="I388" t="s">
        <v>38</v>
      </c>
      <c r="J388" t="s">
        <v>26</v>
      </c>
      <c r="K388" t="s">
        <v>39</v>
      </c>
      <c r="L388" t="s">
        <v>22</v>
      </c>
      <c r="M388">
        <v>9000.42</v>
      </c>
      <c r="N388">
        <v>2020</v>
      </c>
      <c r="O388">
        <v>4</v>
      </c>
    </row>
    <row r="389" spans="1:15" x14ac:dyDescent="0.3">
      <c r="A389" s="1">
        <v>43939</v>
      </c>
      <c r="B389">
        <v>1000000031</v>
      </c>
      <c r="C389" t="s">
        <v>42</v>
      </c>
      <c r="D389">
        <v>1</v>
      </c>
      <c r="E389">
        <v>2000</v>
      </c>
      <c r="F389" t="s">
        <v>16</v>
      </c>
      <c r="G389" t="s">
        <v>43</v>
      </c>
      <c r="H389" t="s">
        <v>18</v>
      </c>
      <c r="I389" t="s">
        <v>19</v>
      </c>
      <c r="J389" t="s">
        <v>26</v>
      </c>
      <c r="K389" t="s">
        <v>29</v>
      </c>
      <c r="L389" t="s">
        <v>28</v>
      </c>
      <c r="M389">
        <v>2000</v>
      </c>
      <c r="N389">
        <v>2020</v>
      </c>
      <c r="O389">
        <v>4</v>
      </c>
    </row>
    <row r="390" spans="1:15" x14ac:dyDescent="0.3">
      <c r="A390" s="1">
        <v>43940</v>
      </c>
      <c r="B390">
        <v>1000000237</v>
      </c>
      <c r="C390" t="s">
        <v>42</v>
      </c>
      <c r="D390">
        <v>3</v>
      </c>
      <c r="E390">
        <v>47000.74</v>
      </c>
      <c r="F390" t="s">
        <v>16</v>
      </c>
      <c r="G390" t="s">
        <v>43</v>
      </c>
      <c r="H390" t="s">
        <v>18</v>
      </c>
      <c r="I390" t="s">
        <v>40</v>
      </c>
      <c r="J390" t="s">
        <v>26</v>
      </c>
      <c r="K390" t="s">
        <v>41</v>
      </c>
      <c r="L390" t="s">
        <v>22</v>
      </c>
      <c r="M390">
        <v>15666.913333333332</v>
      </c>
      <c r="N390">
        <v>2020</v>
      </c>
      <c r="O390">
        <v>4</v>
      </c>
    </row>
    <row r="391" spans="1:15" x14ac:dyDescent="0.3">
      <c r="A391" s="1">
        <v>43940</v>
      </c>
      <c r="B391">
        <v>1000000054</v>
      </c>
      <c r="C391" t="s">
        <v>15</v>
      </c>
      <c r="D391">
        <v>2</v>
      </c>
      <c r="E391">
        <v>43001.09</v>
      </c>
      <c r="F391" t="s">
        <v>16</v>
      </c>
      <c r="G391" t="s">
        <v>17</v>
      </c>
      <c r="H391" t="s">
        <v>18</v>
      </c>
      <c r="I391" t="s">
        <v>34</v>
      </c>
      <c r="J391" t="s">
        <v>26</v>
      </c>
      <c r="K391" t="s">
        <v>35</v>
      </c>
      <c r="L391" t="s">
        <v>22</v>
      </c>
      <c r="M391">
        <v>21500.544999999998</v>
      </c>
      <c r="N391">
        <v>2020</v>
      </c>
      <c r="O391">
        <v>4</v>
      </c>
    </row>
    <row r="392" spans="1:15" x14ac:dyDescent="0.3">
      <c r="A392" s="1">
        <v>43940</v>
      </c>
      <c r="B392">
        <v>1000001513</v>
      </c>
      <c r="C392" t="s">
        <v>23</v>
      </c>
      <c r="D392">
        <v>1</v>
      </c>
      <c r="E392">
        <v>25000.42</v>
      </c>
      <c r="F392" t="s">
        <v>16</v>
      </c>
      <c r="G392" t="s">
        <v>24</v>
      </c>
      <c r="H392" t="s">
        <v>18</v>
      </c>
      <c r="I392" t="s">
        <v>34</v>
      </c>
      <c r="J392" t="s">
        <v>20</v>
      </c>
      <c r="K392" t="s">
        <v>44</v>
      </c>
      <c r="L392" t="s">
        <v>22</v>
      </c>
      <c r="M392">
        <v>25000.42</v>
      </c>
      <c r="N392">
        <v>2020</v>
      </c>
      <c r="O392">
        <v>4</v>
      </c>
    </row>
    <row r="393" spans="1:15" x14ac:dyDescent="0.3">
      <c r="A393" s="1">
        <v>43940</v>
      </c>
      <c r="B393">
        <v>1000000029</v>
      </c>
      <c r="C393" t="s">
        <v>15</v>
      </c>
      <c r="D393">
        <v>2</v>
      </c>
      <c r="E393">
        <v>24000.769999999997</v>
      </c>
      <c r="F393" t="s">
        <v>16</v>
      </c>
      <c r="G393" t="s">
        <v>17</v>
      </c>
      <c r="H393" t="s">
        <v>18</v>
      </c>
      <c r="I393" t="s">
        <v>19</v>
      </c>
      <c r="J393" t="s">
        <v>20</v>
      </c>
      <c r="K393" t="s">
        <v>21</v>
      </c>
      <c r="L393" t="s">
        <v>22</v>
      </c>
      <c r="M393">
        <v>12000.384999999998</v>
      </c>
      <c r="N393">
        <v>2020</v>
      </c>
      <c r="O393">
        <v>4</v>
      </c>
    </row>
    <row r="394" spans="1:15" x14ac:dyDescent="0.3">
      <c r="A394" s="1">
        <v>43940</v>
      </c>
      <c r="B394">
        <v>1000000041</v>
      </c>
      <c r="C394" t="s">
        <v>23</v>
      </c>
      <c r="D394">
        <v>2</v>
      </c>
      <c r="E394">
        <v>23001.279999999999</v>
      </c>
      <c r="F394" t="s">
        <v>16</v>
      </c>
      <c r="G394" t="s">
        <v>24</v>
      </c>
      <c r="H394" t="s">
        <v>30</v>
      </c>
      <c r="I394" t="s">
        <v>31</v>
      </c>
      <c r="J394" t="s">
        <v>32</v>
      </c>
      <c r="K394" t="s">
        <v>33</v>
      </c>
      <c r="L394" t="s">
        <v>22</v>
      </c>
      <c r="M394">
        <v>11500.64</v>
      </c>
      <c r="N394">
        <v>2020</v>
      </c>
      <c r="O394">
        <v>4</v>
      </c>
    </row>
    <row r="395" spans="1:15" x14ac:dyDescent="0.3">
      <c r="A395" s="1">
        <v>43940</v>
      </c>
      <c r="B395">
        <v>1000000057</v>
      </c>
      <c r="C395" t="s">
        <v>15</v>
      </c>
      <c r="D395">
        <v>3</v>
      </c>
      <c r="E395">
        <v>22501.200000000001</v>
      </c>
      <c r="F395" t="s">
        <v>16</v>
      </c>
      <c r="G395" t="s">
        <v>17</v>
      </c>
      <c r="H395" t="s">
        <v>18</v>
      </c>
      <c r="I395" t="s">
        <v>34</v>
      </c>
      <c r="J395" t="s">
        <v>20</v>
      </c>
      <c r="K395" t="s">
        <v>44</v>
      </c>
      <c r="L395" t="s">
        <v>22</v>
      </c>
      <c r="M395">
        <v>7500.4</v>
      </c>
      <c r="N395">
        <v>2020</v>
      </c>
      <c r="O395">
        <v>4</v>
      </c>
    </row>
    <row r="396" spans="1:15" x14ac:dyDescent="0.3">
      <c r="A396" s="1">
        <v>43940</v>
      </c>
      <c r="B396">
        <v>1000000044</v>
      </c>
      <c r="C396" t="s">
        <v>15</v>
      </c>
      <c r="D396">
        <v>1</v>
      </c>
      <c r="E396">
        <v>22000.76</v>
      </c>
      <c r="F396" t="s">
        <v>16</v>
      </c>
      <c r="G396" t="s">
        <v>17</v>
      </c>
      <c r="H396" t="s">
        <v>30</v>
      </c>
      <c r="I396" t="s">
        <v>31</v>
      </c>
      <c r="J396" t="s">
        <v>36</v>
      </c>
      <c r="K396" t="s">
        <v>52</v>
      </c>
      <c r="L396" t="s">
        <v>28</v>
      </c>
      <c r="M396">
        <v>22000.76</v>
      </c>
      <c r="N396">
        <v>2020</v>
      </c>
      <c r="O396">
        <v>4</v>
      </c>
    </row>
    <row r="397" spans="1:15" x14ac:dyDescent="0.3">
      <c r="A397" s="1">
        <v>43940</v>
      </c>
      <c r="B397">
        <v>1000001513</v>
      </c>
      <c r="C397" t="s">
        <v>42</v>
      </c>
      <c r="D397">
        <v>1</v>
      </c>
      <c r="E397">
        <v>22000.18</v>
      </c>
      <c r="F397" t="s">
        <v>16</v>
      </c>
      <c r="G397" t="s">
        <v>43</v>
      </c>
      <c r="H397" t="s">
        <v>18</v>
      </c>
      <c r="I397" t="s">
        <v>34</v>
      </c>
      <c r="J397" t="s">
        <v>20</v>
      </c>
      <c r="K397" t="s">
        <v>44</v>
      </c>
      <c r="L397" t="s">
        <v>22</v>
      </c>
      <c r="M397">
        <v>22000.18</v>
      </c>
      <c r="N397">
        <v>2020</v>
      </c>
      <c r="O397">
        <v>4</v>
      </c>
    </row>
    <row r="398" spans="1:15" x14ac:dyDescent="0.3">
      <c r="A398" s="1">
        <v>43940</v>
      </c>
      <c r="B398">
        <v>1000000031</v>
      </c>
      <c r="C398" t="s">
        <v>15</v>
      </c>
      <c r="D398">
        <v>2</v>
      </c>
      <c r="E398">
        <v>21000.899999999998</v>
      </c>
      <c r="F398" t="s">
        <v>16</v>
      </c>
      <c r="G398" t="s">
        <v>17</v>
      </c>
      <c r="H398" t="s">
        <v>18</v>
      </c>
      <c r="I398" t="s">
        <v>19</v>
      </c>
      <c r="J398" t="s">
        <v>26</v>
      </c>
      <c r="K398" t="s">
        <v>29</v>
      </c>
      <c r="L398" t="s">
        <v>28</v>
      </c>
      <c r="M398">
        <v>10500.45</v>
      </c>
      <c r="N398">
        <v>2020</v>
      </c>
      <c r="O398">
        <v>4</v>
      </c>
    </row>
    <row r="399" spans="1:15" x14ac:dyDescent="0.3">
      <c r="A399" s="1">
        <v>43940</v>
      </c>
      <c r="B399">
        <v>1000000056</v>
      </c>
      <c r="C399" t="s">
        <v>23</v>
      </c>
      <c r="D399">
        <v>3</v>
      </c>
      <c r="E399">
        <v>20501.11</v>
      </c>
      <c r="F399" t="s">
        <v>16</v>
      </c>
      <c r="G399" t="s">
        <v>24</v>
      </c>
      <c r="H399" t="s">
        <v>18</v>
      </c>
      <c r="I399" t="s">
        <v>34</v>
      </c>
      <c r="J399" t="s">
        <v>26</v>
      </c>
      <c r="K399" t="s">
        <v>35</v>
      </c>
      <c r="L399" t="s">
        <v>28</v>
      </c>
      <c r="M399">
        <v>6833.7033333333338</v>
      </c>
      <c r="N399">
        <v>2020</v>
      </c>
      <c r="O399">
        <v>4</v>
      </c>
    </row>
    <row r="400" spans="1:15" x14ac:dyDescent="0.3">
      <c r="A400" s="1">
        <v>43940</v>
      </c>
      <c r="B400">
        <v>1000000067</v>
      </c>
      <c r="C400" t="s">
        <v>15</v>
      </c>
      <c r="D400">
        <v>2</v>
      </c>
      <c r="E400">
        <v>15500.77</v>
      </c>
      <c r="F400" t="s">
        <v>16</v>
      </c>
      <c r="G400" t="s">
        <v>17</v>
      </c>
      <c r="H400" t="s">
        <v>18</v>
      </c>
      <c r="I400" t="s">
        <v>25</v>
      </c>
      <c r="J400" t="s">
        <v>20</v>
      </c>
      <c r="K400" t="s">
        <v>51</v>
      </c>
      <c r="L400" t="s">
        <v>22</v>
      </c>
      <c r="M400">
        <v>7750.3850000000002</v>
      </c>
      <c r="N400">
        <v>2020</v>
      </c>
      <c r="O400">
        <v>4</v>
      </c>
    </row>
    <row r="401" spans="1:15" x14ac:dyDescent="0.3">
      <c r="A401" s="1">
        <v>43940</v>
      </c>
      <c r="B401">
        <v>1000000040</v>
      </c>
      <c r="C401" t="s">
        <v>23</v>
      </c>
      <c r="D401">
        <v>1</v>
      </c>
      <c r="E401">
        <v>15000.57</v>
      </c>
      <c r="F401" t="s">
        <v>16</v>
      </c>
      <c r="G401" t="s">
        <v>24</v>
      </c>
      <c r="H401" t="s">
        <v>30</v>
      </c>
      <c r="I401" t="s">
        <v>31</v>
      </c>
      <c r="J401" t="s">
        <v>32</v>
      </c>
      <c r="K401" t="s">
        <v>33</v>
      </c>
      <c r="L401" t="s">
        <v>28</v>
      </c>
      <c r="M401">
        <v>15000.57</v>
      </c>
      <c r="N401">
        <v>2020</v>
      </c>
      <c r="O401">
        <v>4</v>
      </c>
    </row>
    <row r="402" spans="1:15" x14ac:dyDescent="0.3">
      <c r="A402" s="1">
        <v>43940</v>
      </c>
      <c r="B402">
        <v>1000000031</v>
      </c>
      <c r="C402" t="s">
        <v>23</v>
      </c>
      <c r="D402">
        <v>1</v>
      </c>
      <c r="E402">
        <v>10000.700000000001</v>
      </c>
      <c r="F402" t="s">
        <v>16</v>
      </c>
      <c r="G402" t="s">
        <v>24</v>
      </c>
      <c r="H402" t="s">
        <v>18</v>
      </c>
      <c r="I402" t="s">
        <v>19</v>
      </c>
      <c r="J402" t="s">
        <v>26</v>
      </c>
      <c r="K402" t="s">
        <v>29</v>
      </c>
      <c r="L402" t="s">
        <v>28</v>
      </c>
      <c r="M402">
        <v>10000.700000000001</v>
      </c>
      <c r="N402">
        <v>2020</v>
      </c>
      <c r="O402">
        <v>4</v>
      </c>
    </row>
    <row r="403" spans="1:15" x14ac:dyDescent="0.3">
      <c r="A403" s="1">
        <v>43940</v>
      </c>
      <c r="B403">
        <v>1000000044</v>
      </c>
      <c r="C403" t="s">
        <v>23</v>
      </c>
      <c r="D403">
        <v>1</v>
      </c>
      <c r="E403">
        <v>10000.51</v>
      </c>
      <c r="F403" t="s">
        <v>16</v>
      </c>
      <c r="G403" t="s">
        <v>24</v>
      </c>
      <c r="H403" t="s">
        <v>30</v>
      </c>
      <c r="I403" t="s">
        <v>31</v>
      </c>
      <c r="J403" t="s">
        <v>36</v>
      </c>
      <c r="K403" t="s">
        <v>52</v>
      </c>
      <c r="L403" t="s">
        <v>28</v>
      </c>
      <c r="M403">
        <v>10000.51</v>
      </c>
      <c r="N403">
        <v>2020</v>
      </c>
      <c r="O403">
        <v>4</v>
      </c>
    </row>
    <row r="404" spans="1:15" x14ac:dyDescent="0.3">
      <c r="A404" s="1">
        <v>43940</v>
      </c>
      <c r="B404">
        <v>1000000039</v>
      </c>
      <c r="C404" t="s">
        <v>42</v>
      </c>
      <c r="D404">
        <v>1</v>
      </c>
      <c r="E404">
        <v>10000.44</v>
      </c>
      <c r="F404" t="s">
        <v>16</v>
      </c>
      <c r="G404" t="s">
        <v>43</v>
      </c>
      <c r="H404" t="s">
        <v>18</v>
      </c>
      <c r="I404" t="s">
        <v>25</v>
      </c>
      <c r="J404" t="s">
        <v>20</v>
      </c>
      <c r="K404" t="s">
        <v>51</v>
      </c>
      <c r="L404" t="s">
        <v>28</v>
      </c>
      <c r="M404">
        <v>10000.44</v>
      </c>
      <c r="N404">
        <v>2020</v>
      </c>
      <c r="O404">
        <v>4</v>
      </c>
    </row>
    <row r="405" spans="1:15" x14ac:dyDescent="0.3">
      <c r="A405" s="1">
        <v>43940</v>
      </c>
      <c r="B405">
        <v>1000000052</v>
      </c>
      <c r="C405" t="s">
        <v>23</v>
      </c>
      <c r="D405">
        <v>1</v>
      </c>
      <c r="E405">
        <v>10000.280000000001</v>
      </c>
      <c r="F405" t="s">
        <v>16</v>
      </c>
      <c r="G405" t="s">
        <v>24</v>
      </c>
      <c r="H405" t="s">
        <v>18</v>
      </c>
      <c r="I405" t="s">
        <v>34</v>
      </c>
      <c r="J405" t="s">
        <v>20</v>
      </c>
      <c r="K405" t="s">
        <v>44</v>
      </c>
      <c r="L405" t="s">
        <v>22</v>
      </c>
      <c r="M405">
        <v>10000.280000000001</v>
      </c>
      <c r="N405">
        <v>2020</v>
      </c>
      <c r="O405">
        <v>4</v>
      </c>
    </row>
    <row r="406" spans="1:15" x14ac:dyDescent="0.3">
      <c r="A406" s="1">
        <v>43940</v>
      </c>
      <c r="B406">
        <v>1000000039</v>
      </c>
      <c r="C406" t="s">
        <v>15</v>
      </c>
      <c r="D406">
        <v>1</v>
      </c>
      <c r="E406">
        <v>10000.18</v>
      </c>
      <c r="F406" t="s">
        <v>16</v>
      </c>
      <c r="G406" t="s">
        <v>17</v>
      </c>
      <c r="H406" t="s">
        <v>18</v>
      </c>
      <c r="I406" t="s">
        <v>25</v>
      </c>
      <c r="J406" t="s">
        <v>20</v>
      </c>
      <c r="K406" t="s">
        <v>51</v>
      </c>
      <c r="L406" t="s">
        <v>28</v>
      </c>
      <c r="M406">
        <v>10000.18</v>
      </c>
      <c r="N406">
        <v>2020</v>
      </c>
      <c r="O406">
        <v>4</v>
      </c>
    </row>
    <row r="407" spans="1:15" x14ac:dyDescent="0.3">
      <c r="A407" s="1">
        <v>43940</v>
      </c>
      <c r="B407">
        <v>1000000057</v>
      </c>
      <c r="C407" t="s">
        <v>23</v>
      </c>
      <c r="D407">
        <v>1</v>
      </c>
      <c r="E407">
        <v>9000.1</v>
      </c>
      <c r="F407" t="s">
        <v>16</v>
      </c>
      <c r="G407" t="s">
        <v>24</v>
      </c>
      <c r="H407" t="s">
        <v>18</v>
      </c>
      <c r="I407" t="s">
        <v>34</v>
      </c>
      <c r="J407" t="s">
        <v>20</v>
      </c>
      <c r="K407" t="s">
        <v>44</v>
      </c>
      <c r="L407" t="s">
        <v>22</v>
      </c>
      <c r="M407">
        <v>9000.1</v>
      </c>
      <c r="N407">
        <v>2020</v>
      </c>
      <c r="O407">
        <v>4</v>
      </c>
    </row>
    <row r="408" spans="1:15" x14ac:dyDescent="0.3">
      <c r="A408" s="1">
        <v>43940</v>
      </c>
      <c r="B408">
        <v>1000000054</v>
      </c>
      <c r="C408" t="s">
        <v>42</v>
      </c>
      <c r="D408">
        <v>1</v>
      </c>
      <c r="E408">
        <v>7999.96</v>
      </c>
      <c r="F408" t="s">
        <v>16</v>
      </c>
      <c r="G408" t="s">
        <v>43</v>
      </c>
      <c r="H408" t="s">
        <v>18</v>
      </c>
      <c r="I408" t="s">
        <v>34</v>
      </c>
      <c r="J408" t="s">
        <v>26</v>
      </c>
      <c r="K408" t="s">
        <v>35</v>
      </c>
      <c r="L408" t="s">
        <v>22</v>
      </c>
      <c r="M408">
        <v>7999.96</v>
      </c>
      <c r="N408">
        <v>2020</v>
      </c>
      <c r="O408">
        <v>4</v>
      </c>
    </row>
    <row r="409" spans="1:15" x14ac:dyDescent="0.3">
      <c r="A409" s="1">
        <v>43940</v>
      </c>
      <c r="B409">
        <v>1000000045</v>
      </c>
      <c r="C409" t="s">
        <v>23</v>
      </c>
      <c r="D409">
        <v>1</v>
      </c>
      <c r="E409">
        <v>7500.34</v>
      </c>
      <c r="F409" t="s">
        <v>16</v>
      </c>
      <c r="G409" t="s">
        <v>24</v>
      </c>
      <c r="H409" t="s">
        <v>47</v>
      </c>
      <c r="I409" t="s">
        <v>59</v>
      </c>
      <c r="J409" t="s">
        <v>26</v>
      </c>
      <c r="K409" t="s">
        <v>60</v>
      </c>
      <c r="L409" t="s">
        <v>22</v>
      </c>
      <c r="M409">
        <v>7500.34</v>
      </c>
      <c r="N409">
        <v>2020</v>
      </c>
      <c r="O409">
        <v>4</v>
      </c>
    </row>
    <row r="410" spans="1:15" x14ac:dyDescent="0.3">
      <c r="A410" s="1">
        <v>43940</v>
      </c>
      <c r="B410">
        <v>1000000032</v>
      </c>
      <c r="C410" t="s">
        <v>15</v>
      </c>
      <c r="D410">
        <v>1</v>
      </c>
      <c r="E410">
        <v>6500.66</v>
      </c>
      <c r="F410" t="s">
        <v>16</v>
      </c>
      <c r="G410" t="s">
        <v>17</v>
      </c>
      <c r="H410" t="s">
        <v>18</v>
      </c>
      <c r="I410" t="s">
        <v>25</v>
      </c>
      <c r="J410" t="s">
        <v>26</v>
      </c>
      <c r="K410" t="s">
        <v>27</v>
      </c>
      <c r="L410" t="s">
        <v>28</v>
      </c>
      <c r="M410">
        <v>6500.66</v>
      </c>
      <c r="N410">
        <v>2020</v>
      </c>
      <c r="O410">
        <v>4</v>
      </c>
    </row>
    <row r="411" spans="1:15" x14ac:dyDescent="0.3">
      <c r="A411" s="1">
        <v>43940</v>
      </c>
      <c r="B411">
        <v>1000000039</v>
      </c>
      <c r="C411" t="s">
        <v>23</v>
      </c>
      <c r="D411">
        <v>1</v>
      </c>
      <c r="E411">
        <v>5499.96</v>
      </c>
      <c r="F411" t="s">
        <v>16</v>
      </c>
      <c r="G411" t="s">
        <v>24</v>
      </c>
      <c r="H411" t="s">
        <v>18</v>
      </c>
      <c r="I411" t="s">
        <v>25</v>
      </c>
      <c r="J411" t="s">
        <v>20</v>
      </c>
      <c r="K411" t="s">
        <v>51</v>
      </c>
      <c r="L411" t="s">
        <v>28</v>
      </c>
      <c r="M411">
        <v>5499.96</v>
      </c>
      <c r="N411">
        <v>2020</v>
      </c>
      <c r="O411">
        <v>4</v>
      </c>
    </row>
    <row r="412" spans="1:15" x14ac:dyDescent="0.3">
      <c r="A412" s="1">
        <v>43940</v>
      </c>
      <c r="B412">
        <v>1000000034</v>
      </c>
      <c r="C412" t="s">
        <v>23</v>
      </c>
      <c r="D412">
        <v>1</v>
      </c>
      <c r="E412">
        <v>2000.74</v>
      </c>
      <c r="F412" t="s">
        <v>16</v>
      </c>
      <c r="G412" t="s">
        <v>24</v>
      </c>
      <c r="H412" t="s">
        <v>18</v>
      </c>
      <c r="I412" t="s">
        <v>25</v>
      </c>
      <c r="J412" t="s">
        <v>26</v>
      </c>
      <c r="K412" t="s">
        <v>27</v>
      </c>
      <c r="L412" t="s">
        <v>22</v>
      </c>
      <c r="M412">
        <v>2000.74</v>
      </c>
      <c r="N412">
        <v>2020</v>
      </c>
      <c r="O412">
        <v>4</v>
      </c>
    </row>
    <row r="413" spans="1:15" x14ac:dyDescent="0.3">
      <c r="A413" s="1">
        <v>43941</v>
      </c>
      <c r="B413">
        <v>1000000028</v>
      </c>
      <c r="C413" t="s">
        <v>15</v>
      </c>
      <c r="D413">
        <v>3</v>
      </c>
      <c r="E413">
        <v>67001.100000000006</v>
      </c>
      <c r="F413" t="s">
        <v>16</v>
      </c>
      <c r="G413" t="s">
        <v>17</v>
      </c>
      <c r="H413" t="s">
        <v>18</v>
      </c>
      <c r="I413" t="s">
        <v>19</v>
      </c>
      <c r="J413" t="s">
        <v>20</v>
      </c>
      <c r="K413" t="s">
        <v>21</v>
      </c>
      <c r="L413" t="s">
        <v>22</v>
      </c>
      <c r="M413">
        <v>22333.7</v>
      </c>
      <c r="N413">
        <v>2020</v>
      </c>
      <c r="O413">
        <v>4</v>
      </c>
    </row>
    <row r="414" spans="1:15" x14ac:dyDescent="0.3">
      <c r="A414" s="1">
        <v>43941</v>
      </c>
      <c r="B414">
        <v>1000000067</v>
      </c>
      <c r="C414" t="s">
        <v>23</v>
      </c>
      <c r="D414">
        <v>2</v>
      </c>
      <c r="E414">
        <v>27000.839999999997</v>
      </c>
      <c r="F414" t="s">
        <v>16</v>
      </c>
      <c r="G414" t="s">
        <v>24</v>
      </c>
      <c r="H414" t="s">
        <v>18</v>
      </c>
      <c r="I414" t="s">
        <v>25</v>
      </c>
      <c r="J414" t="s">
        <v>20</v>
      </c>
      <c r="K414" t="s">
        <v>51</v>
      </c>
      <c r="L414" t="s">
        <v>22</v>
      </c>
      <c r="M414">
        <v>13500.419999999998</v>
      </c>
      <c r="N414">
        <v>2020</v>
      </c>
      <c r="O414">
        <v>4</v>
      </c>
    </row>
    <row r="415" spans="1:15" x14ac:dyDescent="0.3">
      <c r="A415" s="1">
        <v>43941</v>
      </c>
      <c r="B415">
        <v>1000000052</v>
      </c>
      <c r="C415" t="s">
        <v>15</v>
      </c>
      <c r="D415">
        <v>2</v>
      </c>
      <c r="E415">
        <v>25000.92</v>
      </c>
      <c r="F415" t="s">
        <v>16</v>
      </c>
      <c r="G415" t="s">
        <v>17</v>
      </c>
      <c r="H415" t="s">
        <v>18</v>
      </c>
      <c r="I415" t="s">
        <v>34</v>
      </c>
      <c r="J415" t="s">
        <v>20</v>
      </c>
      <c r="K415" t="s">
        <v>44</v>
      </c>
      <c r="L415" t="s">
        <v>22</v>
      </c>
      <c r="M415">
        <v>12500.46</v>
      </c>
      <c r="N415">
        <v>2020</v>
      </c>
      <c r="O415">
        <v>4</v>
      </c>
    </row>
    <row r="416" spans="1:15" x14ac:dyDescent="0.3">
      <c r="A416" s="1">
        <v>43941</v>
      </c>
      <c r="B416">
        <v>1000000030</v>
      </c>
      <c r="C416" t="s">
        <v>42</v>
      </c>
      <c r="D416">
        <v>1</v>
      </c>
      <c r="E416">
        <v>20000.38</v>
      </c>
      <c r="F416" t="s">
        <v>16</v>
      </c>
      <c r="G416" t="s">
        <v>43</v>
      </c>
      <c r="H416" t="s">
        <v>47</v>
      </c>
      <c r="I416" t="s">
        <v>48</v>
      </c>
      <c r="J416" t="s">
        <v>36</v>
      </c>
      <c r="K416" t="s">
        <v>49</v>
      </c>
      <c r="L416" t="s">
        <v>22</v>
      </c>
      <c r="M416">
        <v>20000.38</v>
      </c>
      <c r="N416">
        <v>2020</v>
      </c>
      <c r="O416">
        <v>4</v>
      </c>
    </row>
    <row r="417" spans="1:15" x14ac:dyDescent="0.3">
      <c r="A417" s="1">
        <v>43941</v>
      </c>
      <c r="B417">
        <v>1000000067</v>
      </c>
      <c r="C417" t="s">
        <v>15</v>
      </c>
      <c r="D417">
        <v>1</v>
      </c>
      <c r="E417">
        <v>17000.439999999999</v>
      </c>
      <c r="F417" t="s">
        <v>16</v>
      </c>
      <c r="G417" t="s">
        <v>17</v>
      </c>
      <c r="H417" t="s">
        <v>18</v>
      </c>
      <c r="I417" t="s">
        <v>25</v>
      </c>
      <c r="J417" t="s">
        <v>20</v>
      </c>
      <c r="K417" t="s">
        <v>51</v>
      </c>
      <c r="L417" t="s">
        <v>22</v>
      </c>
      <c r="M417">
        <v>17000.439999999999</v>
      </c>
      <c r="N417">
        <v>2020</v>
      </c>
      <c r="O417">
        <v>4</v>
      </c>
    </row>
    <row r="418" spans="1:15" x14ac:dyDescent="0.3">
      <c r="A418" s="1">
        <v>43941</v>
      </c>
      <c r="B418">
        <v>1000000031</v>
      </c>
      <c r="C418" t="s">
        <v>23</v>
      </c>
      <c r="D418">
        <v>1</v>
      </c>
      <c r="E418">
        <v>16000.3</v>
      </c>
      <c r="F418" t="s">
        <v>16</v>
      </c>
      <c r="G418" t="s">
        <v>24</v>
      </c>
      <c r="H418" t="s">
        <v>18</v>
      </c>
      <c r="I418" t="s">
        <v>19</v>
      </c>
      <c r="J418" t="s">
        <v>26</v>
      </c>
      <c r="K418" t="s">
        <v>29</v>
      </c>
      <c r="L418" t="s">
        <v>28</v>
      </c>
      <c r="M418">
        <v>16000.3</v>
      </c>
      <c r="N418">
        <v>2020</v>
      </c>
      <c r="O418">
        <v>4</v>
      </c>
    </row>
    <row r="419" spans="1:15" x14ac:dyDescent="0.3">
      <c r="A419" s="1">
        <v>43941</v>
      </c>
      <c r="B419">
        <v>1000000052</v>
      </c>
      <c r="C419" t="s">
        <v>23</v>
      </c>
      <c r="D419">
        <v>1</v>
      </c>
      <c r="E419">
        <v>14999.96</v>
      </c>
      <c r="F419" t="s">
        <v>16</v>
      </c>
      <c r="G419" t="s">
        <v>24</v>
      </c>
      <c r="H419" t="s">
        <v>18</v>
      </c>
      <c r="I419" t="s">
        <v>34</v>
      </c>
      <c r="J419" t="s">
        <v>20</v>
      </c>
      <c r="K419" t="s">
        <v>44</v>
      </c>
      <c r="L419" t="s">
        <v>22</v>
      </c>
      <c r="M419">
        <v>14999.96</v>
      </c>
      <c r="N419">
        <v>2020</v>
      </c>
      <c r="O419">
        <v>4</v>
      </c>
    </row>
    <row r="420" spans="1:15" x14ac:dyDescent="0.3">
      <c r="A420" s="1">
        <v>43941</v>
      </c>
      <c r="B420">
        <v>1000000047</v>
      </c>
      <c r="C420" t="s">
        <v>15</v>
      </c>
      <c r="D420">
        <v>1</v>
      </c>
      <c r="E420">
        <v>12000.17</v>
      </c>
      <c r="F420" t="s">
        <v>16</v>
      </c>
      <c r="G420" t="s">
        <v>17</v>
      </c>
      <c r="H420" t="s">
        <v>47</v>
      </c>
      <c r="I420" t="s">
        <v>48</v>
      </c>
      <c r="J420" t="s">
        <v>26</v>
      </c>
      <c r="K420" t="s">
        <v>50</v>
      </c>
      <c r="L420" t="s">
        <v>22</v>
      </c>
      <c r="M420">
        <v>12000.17</v>
      </c>
      <c r="N420">
        <v>2020</v>
      </c>
      <c r="O420">
        <v>4</v>
      </c>
    </row>
    <row r="421" spans="1:15" x14ac:dyDescent="0.3">
      <c r="A421" s="1">
        <v>43941</v>
      </c>
      <c r="B421">
        <v>1000000036</v>
      </c>
      <c r="C421" t="s">
        <v>54</v>
      </c>
      <c r="D421">
        <v>1</v>
      </c>
      <c r="E421">
        <v>8688.32</v>
      </c>
      <c r="F421" t="s">
        <v>46</v>
      </c>
      <c r="G421" t="s">
        <v>24</v>
      </c>
      <c r="H421" t="s">
        <v>47</v>
      </c>
      <c r="I421" t="s">
        <v>48</v>
      </c>
      <c r="J421" t="s">
        <v>36</v>
      </c>
      <c r="K421" t="s">
        <v>49</v>
      </c>
      <c r="L421" t="s">
        <v>28</v>
      </c>
      <c r="M421">
        <v>8688.32</v>
      </c>
      <c r="N421">
        <v>2020</v>
      </c>
      <c r="O421">
        <v>4</v>
      </c>
    </row>
    <row r="422" spans="1:15" x14ac:dyDescent="0.3">
      <c r="A422" s="1">
        <v>43941</v>
      </c>
      <c r="B422">
        <v>1000000049</v>
      </c>
      <c r="C422" t="s">
        <v>23</v>
      </c>
      <c r="D422">
        <v>1</v>
      </c>
      <c r="E422">
        <v>5000.76</v>
      </c>
      <c r="F422" t="s">
        <v>16</v>
      </c>
      <c r="G422" t="s">
        <v>24</v>
      </c>
      <c r="H422" t="s">
        <v>18</v>
      </c>
      <c r="I422" t="s">
        <v>40</v>
      </c>
      <c r="J422" t="s">
        <v>26</v>
      </c>
      <c r="K422" t="s">
        <v>41</v>
      </c>
      <c r="L422" t="s">
        <v>22</v>
      </c>
      <c r="M422">
        <v>5000.76</v>
      </c>
      <c r="N422">
        <v>2020</v>
      </c>
      <c r="O422">
        <v>4</v>
      </c>
    </row>
    <row r="423" spans="1:15" x14ac:dyDescent="0.3">
      <c r="A423" s="1">
        <v>43941</v>
      </c>
      <c r="B423">
        <v>1000000057</v>
      </c>
      <c r="C423" t="s">
        <v>15</v>
      </c>
      <c r="D423">
        <v>1</v>
      </c>
      <c r="E423">
        <v>5000.5200000000004</v>
      </c>
      <c r="F423" t="s">
        <v>16</v>
      </c>
      <c r="G423" t="s">
        <v>17</v>
      </c>
      <c r="H423" t="s">
        <v>18</v>
      </c>
      <c r="I423" t="s">
        <v>34</v>
      </c>
      <c r="J423" t="s">
        <v>20</v>
      </c>
      <c r="K423" t="s">
        <v>44</v>
      </c>
      <c r="L423" t="s">
        <v>22</v>
      </c>
      <c r="M423">
        <v>5000.5200000000004</v>
      </c>
      <c r="N423">
        <v>2020</v>
      </c>
      <c r="O423">
        <v>4</v>
      </c>
    </row>
    <row r="424" spans="1:15" x14ac:dyDescent="0.3">
      <c r="A424" s="1">
        <v>43941</v>
      </c>
      <c r="B424">
        <v>1000000056</v>
      </c>
      <c r="C424" t="s">
        <v>15</v>
      </c>
      <c r="D424">
        <v>1</v>
      </c>
      <c r="E424">
        <v>4500.33</v>
      </c>
      <c r="F424" t="s">
        <v>16</v>
      </c>
      <c r="G424" t="s">
        <v>17</v>
      </c>
      <c r="H424" t="s">
        <v>18</v>
      </c>
      <c r="I424" t="s">
        <v>34</v>
      </c>
      <c r="J424" t="s">
        <v>26</v>
      </c>
      <c r="K424" t="s">
        <v>35</v>
      </c>
      <c r="L424" t="s">
        <v>28</v>
      </c>
      <c r="M424">
        <v>4500.33</v>
      </c>
      <c r="N424">
        <v>2020</v>
      </c>
      <c r="O424">
        <v>4</v>
      </c>
    </row>
    <row r="425" spans="1:15" x14ac:dyDescent="0.3">
      <c r="A425" s="1">
        <v>43941</v>
      </c>
      <c r="B425">
        <v>1000000032</v>
      </c>
      <c r="C425" t="s">
        <v>23</v>
      </c>
      <c r="D425">
        <v>1</v>
      </c>
      <c r="E425">
        <v>500.71</v>
      </c>
      <c r="F425" t="s">
        <v>16</v>
      </c>
      <c r="G425" t="s">
        <v>24</v>
      </c>
      <c r="H425" t="s">
        <v>18</v>
      </c>
      <c r="I425" t="s">
        <v>25</v>
      </c>
      <c r="J425" t="s">
        <v>26</v>
      </c>
      <c r="K425" t="s">
        <v>27</v>
      </c>
      <c r="L425" t="s">
        <v>28</v>
      </c>
      <c r="M425">
        <v>500.71</v>
      </c>
      <c r="N425">
        <v>2020</v>
      </c>
      <c r="O425">
        <v>4</v>
      </c>
    </row>
    <row r="426" spans="1:15" x14ac:dyDescent="0.3">
      <c r="A426" s="1">
        <v>43942</v>
      </c>
      <c r="B426">
        <v>1000000056</v>
      </c>
      <c r="C426" t="s">
        <v>23</v>
      </c>
      <c r="D426">
        <v>2</v>
      </c>
      <c r="E426">
        <v>27999.68</v>
      </c>
      <c r="F426" t="s">
        <v>16</v>
      </c>
      <c r="G426" t="s">
        <v>24</v>
      </c>
      <c r="H426" t="s">
        <v>18</v>
      </c>
      <c r="I426" t="s">
        <v>34</v>
      </c>
      <c r="J426" t="s">
        <v>26</v>
      </c>
      <c r="K426" t="s">
        <v>35</v>
      </c>
      <c r="L426" t="s">
        <v>28</v>
      </c>
      <c r="M426">
        <v>13999.84</v>
      </c>
      <c r="N426">
        <v>2020</v>
      </c>
      <c r="O426">
        <v>4</v>
      </c>
    </row>
    <row r="427" spans="1:15" x14ac:dyDescent="0.3">
      <c r="A427" s="1">
        <v>43942</v>
      </c>
      <c r="B427">
        <v>1000000028</v>
      </c>
      <c r="C427" t="s">
        <v>42</v>
      </c>
      <c r="D427">
        <v>1</v>
      </c>
      <c r="E427">
        <v>14000.58</v>
      </c>
      <c r="F427" t="s">
        <v>16</v>
      </c>
      <c r="G427" t="s">
        <v>43</v>
      </c>
      <c r="H427" t="s">
        <v>18</v>
      </c>
      <c r="I427" t="s">
        <v>19</v>
      </c>
      <c r="J427" t="s">
        <v>20</v>
      </c>
      <c r="K427" t="s">
        <v>21</v>
      </c>
      <c r="L427" t="s">
        <v>22</v>
      </c>
      <c r="M427">
        <v>14000.58</v>
      </c>
      <c r="N427">
        <v>2020</v>
      </c>
      <c r="O427">
        <v>4</v>
      </c>
    </row>
    <row r="428" spans="1:15" x14ac:dyDescent="0.3">
      <c r="A428" s="1">
        <v>43942</v>
      </c>
      <c r="B428">
        <v>1000000031</v>
      </c>
      <c r="C428" t="s">
        <v>15</v>
      </c>
      <c r="D428">
        <v>2</v>
      </c>
      <c r="E428">
        <v>13500.65</v>
      </c>
      <c r="F428" t="s">
        <v>16</v>
      </c>
      <c r="G428" t="s">
        <v>17</v>
      </c>
      <c r="H428" t="s">
        <v>18</v>
      </c>
      <c r="I428" t="s">
        <v>19</v>
      </c>
      <c r="J428" t="s">
        <v>26</v>
      </c>
      <c r="K428" t="s">
        <v>29</v>
      </c>
      <c r="L428" t="s">
        <v>28</v>
      </c>
      <c r="M428">
        <v>6750.3249999999998</v>
      </c>
      <c r="N428">
        <v>2020</v>
      </c>
      <c r="O428">
        <v>4</v>
      </c>
    </row>
    <row r="429" spans="1:15" x14ac:dyDescent="0.3">
      <c r="A429" s="1">
        <v>43942</v>
      </c>
      <c r="B429">
        <v>1000000040</v>
      </c>
      <c r="C429" t="s">
        <v>15</v>
      </c>
      <c r="D429">
        <v>1</v>
      </c>
      <c r="E429">
        <v>10000.379999999999</v>
      </c>
      <c r="F429" t="s">
        <v>16</v>
      </c>
      <c r="G429" t="s">
        <v>17</v>
      </c>
      <c r="H429" t="s">
        <v>30</v>
      </c>
      <c r="I429" t="s">
        <v>31</v>
      </c>
      <c r="J429" t="s">
        <v>32</v>
      </c>
      <c r="K429" t="s">
        <v>33</v>
      </c>
      <c r="L429" t="s">
        <v>28</v>
      </c>
      <c r="M429">
        <v>10000.379999999999</v>
      </c>
      <c r="N429">
        <v>2020</v>
      </c>
      <c r="O429">
        <v>4</v>
      </c>
    </row>
    <row r="430" spans="1:15" x14ac:dyDescent="0.3">
      <c r="A430" s="1">
        <v>43942</v>
      </c>
      <c r="B430">
        <v>1000000056</v>
      </c>
      <c r="C430" t="s">
        <v>42</v>
      </c>
      <c r="D430">
        <v>1</v>
      </c>
      <c r="E430">
        <v>7000.7</v>
      </c>
      <c r="F430" t="s">
        <v>16</v>
      </c>
      <c r="G430" t="s">
        <v>43</v>
      </c>
      <c r="H430" t="s">
        <v>18</v>
      </c>
      <c r="I430" t="s">
        <v>34</v>
      </c>
      <c r="J430" t="s">
        <v>26</v>
      </c>
      <c r="K430" t="s">
        <v>35</v>
      </c>
      <c r="L430" t="s">
        <v>28</v>
      </c>
      <c r="M430">
        <v>7000.7</v>
      </c>
      <c r="N430">
        <v>2020</v>
      </c>
      <c r="O430">
        <v>4</v>
      </c>
    </row>
    <row r="431" spans="1:15" x14ac:dyDescent="0.3">
      <c r="A431" s="1">
        <v>43942</v>
      </c>
      <c r="B431">
        <v>1000000044</v>
      </c>
      <c r="C431" t="s">
        <v>23</v>
      </c>
      <c r="D431">
        <v>1</v>
      </c>
      <c r="E431">
        <v>4000.62</v>
      </c>
      <c r="F431" t="s">
        <v>16</v>
      </c>
      <c r="G431" t="s">
        <v>24</v>
      </c>
      <c r="H431" t="s">
        <v>30</v>
      </c>
      <c r="I431" t="s">
        <v>31</v>
      </c>
      <c r="J431" t="s">
        <v>36</v>
      </c>
      <c r="K431" t="s">
        <v>52</v>
      </c>
      <c r="L431" t="s">
        <v>28</v>
      </c>
      <c r="M431">
        <v>4000.62</v>
      </c>
      <c r="N431">
        <v>2020</v>
      </c>
      <c r="O431">
        <v>4</v>
      </c>
    </row>
    <row r="432" spans="1:15" x14ac:dyDescent="0.3">
      <c r="A432" s="1">
        <v>43942</v>
      </c>
      <c r="B432">
        <v>1000000033</v>
      </c>
      <c r="C432" t="s">
        <v>42</v>
      </c>
      <c r="D432">
        <v>1</v>
      </c>
      <c r="E432">
        <v>2000.37</v>
      </c>
      <c r="F432" t="s">
        <v>16</v>
      </c>
      <c r="G432" t="s">
        <v>43</v>
      </c>
      <c r="H432" t="s">
        <v>18</v>
      </c>
      <c r="I432" t="s">
        <v>25</v>
      </c>
      <c r="J432" t="s">
        <v>26</v>
      </c>
      <c r="K432" t="s">
        <v>27</v>
      </c>
      <c r="L432" t="s">
        <v>22</v>
      </c>
      <c r="M432">
        <v>2000.37</v>
      </c>
      <c r="N432">
        <v>2020</v>
      </c>
      <c r="O432">
        <v>4</v>
      </c>
    </row>
    <row r="433" spans="1:15" x14ac:dyDescent="0.3">
      <c r="A433" s="1">
        <v>43943</v>
      </c>
      <c r="B433">
        <v>1000000237</v>
      </c>
      <c r="C433" t="s">
        <v>42</v>
      </c>
      <c r="D433">
        <v>2</v>
      </c>
      <c r="E433">
        <v>30000.58</v>
      </c>
      <c r="F433" t="s">
        <v>16</v>
      </c>
      <c r="G433" t="s">
        <v>43</v>
      </c>
      <c r="H433" t="s">
        <v>18</v>
      </c>
      <c r="I433" t="s">
        <v>40</v>
      </c>
      <c r="J433" t="s">
        <v>26</v>
      </c>
      <c r="K433" t="s">
        <v>41</v>
      </c>
      <c r="L433" t="s">
        <v>22</v>
      </c>
      <c r="M433">
        <v>15000.29</v>
      </c>
      <c r="N433">
        <v>2020</v>
      </c>
      <c r="O433">
        <v>4</v>
      </c>
    </row>
    <row r="434" spans="1:15" x14ac:dyDescent="0.3">
      <c r="A434" s="1">
        <v>43943</v>
      </c>
      <c r="B434">
        <v>1000000040</v>
      </c>
      <c r="C434" t="s">
        <v>23</v>
      </c>
      <c r="D434">
        <v>1</v>
      </c>
      <c r="E434">
        <v>20000.310000000001</v>
      </c>
      <c r="F434" t="s">
        <v>16</v>
      </c>
      <c r="G434" t="s">
        <v>24</v>
      </c>
      <c r="H434" t="s">
        <v>30</v>
      </c>
      <c r="I434" t="s">
        <v>31</v>
      </c>
      <c r="J434" t="s">
        <v>32</v>
      </c>
      <c r="K434" t="s">
        <v>33</v>
      </c>
      <c r="L434" t="s">
        <v>28</v>
      </c>
      <c r="M434">
        <v>20000.310000000001</v>
      </c>
      <c r="N434">
        <v>2020</v>
      </c>
      <c r="O434">
        <v>4</v>
      </c>
    </row>
    <row r="435" spans="1:15" x14ac:dyDescent="0.3">
      <c r="A435" s="1">
        <v>43943</v>
      </c>
      <c r="B435">
        <v>1000000033</v>
      </c>
      <c r="C435" t="s">
        <v>23</v>
      </c>
      <c r="D435">
        <v>1</v>
      </c>
      <c r="E435">
        <v>12999.96</v>
      </c>
      <c r="F435" t="s">
        <v>16</v>
      </c>
      <c r="G435" t="s">
        <v>24</v>
      </c>
      <c r="H435" t="s">
        <v>18</v>
      </c>
      <c r="I435" t="s">
        <v>25</v>
      </c>
      <c r="J435" t="s">
        <v>26</v>
      </c>
      <c r="K435" t="s">
        <v>27</v>
      </c>
      <c r="L435" t="s">
        <v>22</v>
      </c>
      <c r="M435">
        <v>12999.96</v>
      </c>
      <c r="N435">
        <v>2020</v>
      </c>
      <c r="O435">
        <v>4</v>
      </c>
    </row>
    <row r="436" spans="1:15" x14ac:dyDescent="0.3">
      <c r="A436" s="1">
        <v>43943</v>
      </c>
      <c r="B436">
        <v>1000000049</v>
      </c>
      <c r="C436" t="s">
        <v>15</v>
      </c>
      <c r="D436">
        <v>1</v>
      </c>
      <c r="E436">
        <v>10000.27</v>
      </c>
      <c r="F436" t="s">
        <v>16</v>
      </c>
      <c r="G436" t="s">
        <v>17</v>
      </c>
      <c r="H436" t="s">
        <v>18</v>
      </c>
      <c r="I436" t="s">
        <v>40</v>
      </c>
      <c r="J436" t="s">
        <v>26</v>
      </c>
      <c r="K436" t="s">
        <v>41</v>
      </c>
      <c r="L436" t="s">
        <v>22</v>
      </c>
      <c r="M436">
        <v>10000.27</v>
      </c>
      <c r="N436">
        <v>2020</v>
      </c>
      <c r="O436">
        <v>4</v>
      </c>
    </row>
    <row r="437" spans="1:15" x14ac:dyDescent="0.3">
      <c r="A437" s="1">
        <v>43943</v>
      </c>
      <c r="B437">
        <v>1000000029</v>
      </c>
      <c r="C437" t="s">
        <v>23</v>
      </c>
      <c r="D437">
        <v>1</v>
      </c>
      <c r="E437">
        <v>10000.26</v>
      </c>
      <c r="F437" t="s">
        <v>16</v>
      </c>
      <c r="G437" t="s">
        <v>24</v>
      </c>
      <c r="H437" t="s">
        <v>18</v>
      </c>
      <c r="I437" t="s">
        <v>19</v>
      </c>
      <c r="J437" t="s">
        <v>20</v>
      </c>
      <c r="K437" t="s">
        <v>21</v>
      </c>
      <c r="L437" t="s">
        <v>22</v>
      </c>
      <c r="M437">
        <v>10000.26</v>
      </c>
      <c r="N437">
        <v>2020</v>
      </c>
      <c r="O437">
        <v>4</v>
      </c>
    </row>
    <row r="438" spans="1:15" x14ac:dyDescent="0.3">
      <c r="A438" s="1">
        <v>43943</v>
      </c>
      <c r="B438">
        <v>1000000045</v>
      </c>
      <c r="C438" t="s">
        <v>42</v>
      </c>
      <c r="D438">
        <v>1</v>
      </c>
      <c r="E438">
        <v>8000.6</v>
      </c>
      <c r="F438" t="s">
        <v>16</v>
      </c>
      <c r="G438" t="s">
        <v>43</v>
      </c>
      <c r="H438" t="s">
        <v>47</v>
      </c>
      <c r="I438" t="s">
        <v>59</v>
      </c>
      <c r="J438" t="s">
        <v>26</v>
      </c>
      <c r="K438" t="s">
        <v>60</v>
      </c>
      <c r="L438" t="s">
        <v>22</v>
      </c>
      <c r="M438">
        <v>8000.6</v>
      </c>
      <c r="N438">
        <v>2020</v>
      </c>
      <c r="O438">
        <v>4</v>
      </c>
    </row>
    <row r="439" spans="1:15" x14ac:dyDescent="0.3">
      <c r="A439" s="1">
        <v>43943</v>
      </c>
      <c r="B439">
        <v>1000000039</v>
      </c>
      <c r="C439" t="s">
        <v>15</v>
      </c>
      <c r="D439">
        <v>1</v>
      </c>
      <c r="E439">
        <v>6200.52</v>
      </c>
      <c r="F439" t="s">
        <v>16</v>
      </c>
      <c r="G439" t="s">
        <v>17</v>
      </c>
      <c r="H439" t="s">
        <v>18</v>
      </c>
      <c r="I439" t="s">
        <v>25</v>
      </c>
      <c r="J439" t="s">
        <v>20</v>
      </c>
      <c r="K439" t="s">
        <v>51</v>
      </c>
      <c r="L439" t="s">
        <v>28</v>
      </c>
      <c r="M439">
        <v>6200.52</v>
      </c>
      <c r="N439">
        <v>2020</v>
      </c>
      <c r="O439">
        <v>4</v>
      </c>
    </row>
    <row r="440" spans="1:15" x14ac:dyDescent="0.3">
      <c r="A440" s="1">
        <v>43943</v>
      </c>
      <c r="B440">
        <v>1000000056</v>
      </c>
      <c r="C440" t="s">
        <v>42</v>
      </c>
      <c r="D440">
        <v>1</v>
      </c>
      <c r="E440">
        <v>4000.48</v>
      </c>
      <c r="F440" t="s">
        <v>16</v>
      </c>
      <c r="G440" t="s">
        <v>43</v>
      </c>
      <c r="H440" t="s">
        <v>18</v>
      </c>
      <c r="I440" t="s">
        <v>34</v>
      </c>
      <c r="J440" t="s">
        <v>26</v>
      </c>
      <c r="K440" t="s">
        <v>35</v>
      </c>
      <c r="L440" t="s">
        <v>28</v>
      </c>
      <c r="M440">
        <v>4000.48</v>
      </c>
      <c r="N440">
        <v>2020</v>
      </c>
      <c r="O440">
        <v>4</v>
      </c>
    </row>
    <row r="441" spans="1:15" x14ac:dyDescent="0.3">
      <c r="A441" s="1">
        <v>43943</v>
      </c>
      <c r="B441">
        <v>1000000057</v>
      </c>
      <c r="C441" t="s">
        <v>15</v>
      </c>
      <c r="D441">
        <v>1</v>
      </c>
      <c r="E441">
        <v>2000.07</v>
      </c>
      <c r="F441" t="s">
        <v>16</v>
      </c>
      <c r="G441" t="s">
        <v>17</v>
      </c>
      <c r="H441" t="s">
        <v>18</v>
      </c>
      <c r="I441" t="s">
        <v>34</v>
      </c>
      <c r="J441" t="s">
        <v>20</v>
      </c>
      <c r="K441" t="s">
        <v>44</v>
      </c>
      <c r="L441" t="s">
        <v>22</v>
      </c>
      <c r="M441">
        <v>2000.07</v>
      </c>
      <c r="N441">
        <v>2020</v>
      </c>
      <c r="O441">
        <v>4</v>
      </c>
    </row>
    <row r="442" spans="1:15" x14ac:dyDescent="0.3">
      <c r="A442" s="1">
        <v>43944</v>
      </c>
      <c r="B442">
        <v>1000000044</v>
      </c>
      <c r="C442" t="s">
        <v>42</v>
      </c>
      <c r="D442">
        <v>1</v>
      </c>
      <c r="E442">
        <v>25000.36</v>
      </c>
      <c r="F442" t="s">
        <v>16</v>
      </c>
      <c r="G442" t="s">
        <v>43</v>
      </c>
      <c r="H442" t="s">
        <v>30</v>
      </c>
      <c r="I442" t="s">
        <v>31</v>
      </c>
      <c r="J442" t="s">
        <v>36</v>
      </c>
      <c r="K442" t="s">
        <v>52</v>
      </c>
      <c r="L442" t="s">
        <v>28</v>
      </c>
      <c r="M442">
        <v>25000.36</v>
      </c>
      <c r="N442">
        <v>2020</v>
      </c>
      <c r="O442">
        <v>4</v>
      </c>
    </row>
    <row r="443" spans="1:15" x14ac:dyDescent="0.3">
      <c r="A443" s="1">
        <v>43944</v>
      </c>
      <c r="B443">
        <v>1000000028</v>
      </c>
      <c r="C443" t="s">
        <v>23</v>
      </c>
      <c r="D443">
        <v>1</v>
      </c>
      <c r="E443">
        <v>18000.419999999998</v>
      </c>
      <c r="F443" t="s">
        <v>16</v>
      </c>
      <c r="G443" t="s">
        <v>24</v>
      </c>
      <c r="H443" t="s">
        <v>18</v>
      </c>
      <c r="I443" t="s">
        <v>19</v>
      </c>
      <c r="J443" t="s">
        <v>20</v>
      </c>
      <c r="K443" t="s">
        <v>21</v>
      </c>
      <c r="L443" t="s">
        <v>22</v>
      </c>
      <c r="M443">
        <v>18000.419999999998</v>
      </c>
      <c r="N443">
        <v>2020</v>
      </c>
      <c r="O443">
        <v>4</v>
      </c>
    </row>
    <row r="444" spans="1:15" x14ac:dyDescent="0.3">
      <c r="A444" s="1">
        <v>43944</v>
      </c>
      <c r="B444">
        <v>1000000036</v>
      </c>
      <c r="C444" t="s">
        <v>15</v>
      </c>
      <c r="D444">
        <v>1</v>
      </c>
      <c r="E444">
        <v>17000.68</v>
      </c>
      <c r="F444" t="s">
        <v>16</v>
      </c>
      <c r="G444" t="s">
        <v>17</v>
      </c>
      <c r="H444" t="s">
        <v>47</v>
      </c>
      <c r="I444" t="s">
        <v>48</v>
      </c>
      <c r="J444" t="s">
        <v>36</v>
      </c>
      <c r="K444" t="s">
        <v>49</v>
      </c>
      <c r="L444" t="s">
        <v>28</v>
      </c>
      <c r="M444">
        <v>17000.68</v>
      </c>
      <c r="N444">
        <v>2020</v>
      </c>
      <c r="O444">
        <v>4</v>
      </c>
    </row>
    <row r="445" spans="1:15" x14ac:dyDescent="0.3">
      <c r="A445" s="1">
        <v>43944</v>
      </c>
      <c r="B445">
        <v>1000000033</v>
      </c>
      <c r="C445" t="s">
        <v>42</v>
      </c>
      <c r="D445">
        <v>1</v>
      </c>
      <c r="E445">
        <v>15000.61</v>
      </c>
      <c r="F445" t="s">
        <v>16</v>
      </c>
      <c r="G445" t="s">
        <v>43</v>
      </c>
      <c r="H445" t="s">
        <v>18</v>
      </c>
      <c r="I445" t="s">
        <v>25</v>
      </c>
      <c r="J445" t="s">
        <v>26</v>
      </c>
      <c r="K445" t="s">
        <v>27</v>
      </c>
      <c r="L445" t="s">
        <v>22</v>
      </c>
      <c r="M445">
        <v>15000.61</v>
      </c>
      <c r="N445">
        <v>2020</v>
      </c>
      <c r="O445">
        <v>4</v>
      </c>
    </row>
    <row r="446" spans="1:15" x14ac:dyDescent="0.3">
      <c r="A446" s="1">
        <v>43944</v>
      </c>
      <c r="B446">
        <v>1000000028</v>
      </c>
      <c r="C446" t="s">
        <v>42</v>
      </c>
      <c r="D446">
        <v>1</v>
      </c>
      <c r="E446">
        <v>13000.31</v>
      </c>
      <c r="F446" t="s">
        <v>16</v>
      </c>
      <c r="G446" t="s">
        <v>43</v>
      </c>
      <c r="H446" t="s">
        <v>18</v>
      </c>
      <c r="I446" t="s">
        <v>19</v>
      </c>
      <c r="J446" t="s">
        <v>20</v>
      </c>
      <c r="K446" t="s">
        <v>21</v>
      </c>
      <c r="L446" t="s">
        <v>22</v>
      </c>
      <c r="M446">
        <v>13000.31</v>
      </c>
      <c r="N446">
        <v>2020</v>
      </c>
      <c r="O446">
        <v>4</v>
      </c>
    </row>
    <row r="447" spans="1:15" x14ac:dyDescent="0.3">
      <c r="A447" s="1">
        <v>43944</v>
      </c>
      <c r="B447">
        <v>1000000052</v>
      </c>
      <c r="C447" t="s">
        <v>15</v>
      </c>
      <c r="D447">
        <v>1</v>
      </c>
      <c r="E447">
        <v>12000.2</v>
      </c>
      <c r="F447" t="s">
        <v>16</v>
      </c>
      <c r="G447" t="s">
        <v>17</v>
      </c>
      <c r="H447" t="s">
        <v>18</v>
      </c>
      <c r="I447" t="s">
        <v>34</v>
      </c>
      <c r="J447" t="s">
        <v>20</v>
      </c>
      <c r="K447" t="s">
        <v>44</v>
      </c>
      <c r="L447" t="s">
        <v>22</v>
      </c>
      <c r="M447">
        <v>12000.2</v>
      </c>
      <c r="N447">
        <v>2020</v>
      </c>
      <c r="O447">
        <v>4</v>
      </c>
    </row>
    <row r="448" spans="1:15" x14ac:dyDescent="0.3">
      <c r="A448" s="1">
        <v>43944</v>
      </c>
      <c r="B448">
        <v>1000000029</v>
      </c>
      <c r="C448" t="s">
        <v>15</v>
      </c>
      <c r="D448">
        <v>1</v>
      </c>
      <c r="E448">
        <v>10000.02</v>
      </c>
      <c r="F448" t="s">
        <v>16</v>
      </c>
      <c r="G448" t="s">
        <v>17</v>
      </c>
      <c r="H448" t="s">
        <v>18</v>
      </c>
      <c r="I448" t="s">
        <v>19</v>
      </c>
      <c r="J448" t="s">
        <v>20</v>
      </c>
      <c r="K448" t="s">
        <v>21</v>
      </c>
      <c r="L448" t="s">
        <v>22</v>
      </c>
      <c r="M448">
        <v>10000.02</v>
      </c>
      <c r="N448">
        <v>2020</v>
      </c>
      <c r="O448">
        <v>4</v>
      </c>
    </row>
    <row r="449" spans="1:15" x14ac:dyDescent="0.3">
      <c r="A449" s="1">
        <v>43945</v>
      </c>
      <c r="B449">
        <v>1000000052</v>
      </c>
      <c r="C449" t="s">
        <v>23</v>
      </c>
      <c r="D449">
        <v>1</v>
      </c>
      <c r="E449">
        <v>20000.349999999999</v>
      </c>
      <c r="F449" t="s">
        <v>16</v>
      </c>
      <c r="G449" t="s">
        <v>24</v>
      </c>
      <c r="H449" t="s">
        <v>18</v>
      </c>
      <c r="I449" t="s">
        <v>34</v>
      </c>
      <c r="J449" t="s">
        <v>20</v>
      </c>
      <c r="K449" t="s">
        <v>44</v>
      </c>
      <c r="L449" t="s">
        <v>22</v>
      </c>
      <c r="M449">
        <v>20000.349999999999</v>
      </c>
      <c r="N449">
        <v>2020</v>
      </c>
      <c r="O449">
        <v>4</v>
      </c>
    </row>
    <row r="450" spans="1:15" x14ac:dyDescent="0.3">
      <c r="A450" s="1">
        <v>43945</v>
      </c>
      <c r="B450">
        <v>1000000033</v>
      </c>
      <c r="C450" t="s">
        <v>15</v>
      </c>
      <c r="D450">
        <v>1</v>
      </c>
      <c r="E450">
        <v>20000.23</v>
      </c>
      <c r="F450" t="s">
        <v>16</v>
      </c>
      <c r="G450" t="s">
        <v>17</v>
      </c>
      <c r="H450" t="s">
        <v>18</v>
      </c>
      <c r="I450" t="s">
        <v>25</v>
      </c>
      <c r="J450" t="s">
        <v>26</v>
      </c>
      <c r="K450" t="s">
        <v>27</v>
      </c>
      <c r="L450" t="s">
        <v>22</v>
      </c>
      <c r="M450">
        <v>20000.23</v>
      </c>
      <c r="N450">
        <v>2020</v>
      </c>
      <c r="O450">
        <v>4</v>
      </c>
    </row>
    <row r="451" spans="1:15" x14ac:dyDescent="0.3">
      <c r="A451" s="1">
        <v>43945</v>
      </c>
      <c r="B451">
        <v>1000000068</v>
      </c>
      <c r="C451" t="s">
        <v>23</v>
      </c>
      <c r="D451">
        <v>1</v>
      </c>
      <c r="E451">
        <v>16999.96</v>
      </c>
      <c r="F451" t="s">
        <v>16</v>
      </c>
      <c r="G451" t="s">
        <v>24</v>
      </c>
      <c r="H451" t="s">
        <v>30</v>
      </c>
      <c r="I451" t="s">
        <v>55</v>
      </c>
      <c r="J451" t="s">
        <v>26</v>
      </c>
      <c r="K451" t="s">
        <v>56</v>
      </c>
      <c r="L451" t="s">
        <v>28</v>
      </c>
      <c r="M451">
        <v>16999.96</v>
      </c>
      <c r="N451">
        <v>2020</v>
      </c>
      <c r="O451">
        <v>4</v>
      </c>
    </row>
    <row r="452" spans="1:15" x14ac:dyDescent="0.3">
      <c r="A452" s="1">
        <v>43945</v>
      </c>
      <c r="B452">
        <v>1000000046</v>
      </c>
      <c r="C452" t="s">
        <v>23</v>
      </c>
      <c r="D452">
        <v>1</v>
      </c>
      <c r="E452">
        <v>10000.620000000001</v>
      </c>
      <c r="F452" t="s">
        <v>16</v>
      </c>
      <c r="G452" t="s">
        <v>24</v>
      </c>
      <c r="H452" t="s">
        <v>30</v>
      </c>
      <c r="I452" t="s">
        <v>38</v>
      </c>
      <c r="J452" t="s">
        <v>26</v>
      </c>
      <c r="K452" t="s">
        <v>39</v>
      </c>
      <c r="L452" t="s">
        <v>22</v>
      </c>
      <c r="M452">
        <v>10000.620000000001</v>
      </c>
      <c r="N452">
        <v>2020</v>
      </c>
      <c r="O452">
        <v>4</v>
      </c>
    </row>
    <row r="453" spans="1:15" x14ac:dyDescent="0.3">
      <c r="A453" s="1">
        <v>43945</v>
      </c>
      <c r="B453">
        <v>1000000566</v>
      </c>
      <c r="C453" t="s">
        <v>42</v>
      </c>
      <c r="D453">
        <v>1</v>
      </c>
      <c r="E453">
        <v>10000.61</v>
      </c>
      <c r="F453" t="s">
        <v>16</v>
      </c>
      <c r="G453" t="s">
        <v>43</v>
      </c>
      <c r="H453" t="s">
        <v>47</v>
      </c>
      <c r="I453" t="s">
        <v>48</v>
      </c>
      <c r="J453" t="s">
        <v>36</v>
      </c>
      <c r="K453" t="s">
        <v>49</v>
      </c>
      <c r="L453" t="s">
        <v>22</v>
      </c>
      <c r="M453">
        <v>10000.61</v>
      </c>
      <c r="N453">
        <v>2020</v>
      </c>
      <c r="O453">
        <v>4</v>
      </c>
    </row>
    <row r="454" spans="1:15" x14ac:dyDescent="0.3">
      <c r="A454" s="1">
        <v>43945</v>
      </c>
      <c r="B454">
        <v>1000000029</v>
      </c>
      <c r="C454" t="s">
        <v>42</v>
      </c>
      <c r="D454">
        <v>1</v>
      </c>
      <c r="E454">
        <v>10000.24</v>
      </c>
      <c r="F454" t="s">
        <v>16</v>
      </c>
      <c r="G454" t="s">
        <v>43</v>
      </c>
      <c r="H454" t="s">
        <v>18</v>
      </c>
      <c r="I454" t="s">
        <v>19</v>
      </c>
      <c r="J454" t="s">
        <v>20</v>
      </c>
      <c r="K454" t="s">
        <v>21</v>
      </c>
      <c r="L454" t="s">
        <v>22</v>
      </c>
      <c r="M454">
        <v>10000.24</v>
      </c>
      <c r="N454">
        <v>2020</v>
      </c>
      <c r="O454">
        <v>4</v>
      </c>
    </row>
    <row r="455" spans="1:15" x14ac:dyDescent="0.3">
      <c r="A455" s="1">
        <v>43945</v>
      </c>
      <c r="B455">
        <v>1000000576</v>
      </c>
      <c r="C455" t="s">
        <v>15</v>
      </c>
      <c r="D455">
        <v>1</v>
      </c>
      <c r="E455">
        <v>10000.08</v>
      </c>
      <c r="F455" t="s">
        <v>16</v>
      </c>
      <c r="G455" t="s">
        <v>17</v>
      </c>
      <c r="H455" t="s">
        <v>18</v>
      </c>
      <c r="I455" t="s">
        <v>25</v>
      </c>
      <c r="J455" t="s">
        <v>36</v>
      </c>
      <c r="K455" t="s">
        <v>37</v>
      </c>
      <c r="L455" t="s">
        <v>22</v>
      </c>
      <c r="M455">
        <v>10000.08</v>
      </c>
      <c r="N455">
        <v>2020</v>
      </c>
      <c r="O455">
        <v>4</v>
      </c>
    </row>
    <row r="456" spans="1:15" x14ac:dyDescent="0.3">
      <c r="A456" s="1">
        <v>43945</v>
      </c>
      <c r="B456">
        <v>1000000928</v>
      </c>
      <c r="C456" t="s">
        <v>23</v>
      </c>
      <c r="D456">
        <v>1</v>
      </c>
      <c r="E456">
        <v>10000</v>
      </c>
      <c r="F456" t="s">
        <v>16</v>
      </c>
      <c r="G456" t="s">
        <v>24</v>
      </c>
      <c r="H456" t="s">
        <v>30</v>
      </c>
      <c r="I456" t="s">
        <v>57</v>
      </c>
      <c r="J456" t="s">
        <v>26</v>
      </c>
      <c r="K456" t="s">
        <v>58</v>
      </c>
      <c r="L456" t="s">
        <v>22</v>
      </c>
      <c r="M456">
        <v>10000</v>
      </c>
      <c r="N456">
        <v>2020</v>
      </c>
      <c r="O456">
        <v>4</v>
      </c>
    </row>
    <row r="457" spans="1:15" x14ac:dyDescent="0.3">
      <c r="A457" s="1">
        <v>43945</v>
      </c>
      <c r="B457">
        <v>1000000044</v>
      </c>
      <c r="C457" t="s">
        <v>15</v>
      </c>
      <c r="D457">
        <v>1</v>
      </c>
      <c r="E457">
        <v>5000.45</v>
      </c>
      <c r="F457" t="s">
        <v>16</v>
      </c>
      <c r="G457" t="s">
        <v>17</v>
      </c>
      <c r="H457" t="s">
        <v>30</v>
      </c>
      <c r="I457" t="s">
        <v>31</v>
      </c>
      <c r="J457" t="s">
        <v>36</v>
      </c>
      <c r="K457" t="s">
        <v>52</v>
      </c>
      <c r="L457" t="s">
        <v>28</v>
      </c>
      <c r="M457">
        <v>5000.45</v>
      </c>
      <c r="N457">
        <v>2020</v>
      </c>
      <c r="O457">
        <v>4</v>
      </c>
    </row>
    <row r="458" spans="1:15" x14ac:dyDescent="0.3">
      <c r="A458" s="1">
        <v>43945</v>
      </c>
      <c r="B458">
        <v>1000000057</v>
      </c>
      <c r="C458" t="s">
        <v>23</v>
      </c>
      <c r="D458">
        <v>1</v>
      </c>
      <c r="E458">
        <v>5000.28</v>
      </c>
      <c r="F458" t="s">
        <v>16</v>
      </c>
      <c r="G458" t="s">
        <v>24</v>
      </c>
      <c r="H458" t="s">
        <v>18</v>
      </c>
      <c r="I458" t="s">
        <v>34</v>
      </c>
      <c r="J458" t="s">
        <v>20</v>
      </c>
      <c r="K458" t="s">
        <v>44</v>
      </c>
      <c r="L458" t="s">
        <v>22</v>
      </c>
      <c r="M458">
        <v>5000.28</v>
      </c>
      <c r="N458">
        <v>2020</v>
      </c>
      <c r="O458">
        <v>4</v>
      </c>
    </row>
    <row r="459" spans="1:15" x14ac:dyDescent="0.3">
      <c r="A459" s="1">
        <v>43945</v>
      </c>
      <c r="B459">
        <v>1000000045</v>
      </c>
      <c r="C459" t="s">
        <v>42</v>
      </c>
      <c r="D459">
        <v>1</v>
      </c>
      <c r="E459">
        <v>5000.17</v>
      </c>
      <c r="F459" t="s">
        <v>16</v>
      </c>
      <c r="G459" t="s">
        <v>43</v>
      </c>
      <c r="H459" t="s">
        <v>47</v>
      </c>
      <c r="I459" t="s">
        <v>59</v>
      </c>
      <c r="J459" t="s">
        <v>26</v>
      </c>
      <c r="K459" t="s">
        <v>60</v>
      </c>
      <c r="L459" t="s">
        <v>22</v>
      </c>
      <c r="M459">
        <v>5000.17</v>
      </c>
      <c r="N459">
        <v>2020</v>
      </c>
      <c r="O459">
        <v>4</v>
      </c>
    </row>
    <row r="460" spans="1:15" x14ac:dyDescent="0.3">
      <c r="A460" s="1">
        <v>43946</v>
      </c>
      <c r="B460">
        <v>1000000028</v>
      </c>
      <c r="C460" t="s">
        <v>42</v>
      </c>
      <c r="D460">
        <v>1</v>
      </c>
      <c r="E460">
        <v>20000.330000000002</v>
      </c>
      <c r="F460" t="s">
        <v>16</v>
      </c>
      <c r="G460" t="s">
        <v>43</v>
      </c>
      <c r="H460" t="s">
        <v>18</v>
      </c>
      <c r="I460" t="s">
        <v>19</v>
      </c>
      <c r="J460" t="s">
        <v>20</v>
      </c>
      <c r="K460" t="s">
        <v>21</v>
      </c>
      <c r="L460" t="s">
        <v>22</v>
      </c>
      <c r="M460">
        <v>20000.330000000002</v>
      </c>
      <c r="N460">
        <v>2020</v>
      </c>
      <c r="O460">
        <v>4</v>
      </c>
    </row>
    <row r="461" spans="1:15" x14ac:dyDescent="0.3">
      <c r="A461" s="1">
        <v>43946</v>
      </c>
      <c r="B461">
        <v>1000000031</v>
      </c>
      <c r="C461" t="s">
        <v>23</v>
      </c>
      <c r="D461">
        <v>2</v>
      </c>
      <c r="E461">
        <v>16000.77</v>
      </c>
      <c r="F461" t="s">
        <v>16</v>
      </c>
      <c r="G461" t="s">
        <v>24</v>
      </c>
      <c r="H461" t="s">
        <v>18</v>
      </c>
      <c r="I461" t="s">
        <v>19</v>
      </c>
      <c r="J461" t="s">
        <v>26</v>
      </c>
      <c r="K461" t="s">
        <v>29</v>
      </c>
      <c r="L461" t="s">
        <v>28</v>
      </c>
      <c r="M461">
        <v>8000.3850000000002</v>
      </c>
      <c r="N461">
        <v>2020</v>
      </c>
      <c r="O461">
        <v>4</v>
      </c>
    </row>
    <row r="462" spans="1:15" x14ac:dyDescent="0.3">
      <c r="A462" s="1">
        <v>43946</v>
      </c>
      <c r="B462">
        <v>1000000054</v>
      </c>
      <c r="C462" t="s">
        <v>42</v>
      </c>
      <c r="D462">
        <v>1</v>
      </c>
      <c r="E462">
        <v>10000.74</v>
      </c>
      <c r="F462" t="s">
        <v>16</v>
      </c>
      <c r="G462" t="s">
        <v>43</v>
      </c>
      <c r="H462" t="s">
        <v>18</v>
      </c>
      <c r="I462" t="s">
        <v>34</v>
      </c>
      <c r="J462" t="s">
        <v>26</v>
      </c>
      <c r="K462" t="s">
        <v>35</v>
      </c>
      <c r="L462" t="s">
        <v>22</v>
      </c>
      <c r="M462">
        <v>10000.74</v>
      </c>
      <c r="N462">
        <v>2020</v>
      </c>
      <c r="O462">
        <v>4</v>
      </c>
    </row>
    <row r="463" spans="1:15" x14ac:dyDescent="0.3">
      <c r="A463" s="1">
        <v>43946</v>
      </c>
      <c r="B463">
        <v>1000000036</v>
      </c>
      <c r="C463" t="s">
        <v>23</v>
      </c>
      <c r="D463">
        <v>1</v>
      </c>
      <c r="E463">
        <v>8000.32</v>
      </c>
      <c r="F463" t="s">
        <v>16</v>
      </c>
      <c r="G463" t="s">
        <v>24</v>
      </c>
      <c r="H463" t="s">
        <v>47</v>
      </c>
      <c r="I463" t="s">
        <v>48</v>
      </c>
      <c r="J463" t="s">
        <v>36</v>
      </c>
      <c r="K463" t="s">
        <v>49</v>
      </c>
      <c r="L463" t="s">
        <v>28</v>
      </c>
      <c r="M463">
        <v>8000.32</v>
      </c>
      <c r="N463">
        <v>2020</v>
      </c>
      <c r="O463">
        <v>4</v>
      </c>
    </row>
    <row r="464" spans="1:15" x14ac:dyDescent="0.3">
      <c r="A464" s="1">
        <v>43946</v>
      </c>
      <c r="B464">
        <v>1000000566</v>
      </c>
      <c r="C464" t="s">
        <v>15</v>
      </c>
      <c r="D464">
        <v>1</v>
      </c>
      <c r="E464">
        <v>3000.12</v>
      </c>
      <c r="F464" t="s">
        <v>16</v>
      </c>
      <c r="G464" t="s">
        <v>17</v>
      </c>
      <c r="H464" t="s">
        <v>47</v>
      </c>
      <c r="I464" t="s">
        <v>48</v>
      </c>
      <c r="J464" t="s">
        <v>36</v>
      </c>
      <c r="K464" t="s">
        <v>49</v>
      </c>
      <c r="L464" t="s">
        <v>22</v>
      </c>
      <c r="M464">
        <v>3000.12</v>
      </c>
      <c r="N464">
        <v>2020</v>
      </c>
      <c r="O464">
        <v>4</v>
      </c>
    </row>
    <row r="465" spans="1:15" x14ac:dyDescent="0.3">
      <c r="A465" s="1">
        <v>43947</v>
      </c>
      <c r="B465">
        <v>1000000037</v>
      </c>
      <c r="C465" t="s">
        <v>42</v>
      </c>
      <c r="D465">
        <v>1</v>
      </c>
      <c r="E465">
        <v>21999.97</v>
      </c>
      <c r="F465" t="s">
        <v>16</v>
      </c>
      <c r="G465" t="s">
        <v>43</v>
      </c>
      <c r="H465" t="s">
        <v>18</v>
      </c>
      <c r="I465" t="s">
        <v>19</v>
      </c>
      <c r="J465" t="s">
        <v>20</v>
      </c>
      <c r="K465" t="s">
        <v>21</v>
      </c>
      <c r="L465" t="s">
        <v>22</v>
      </c>
      <c r="M465">
        <v>21999.97</v>
      </c>
      <c r="N465">
        <v>2020</v>
      </c>
      <c r="O465">
        <v>4</v>
      </c>
    </row>
    <row r="466" spans="1:15" x14ac:dyDescent="0.3">
      <c r="A466" s="1">
        <v>43947</v>
      </c>
      <c r="B466">
        <v>1000000032</v>
      </c>
      <c r="C466" t="s">
        <v>42</v>
      </c>
      <c r="D466">
        <v>1</v>
      </c>
      <c r="E466">
        <v>20000.71</v>
      </c>
      <c r="F466" t="s">
        <v>16</v>
      </c>
      <c r="G466" t="s">
        <v>43</v>
      </c>
      <c r="H466" t="s">
        <v>18</v>
      </c>
      <c r="I466" t="s">
        <v>25</v>
      </c>
      <c r="J466" t="s">
        <v>26</v>
      </c>
      <c r="K466" t="s">
        <v>27</v>
      </c>
      <c r="L466" t="s">
        <v>28</v>
      </c>
      <c r="M466">
        <v>20000.71</v>
      </c>
      <c r="N466">
        <v>2020</v>
      </c>
      <c r="O466">
        <v>4</v>
      </c>
    </row>
    <row r="467" spans="1:15" x14ac:dyDescent="0.3">
      <c r="A467" s="1">
        <v>43947</v>
      </c>
      <c r="B467">
        <v>1000000029</v>
      </c>
      <c r="C467" t="s">
        <v>42</v>
      </c>
      <c r="D467">
        <v>1</v>
      </c>
      <c r="E467">
        <v>15000.59</v>
      </c>
      <c r="F467" t="s">
        <v>16</v>
      </c>
      <c r="G467" t="s">
        <v>43</v>
      </c>
      <c r="H467" t="s">
        <v>18</v>
      </c>
      <c r="I467" t="s">
        <v>19</v>
      </c>
      <c r="J467" t="s">
        <v>20</v>
      </c>
      <c r="K467" t="s">
        <v>21</v>
      </c>
      <c r="L467" t="s">
        <v>22</v>
      </c>
      <c r="M467">
        <v>15000.59</v>
      </c>
      <c r="N467">
        <v>2020</v>
      </c>
      <c r="O467">
        <v>4</v>
      </c>
    </row>
    <row r="468" spans="1:15" x14ac:dyDescent="0.3">
      <c r="A468" s="1">
        <v>43947</v>
      </c>
      <c r="B468">
        <v>1000000058</v>
      </c>
      <c r="C468" t="s">
        <v>23</v>
      </c>
      <c r="D468">
        <v>1</v>
      </c>
      <c r="E468">
        <v>10000.24</v>
      </c>
      <c r="F468" t="s">
        <v>16</v>
      </c>
      <c r="G468" t="s">
        <v>24</v>
      </c>
      <c r="H468" t="s">
        <v>18</v>
      </c>
      <c r="I468" t="s">
        <v>34</v>
      </c>
      <c r="J468" t="s">
        <v>20</v>
      </c>
      <c r="K468" t="s">
        <v>44</v>
      </c>
      <c r="L468" t="s">
        <v>22</v>
      </c>
      <c r="M468">
        <v>10000.24</v>
      </c>
      <c r="N468">
        <v>2020</v>
      </c>
      <c r="O468">
        <v>4</v>
      </c>
    </row>
    <row r="469" spans="1:15" x14ac:dyDescent="0.3">
      <c r="A469" s="1">
        <v>43947</v>
      </c>
      <c r="B469">
        <v>1000000049</v>
      </c>
      <c r="C469" t="s">
        <v>42</v>
      </c>
      <c r="D469">
        <v>1</v>
      </c>
      <c r="E469">
        <v>10000.11</v>
      </c>
      <c r="F469" t="s">
        <v>16</v>
      </c>
      <c r="G469" t="s">
        <v>43</v>
      </c>
      <c r="H469" t="s">
        <v>18</v>
      </c>
      <c r="I469" t="s">
        <v>40</v>
      </c>
      <c r="J469" t="s">
        <v>26</v>
      </c>
      <c r="K469" t="s">
        <v>41</v>
      </c>
      <c r="L469" t="s">
        <v>22</v>
      </c>
      <c r="M469">
        <v>10000.11</v>
      </c>
      <c r="N469">
        <v>2020</v>
      </c>
      <c r="O469">
        <v>4</v>
      </c>
    </row>
    <row r="470" spans="1:15" x14ac:dyDescent="0.3">
      <c r="A470" s="1">
        <v>43947</v>
      </c>
      <c r="B470">
        <v>1000000029</v>
      </c>
      <c r="C470" t="s">
        <v>23</v>
      </c>
      <c r="D470">
        <v>1</v>
      </c>
      <c r="E470">
        <v>4000.38</v>
      </c>
      <c r="F470" t="s">
        <v>16</v>
      </c>
      <c r="G470" t="s">
        <v>24</v>
      </c>
      <c r="H470" t="s">
        <v>18</v>
      </c>
      <c r="I470" t="s">
        <v>19</v>
      </c>
      <c r="J470" t="s">
        <v>20</v>
      </c>
      <c r="K470" t="s">
        <v>21</v>
      </c>
      <c r="L470" t="s">
        <v>22</v>
      </c>
      <c r="M470">
        <v>4000.38</v>
      </c>
      <c r="N470">
        <v>2020</v>
      </c>
      <c r="O470">
        <v>4</v>
      </c>
    </row>
    <row r="471" spans="1:15" x14ac:dyDescent="0.3">
      <c r="A471" s="1">
        <v>43947</v>
      </c>
      <c r="B471">
        <v>1000000032</v>
      </c>
      <c r="C471" t="s">
        <v>23</v>
      </c>
      <c r="D471">
        <v>1</v>
      </c>
      <c r="E471">
        <v>500.73</v>
      </c>
      <c r="F471" t="s">
        <v>16</v>
      </c>
      <c r="G471" t="s">
        <v>24</v>
      </c>
      <c r="H471" t="s">
        <v>18</v>
      </c>
      <c r="I471" t="s">
        <v>25</v>
      </c>
      <c r="J471" t="s">
        <v>26</v>
      </c>
      <c r="K471" t="s">
        <v>27</v>
      </c>
      <c r="L471" t="s">
        <v>28</v>
      </c>
      <c r="M471">
        <v>500.73</v>
      </c>
      <c r="N471">
        <v>2020</v>
      </c>
      <c r="O471">
        <v>4</v>
      </c>
    </row>
    <row r="472" spans="1:15" x14ac:dyDescent="0.3">
      <c r="A472" s="1">
        <v>43948</v>
      </c>
      <c r="B472">
        <v>1000000047</v>
      </c>
      <c r="C472" t="s">
        <v>42</v>
      </c>
      <c r="D472">
        <v>1</v>
      </c>
      <c r="E472">
        <v>20000.68</v>
      </c>
      <c r="F472" t="s">
        <v>16</v>
      </c>
      <c r="G472" t="s">
        <v>43</v>
      </c>
      <c r="H472" t="s">
        <v>47</v>
      </c>
      <c r="I472" t="s">
        <v>48</v>
      </c>
      <c r="J472" t="s">
        <v>26</v>
      </c>
      <c r="K472" t="s">
        <v>50</v>
      </c>
      <c r="L472" t="s">
        <v>22</v>
      </c>
      <c r="M472">
        <v>20000.68</v>
      </c>
      <c r="N472">
        <v>2020</v>
      </c>
      <c r="O472">
        <v>4</v>
      </c>
    </row>
    <row r="473" spans="1:15" x14ac:dyDescent="0.3">
      <c r="A473" s="1">
        <v>43948</v>
      </c>
      <c r="B473">
        <v>1000000028</v>
      </c>
      <c r="C473" t="s">
        <v>15</v>
      </c>
      <c r="D473">
        <v>1</v>
      </c>
      <c r="E473">
        <v>2999.95</v>
      </c>
      <c r="F473" t="s">
        <v>16</v>
      </c>
      <c r="G473" t="s">
        <v>17</v>
      </c>
      <c r="H473" t="s">
        <v>18</v>
      </c>
      <c r="I473" t="s">
        <v>19</v>
      </c>
      <c r="J473" t="s">
        <v>20</v>
      </c>
      <c r="K473" t="s">
        <v>21</v>
      </c>
      <c r="L473" t="s">
        <v>22</v>
      </c>
      <c r="M473">
        <v>2999.95</v>
      </c>
      <c r="N473">
        <v>2020</v>
      </c>
      <c r="O473">
        <v>4</v>
      </c>
    </row>
    <row r="474" spans="1:15" x14ac:dyDescent="0.3">
      <c r="A474" s="1">
        <v>43948</v>
      </c>
      <c r="B474">
        <v>1000000031</v>
      </c>
      <c r="C474" t="s">
        <v>23</v>
      </c>
      <c r="D474">
        <v>1</v>
      </c>
      <c r="E474">
        <v>1000.21</v>
      </c>
      <c r="F474" t="s">
        <v>16</v>
      </c>
      <c r="G474" t="s">
        <v>24</v>
      </c>
      <c r="H474" t="s">
        <v>18</v>
      </c>
      <c r="I474" t="s">
        <v>19</v>
      </c>
      <c r="J474" t="s">
        <v>26</v>
      </c>
      <c r="K474" t="s">
        <v>29</v>
      </c>
      <c r="L474" t="s">
        <v>28</v>
      </c>
      <c r="M474">
        <v>1000.21</v>
      </c>
      <c r="N474">
        <v>2020</v>
      </c>
      <c r="O474">
        <v>4</v>
      </c>
    </row>
    <row r="475" spans="1:15" x14ac:dyDescent="0.3">
      <c r="A475" s="1">
        <v>43949</v>
      </c>
      <c r="B475">
        <v>1000000067</v>
      </c>
      <c r="C475" t="s">
        <v>15</v>
      </c>
      <c r="D475">
        <v>3</v>
      </c>
      <c r="E475">
        <v>40000.78</v>
      </c>
      <c r="F475" t="s">
        <v>16</v>
      </c>
      <c r="G475" t="s">
        <v>17</v>
      </c>
      <c r="H475" t="s">
        <v>18</v>
      </c>
      <c r="I475" t="s">
        <v>25</v>
      </c>
      <c r="J475" t="s">
        <v>20</v>
      </c>
      <c r="K475" t="s">
        <v>51</v>
      </c>
      <c r="L475" t="s">
        <v>22</v>
      </c>
      <c r="M475">
        <v>13333.593333333332</v>
      </c>
      <c r="N475">
        <v>2020</v>
      </c>
      <c r="O475">
        <v>4</v>
      </c>
    </row>
    <row r="476" spans="1:15" x14ac:dyDescent="0.3">
      <c r="A476" s="1">
        <v>43949</v>
      </c>
      <c r="B476">
        <v>1000000237</v>
      </c>
      <c r="C476" t="s">
        <v>15</v>
      </c>
      <c r="D476">
        <v>1</v>
      </c>
      <c r="E476">
        <v>17000.43</v>
      </c>
      <c r="F476" t="s">
        <v>16</v>
      </c>
      <c r="G476" t="s">
        <v>17</v>
      </c>
      <c r="H476" t="s">
        <v>18</v>
      </c>
      <c r="I476" t="s">
        <v>40</v>
      </c>
      <c r="J476" t="s">
        <v>26</v>
      </c>
      <c r="K476" t="s">
        <v>41</v>
      </c>
      <c r="L476" t="s">
        <v>22</v>
      </c>
      <c r="M476">
        <v>17000.43</v>
      </c>
      <c r="N476">
        <v>2020</v>
      </c>
      <c r="O476">
        <v>4</v>
      </c>
    </row>
    <row r="477" spans="1:15" x14ac:dyDescent="0.3">
      <c r="A477" s="1">
        <v>43949</v>
      </c>
      <c r="B477">
        <v>1000000029</v>
      </c>
      <c r="C477" t="s">
        <v>23</v>
      </c>
      <c r="D477">
        <v>1</v>
      </c>
      <c r="E477">
        <v>16000.63</v>
      </c>
      <c r="F477" t="s">
        <v>16</v>
      </c>
      <c r="G477" t="s">
        <v>24</v>
      </c>
      <c r="H477" t="s">
        <v>18</v>
      </c>
      <c r="I477" t="s">
        <v>19</v>
      </c>
      <c r="J477" t="s">
        <v>20</v>
      </c>
      <c r="K477" t="s">
        <v>21</v>
      </c>
      <c r="L477" t="s">
        <v>22</v>
      </c>
      <c r="M477">
        <v>16000.63</v>
      </c>
      <c r="N477">
        <v>2020</v>
      </c>
      <c r="O477">
        <v>4</v>
      </c>
    </row>
    <row r="478" spans="1:15" x14ac:dyDescent="0.3">
      <c r="A478" s="1">
        <v>43949</v>
      </c>
      <c r="B478">
        <v>1000000056</v>
      </c>
      <c r="C478" t="s">
        <v>23</v>
      </c>
      <c r="D478">
        <v>1</v>
      </c>
      <c r="E478">
        <v>15000.22</v>
      </c>
      <c r="F478" t="s">
        <v>16</v>
      </c>
      <c r="G478" t="s">
        <v>24</v>
      </c>
      <c r="H478" t="s">
        <v>18</v>
      </c>
      <c r="I478" t="s">
        <v>34</v>
      </c>
      <c r="J478" t="s">
        <v>26</v>
      </c>
      <c r="K478" t="s">
        <v>35</v>
      </c>
      <c r="L478" t="s">
        <v>28</v>
      </c>
      <c r="M478">
        <v>15000.22</v>
      </c>
      <c r="N478">
        <v>2020</v>
      </c>
      <c r="O478">
        <v>4</v>
      </c>
    </row>
    <row r="479" spans="1:15" x14ac:dyDescent="0.3">
      <c r="A479" s="1">
        <v>43949</v>
      </c>
      <c r="B479">
        <v>1000000576</v>
      </c>
      <c r="C479" t="s">
        <v>42</v>
      </c>
      <c r="D479">
        <v>1</v>
      </c>
      <c r="E479">
        <v>14000.35</v>
      </c>
      <c r="F479" t="s">
        <v>16</v>
      </c>
      <c r="G479" t="s">
        <v>43</v>
      </c>
      <c r="H479" t="s">
        <v>18</v>
      </c>
      <c r="I479" t="s">
        <v>25</v>
      </c>
      <c r="J479" t="s">
        <v>36</v>
      </c>
      <c r="K479" t="s">
        <v>37</v>
      </c>
      <c r="L479" t="s">
        <v>22</v>
      </c>
      <c r="M479">
        <v>14000.35</v>
      </c>
      <c r="N479">
        <v>2020</v>
      </c>
      <c r="O479">
        <v>4</v>
      </c>
    </row>
    <row r="480" spans="1:15" x14ac:dyDescent="0.3">
      <c r="A480" s="1">
        <v>43949</v>
      </c>
      <c r="B480">
        <v>1000000237</v>
      </c>
      <c r="C480" t="s">
        <v>42</v>
      </c>
      <c r="D480">
        <v>1</v>
      </c>
      <c r="E480">
        <v>13000.36</v>
      </c>
      <c r="F480" t="s">
        <v>16</v>
      </c>
      <c r="G480" t="s">
        <v>43</v>
      </c>
      <c r="H480" t="s">
        <v>18</v>
      </c>
      <c r="I480" t="s">
        <v>40</v>
      </c>
      <c r="J480" t="s">
        <v>26</v>
      </c>
      <c r="K480" t="s">
        <v>41</v>
      </c>
      <c r="L480" t="s">
        <v>22</v>
      </c>
      <c r="M480">
        <v>13000.36</v>
      </c>
      <c r="N480">
        <v>2020</v>
      </c>
      <c r="O480">
        <v>4</v>
      </c>
    </row>
    <row r="481" spans="1:15" x14ac:dyDescent="0.3">
      <c r="A481" s="1">
        <v>43949</v>
      </c>
      <c r="B481">
        <v>1000000067</v>
      </c>
      <c r="C481" t="s">
        <v>42</v>
      </c>
      <c r="D481">
        <v>1</v>
      </c>
      <c r="E481">
        <v>11000.33</v>
      </c>
      <c r="F481" t="s">
        <v>16</v>
      </c>
      <c r="G481" t="s">
        <v>43</v>
      </c>
      <c r="H481" t="s">
        <v>18</v>
      </c>
      <c r="I481" t="s">
        <v>25</v>
      </c>
      <c r="J481" t="s">
        <v>20</v>
      </c>
      <c r="K481" t="s">
        <v>51</v>
      </c>
      <c r="L481" t="s">
        <v>22</v>
      </c>
      <c r="M481">
        <v>11000.33</v>
      </c>
      <c r="N481">
        <v>2020</v>
      </c>
      <c r="O481">
        <v>4</v>
      </c>
    </row>
    <row r="482" spans="1:15" x14ac:dyDescent="0.3">
      <c r="A482" s="1">
        <v>43949</v>
      </c>
      <c r="B482">
        <v>1000000054</v>
      </c>
      <c r="C482" t="s">
        <v>23</v>
      </c>
      <c r="D482">
        <v>1</v>
      </c>
      <c r="E482">
        <v>10000.19</v>
      </c>
      <c r="F482" t="s">
        <v>16</v>
      </c>
      <c r="G482" t="s">
        <v>24</v>
      </c>
      <c r="H482" t="s">
        <v>18</v>
      </c>
      <c r="I482" t="s">
        <v>34</v>
      </c>
      <c r="J482" t="s">
        <v>26</v>
      </c>
      <c r="K482" t="s">
        <v>35</v>
      </c>
      <c r="L482" t="s">
        <v>22</v>
      </c>
      <c r="M482">
        <v>10000.19</v>
      </c>
      <c r="N482">
        <v>2020</v>
      </c>
      <c r="O482">
        <v>4</v>
      </c>
    </row>
    <row r="483" spans="1:15" x14ac:dyDescent="0.3">
      <c r="A483" s="1">
        <v>43949</v>
      </c>
      <c r="B483">
        <v>1000000044</v>
      </c>
      <c r="C483" t="s">
        <v>15</v>
      </c>
      <c r="D483">
        <v>1</v>
      </c>
      <c r="E483">
        <v>10000.15</v>
      </c>
      <c r="F483" t="s">
        <v>16</v>
      </c>
      <c r="G483" t="s">
        <v>17</v>
      </c>
      <c r="H483" t="s">
        <v>30</v>
      </c>
      <c r="I483" t="s">
        <v>31</v>
      </c>
      <c r="J483" t="s">
        <v>36</v>
      </c>
      <c r="K483" t="s">
        <v>52</v>
      </c>
      <c r="L483" t="s">
        <v>28</v>
      </c>
      <c r="M483">
        <v>10000.15</v>
      </c>
      <c r="N483">
        <v>2020</v>
      </c>
      <c r="O483">
        <v>4</v>
      </c>
    </row>
    <row r="484" spans="1:15" x14ac:dyDescent="0.3">
      <c r="A484" s="1">
        <v>43949</v>
      </c>
      <c r="B484">
        <v>1000000030</v>
      </c>
      <c r="C484" t="s">
        <v>15</v>
      </c>
      <c r="D484">
        <v>1</v>
      </c>
      <c r="E484">
        <v>5000.3999999999996</v>
      </c>
      <c r="F484" t="s">
        <v>16</v>
      </c>
      <c r="G484" t="s">
        <v>17</v>
      </c>
      <c r="H484" t="s">
        <v>47</v>
      </c>
      <c r="I484" t="s">
        <v>48</v>
      </c>
      <c r="J484" t="s">
        <v>36</v>
      </c>
      <c r="K484" t="s">
        <v>49</v>
      </c>
      <c r="L484" t="s">
        <v>22</v>
      </c>
      <c r="M484">
        <v>5000.3999999999996</v>
      </c>
      <c r="N484">
        <v>2020</v>
      </c>
      <c r="O484">
        <v>4</v>
      </c>
    </row>
    <row r="485" spans="1:15" x14ac:dyDescent="0.3">
      <c r="A485" s="1">
        <v>43949</v>
      </c>
      <c r="B485">
        <v>1000000057</v>
      </c>
      <c r="C485" t="s">
        <v>42</v>
      </c>
      <c r="D485">
        <v>1</v>
      </c>
      <c r="E485">
        <v>5000.1400000000003</v>
      </c>
      <c r="F485" t="s">
        <v>16</v>
      </c>
      <c r="G485" t="s">
        <v>43</v>
      </c>
      <c r="H485" t="s">
        <v>18</v>
      </c>
      <c r="I485" t="s">
        <v>34</v>
      </c>
      <c r="J485" t="s">
        <v>20</v>
      </c>
      <c r="K485" t="s">
        <v>44</v>
      </c>
      <c r="L485" t="s">
        <v>22</v>
      </c>
      <c r="M485">
        <v>5000.1400000000003</v>
      </c>
      <c r="N485">
        <v>2020</v>
      </c>
      <c r="O485">
        <v>4</v>
      </c>
    </row>
    <row r="486" spans="1:15" x14ac:dyDescent="0.3">
      <c r="A486" s="1">
        <v>43949</v>
      </c>
      <c r="B486">
        <v>1000000043</v>
      </c>
      <c r="C486" t="s">
        <v>15</v>
      </c>
      <c r="D486">
        <v>1</v>
      </c>
      <c r="E486">
        <v>3000.1</v>
      </c>
      <c r="F486" t="s">
        <v>16</v>
      </c>
      <c r="G486" t="s">
        <v>17</v>
      </c>
      <c r="H486" t="s">
        <v>30</v>
      </c>
      <c r="I486" t="s">
        <v>38</v>
      </c>
      <c r="J486" t="s">
        <v>26</v>
      </c>
      <c r="K486" t="s">
        <v>39</v>
      </c>
      <c r="L486" t="s">
        <v>22</v>
      </c>
      <c r="M486">
        <v>3000.1</v>
      </c>
      <c r="N486">
        <v>2020</v>
      </c>
      <c r="O486">
        <v>4</v>
      </c>
    </row>
    <row r="487" spans="1:15" x14ac:dyDescent="0.3">
      <c r="A487" s="1">
        <v>43949</v>
      </c>
      <c r="B487">
        <v>1000000028</v>
      </c>
      <c r="C487" t="s">
        <v>23</v>
      </c>
      <c r="D487">
        <v>1</v>
      </c>
      <c r="E487">
        <v>2000.06</v>
      </c>
      <c r="F487" t="s">
        <v>16</v>
      </c>
      <c r="G487" t="s">
        <v>24</v>
      </c>
      <c r="H487" t="s">
        <v>18</v>
      </c>
      <c r="I487" t="s">
        <v>19</v>
      </c>
      <c r="J487" t="s">
        <v>20</v>
      </c>
      <c r="K487" t="s">
        <v>21</v>
      </c>
      <c r="L487" t="s">
        <v>22</v>
      </c>
      <c r="M487">
        <v>2000.06</v>
      </c>
      <c r="N487">
        <v>2020</v>
      </c>
      <c r="O487">
        <v>4</v>
      </c>
    </row>
    <row r="488" spans="1:15" x14ac:dyDescent="0.3">
      <c r="A488" s="1">
        <v>43949</v>
      </c>
      <c r="B488">
        <v>1000000044</v>
      </c>
      <c r="C488" t="s">
        <v>23</v>
      </c>
      <c r="D488">
        <v>1</v>
      </c>
      <c r="E488">
        <v>1572.72</v>
      </c>
      <c r="F488" t="s">
        <v>16</v>
      </c>
      <c r="G488" t="s">
        <v>24</v>
      </c>
      <c r="H488" t="s">
        <v>30</v>
      </c>
      <c r="I488" t="s">
        <v>31</v>
      </c>
      <c r="J488" t="s">
        <v>36</v>
      </c>
      <c r="K488" t="s">
        <v>52</v>
      </c>
      <c r="L488" t="s">
        <v>28</v>
      </c>
      <c r="M488">
        <v>1572.72</v>
      </c>
      <c r="N488">
        <v>2020</v>
      </c>
      <c r="O488">
        <v>4</v>
      </c>
    </row>
    <row r="489" spans="1:15" x14ac:dyDescent="0.3">
      <c r="A489" s="1">
        <v>43950</v>
      </c>
      <c r="B489">
        <v>1000000237</v>
      </c>
      <c r="C489" t="s">
        <v>42</v>
      </c>
      <c r="D489">
        <v>2</v>
      </c>
      <c r="E489">
        <v>35001.339999999997</v>
      </c>
      <c r="F489" t="s">
        <v>16</v>
      </c>
      <c r="G489" t="s">
        <v>43</v>
      </c>
      <c r="H489" t="s">
        <v>18</v>
      </c>
      <c r="I489" t="s">
        <v>40</v>
      </c>
      <c r="J489" t="s">
        <v>26</v>
      </c>
      <c r="K489" t="s">
        <v>41</v>
      </c>
      <c r="L489" t="s">
        <v>22</v>
      </c>
      <c r="M489">
        <v>17500.669999999998</v>
      </c>
      <c r="N489">
        <v>2020</v>
      </c>
      <c r="O489">
        <v>4</v>
      </c>
    </row>
    <row r="490" spans="1:15" x14ac:dyDescent="0.3">
      <c r="A490" s="1">
        <v>43950</v>
      </c>
      <c r="B490">
        <v>1000000040</v>
      </c>
      <c r="C490" t="s">
        <v>15</v>
      </c>
      <c r="D490">
        <v>3</v>
      </c>
      <c r="E490">
        <v>33500.199999999997</v>
      </c>
      <c r="F490" t="s">
        <v>16</v>
      </c>
      <c r="G490" t="s">
        <v>17</v>
      </c>
      <c r="H490" t="s">
        <v>30</v>
      </c>
      <c r="I490" t="s">
        <v>31</v>
      </c>
      <c r="J490" t="s">
        <v>32</v>
      </c>
      <c r="K490" t="s">
        <v>33</v>
      </c>
      <c r="L490" t="s">
        <v>28</v>
      </c>
      <c r="M490">
        <v>11166.733333333332</v>
      </c>
      <c r="N490">
        <v>2020</v>
      </c>
      <c r="O490">
        <v>4</v>
      </c>
    </row>
    <row r="491" spans="1:15" x14ac:dyDescent="0.3">
      <c r="A491" s="1">
        <v>43950</v>
      </c>
      <c r="B491">
        <v>1000000067</v>
      </c>
      <c r="C491" t="s">
        <v>42</v>
      </c>
      <c r="D491">
        <v>1</v>
      </c>
      <c r="E491">
        <v>23000.15</v>
      </c>
      <c r="F491" t="s">
        <v>16</v>
      </c>
      <c r="G491" t="s">
        <v>43</v>
      </c>
      <c r="H491" t="s">
        <v>18</v>
      </c>
      <c r="I491" t="s">
        <v>25</v>
      </c>
      <c r="J491" t="s">
        <v>20</v>
      </c>
      <c r="K491" t="s">
        <v>51</v>
      </c>
      <c r="L491" t="s">
        <v>22</v>
      </c>
      <c r="M491">
        <v>23000.15</v>
      </c>
      <c r="N491">
        <v>2020</v>
      </c>
      <c r="O491">
        <v>4</v>
      </c>
    </row>
    <row r="492" spans="1:15" x14ac:dyDescent="0.3">
      <c r="A492" s="1">
        <v>43950</v>
      </c>
      <c r="B492">
        <v>1000000052</v>
      </c>
      <c r="C492" t="s">
        <v>15</v>
      </c>
      <c r="D492">
        <v>2</v>
      </c>
      <c r="E492">
        <v>20000.84</v>
      </c>
      <c r="F492" t="s">
        <v>16</v>
      </c>
      <c r="G492" t="s">
        <v>17</v>
      </c>
      <c r="H492" t="s">
        <v>18</v>
      </c>
      <c r="I492" t="s">
        <v>34</v>
      </c>
      <c r="J492" t="s">
        <v>20</v>
      </c>
      <c r="K492" t="s">
        <v>44</v>
      </c>
      <c r="L492" t="s">
        <v>22</v>
      </c>
      <c r="M492">
        <v>10000.42</v>
      </c>
      <c r="N492">
        <v>2020</v>
      </c>
      <c r="O492">
        <v>4</v>
      </c>
    </row>
    <row r="493" spans="1:15" x14ac:dyDescent="0.3">
      <c r="A493" s="1">
        <v>43950</v>
      </c>
      <c r="B493">
        <v>1000000044</v>
      </c>
      <c r="C493" t="s">
        <v>23</v>
      </c>
      <c r="D493">
        <v>2</v>
      </c>
      <c r="E493">
        <v>20000.78</v>
      </c>
      <c r="F493" t="s">
        <v>16</v>
      </c>
      <c r="G493" t="s">
        <v>24</v>
      </c>
      <c r="H493" t="s">
        <v>30</v>
      </c>
      <c r="I493" t="s">
        <v>31</v>
      </c>
      <c r="J493" t="s">
        <v>36</v>
      </c>
      <c r="K493" t="s">
        <v>52</v>
      </c>
      <c r="L493" t="s">
        <v>28</v>
      </c>
      <c r="M493">
        <v>10000.39</v>
      </c>
      <c r="N493">
        <v>2020</v>
      </c>
      <c r="O493">
        <v>4</v>
      </c>
    </row>
    <row r="494" spans="1:15" x14ac:dyDescent="0.3">
      <c r="A494" s="1">
        <v>43950</v>
      </c>
      <c r="B494">
        <v>1000000046</v>
      </c>
      <c r="C494" t="s">
        <v>23</v>
      </c>
      <c r="D494">
        <v>1</v>
      </c>
      <c r="E494">
        <v>18000.689999999999</v>
      </c>
      <c r="F494" t="s">
        <v>16</v>
      </c>
      <c r="G494" t="s">
        <v>24</v>
      </c>
      <c r="H494" t="s">
        <v>30</v>
      </c>
      <c r="I494" t="s">
        <v>38</v>
      </c>
      <c r="J494" t="s">
        <v>26</v>
      </c>
      <c r="K494" t="s">
        <v>39</v>
      </c>
      <c r="L494" t="s">
        <v>22</v>
      </c>
      <c r="M494">
        <v>18000.689999999999</v>
      </c>
      <c r="N494">
        <v>2020</v>
      </c>
      <c r="O494">
        <v>4</v>
      </c>
    </row>
    <row r="495" spans="1:15" x14ac:dyDescent="0.3">
      <c r="A495" s="1">
        <v>43950</v>
      </c>
      <c r="B495">
        <v>1000000039</v>
      </c>
      <c r="C495" t="s">
        <v>15</v>
      </c>
      <c r="D495">
        <v>1</v>
      </c>
      <c r="E495">
        <v>10000.73</v>
      </c>
      <c r="F495" t="s">
        <v>16</v>
      </c>
      <c r="G495" t="s">
        <v>17</v>
      </c>
      <c r="H495" t="s">
        <v>18</v>
      </c>
      <c r="I495" t="s">
        <v>25</v>
      </c>
      <c r="J495" t="s">
        <v>20</v>
      </c>
      <c r="K495" t="s">
        <v>51</v>
      </c>
      <c r="L495" t="s">
        <v>28</v>
      </c>
      <c r="M495">
        <v>10000.73</v>
      </c>
      <c r="N495">
        <v>2020</v>
      </c>
      <c r="O495">
        <v>4</v>
      </c>
    </row>
    <row r="496" spans="1:15" x14ac:dyDescent="0.3">
      <c r="A496" s="1">
        <v>43950</v>
      </c>
      <c r="B496">
        <v>1000000039</v>
      </c>
      <c r="C496" t="s">
        <v>23</v>
      </c>
      <c r="D496">
        <v>1</v>
      </c>
      <c r="E496">
        <v>10000.370000000001</v>
      </c>
      <c r="F496" t="s">
        <v>16</v>
      </c>
      <c r="G496" t="s">
        <v>24</v>
      </c>
      <c r="H496" t="s">
        <v>18</v>
      </c>
      <c r="I496" t="s">
        <v>25</v>
      </c>
      <c r="J496" t="s">
        <v>20</v>
      </c>
      <c r="K496" t="s">
        <v>51</v>
      </c>
      <c r="L496" t="s">
        <v>28</v>
      </c>
      <c r="M496">
        <v>10000.370000000001</v>
      </c>
      <c r="N496">
        <v>2020</v>
      </c>
      <c r="O496">
        <v>4</v>
      </c>
    </row>
    <row r="497" spans="1:15" x14ac:dyDescent="0.3">
      <c r="A497" s="1">
        <v>43950</v>
      </c>
      <c r="B497">
        <v>1000000032</v>
      </c>
      <c r="C497" t="s">
        <v>15</v>
      </c>
      <c r="D497">
        <v>2</v>
      </c>
      <c r="E497">
        <v>8330.4600000000009</v>
      </c>
      <c r="F497" t="s">
        <v>16</v>
      </c>
      <c r="G497" t="s">
        <v>17</v>
      </c>
      <c r="H497" t="s">
        <v>18</v>
      </c>
      <c r="I497" t="s">
        <v>25</v>
      </c>
      <c r="J497" t="s">
        <v>26</v>
      </c>
      <c r="K497" t="s">
        <v>27</v>
      </c>
      <c r="L497" t="s">
        <v>28</v>
      </c>
      <c r="M497">
        <v>4165.2300000000005</v>
      </c>
      <c r="N497">
        <v>2020</v>
      </c>
      <c r="O497">
        <v>4</v>
      </c>
    </row>
    <row r="498" spans="1:15" x14ac:dyDescent="0.3">
      <c r="A498" s="1">
        <v>43950</v>
      </c>
      <c r="B498">
        <v>1000000029</v>
      </c>
      <c r="C498" t="s">
        <v>15</v>
      </c>
      <c r="D498">
        <v>1</v>
      </c>
      <c r="E498">
        <v>7999.97</v>
      </c>
      <c r="F498" t="s">
        <v>16</v>
      </c>
      <c r="G498" t="s">
        <v>17</v>
      </c>
      <c r="H498" t="s">
        <v>18</v>
      </c>
      <c r="I498" t="s">
        <v>19</v>
      </c>
      <c r="J498" t="s">
        <v>20</v>
      </c>
      <c r="K498" t="s">
        <v>21</v>
      </c>
      <c r="L498" t="s">
        <v>22</v>
      </c>
      <c r="M498">
        <v>7999.97</v>
      </c>
      <c r="N498">
        <v>2020</v>
      </c>
      <c r="O498">
        <v>4</v>
      </c>
    </row>
    <row r="499" spans="1:15" x14ac:dyDescent="0.3">
      <c r="A499" s="1">
        <v>43950</v>
      </c>
      <c r="B499">
        <v>1000000030</v>
      </c>
      <c r="C499" t="s">
        <v>15</v>
      </c>
      <c r="D499">
        <v>1</v>
      </c>
      <c r="E499">
        <v>6000.22</v>
      </c>
      <c r="F499" t="s">
        <v>16</v>
      </c>
      <c r="G499" t="s">
        <v>17</v>
      </c>
      <c r="H499" t="s">
        <v>47</v>
      </c>
      <c r="I499" t="s">
        <v>48</v>
      </c>
      <c r="J499" t="s">
        <v>36</v>
      </c>
      <c r="K499" t="s">
        <v>49</v>
      </c>
      <c r="L499" t="s">
        <v>22</v>
      </c>
      <c r="M499">
        <v>6000.22</v>
      </c>
      <c r="N499">
        <v>2020</v>
      </c>
      <c r="O499">
        <v>4</v>
      </c>
    </row>
    <row r="500" spans="1:15" x14ac:dyDescent="0.3">
      <c r="A500" s="1">
        <v>43950</v>
      </c>
      <c r="B500">
        <v>1000000031</v>
      </c>
      <c r="C500" t="s">
        <v>23</v>
      </c>
      <c r="D500">
        <v>1</v>
      </c>
      <c r="E500">
        <v>2999.93</v>
      </c>
      <c r="F500" t="s">
        <v>16</v>
      </c>
      <c r="G500" t="s">
        <v>24</v>
      </c>
      <c r="H500" t="s">
        <v>18</v>
      </c>
      <c r="I500" t="s">
        <v>19</v>
      </c>
      <c r="J500" t="s">
        <v>26</v>
      </c>
      <c r="K500" t="s">
        <v>29</v>
      </c>
      <c r="L500" t="s">
        <v>28</v>
      </c>
      <c r="M500">
        <v>2999.93</v>
      </c>
      <c r="N500">
        <v>2020</v>
      </c>
      <c r="O500">
        <v>4</v>
      </c>
    </row>
    <row r="501" spans="1:15" x14ac:dyDescent="0.3">
      <c r="A501" s="1">
        <v>43950</v>
      </c>
      <c r="B501">
        <v>1000000052</v>
      </c>
      <c r="C501" t="s">
        <v>23</v>
      </c>
      <c r="D501">
        <v>1</v>
      </c>
      <c r="E501">
        <v>1257.27</v>
      </c>
      <c r="F501" t="s">
        <v>16</v>
      </c>
      <c r="G501" t="s">
        <v>24</v>
      </c>
      <c r="H501" t="s">
        <v>18</v>
      </c>
      <c r="I501" t="s">
        <v>34</v>
      </c>
      <c r="J501" t="s">
        <v>20</v>
      </c>
      <c r="K501" t="s">
        <v>44</v>
      </c>
      <c r="L501" t="s">
        <v>22</v>
      </c>
      <c r="M501">
        <v>1257.27</v>
      </c>
      <c r="N501">
        <v>2020</v>
      </c>
      <c r="O501">
        <v>4</v>
      </c>
    </row>
    <row r="502" spans="1:15" x14ac:dyDescent="0.3">
      <c r="A502" s="1">
        <v>43951</v>
      </c>
      <c r="B502">
        <v>1000000029</v>
      </c>
      <c r="C502" t="s">
        <v>15</v>
      </c>
      <c r="D502">
        <v>3</v>
      </c>
      <c r="E502">
        <v>37000.31</v>
      </c>
      <c r="F502" t="s">
        <v>16</v>
      </c>
      <c r="G502" t="s">
        <v>17</v>
      </c>
      <c r="H502" t="s">
        <v>18</v>
      </c>
      <c r="I502" t="s">
        <v>19</v>
      </c>
      <c r="J502" t="s">
        <v>20</v>
      </c>
      <c r="K502" t="s">
        <v>21</v>
      </c>
      <c r="L502" t="s">
        <v>22</v>
      </c>
      <c r="M502">
        <v>12333.436666666666</v>
      </c>
      <c r="N502">
        <v>2020</v>
      </c>
      <c r="O502">
        <v>4</v>
      </c>
    </row>
    <row r="503" spans="1:15" x14ac:dyDescent="0.3">
      <c r="A503" s="1">
        <v>43951</v>
      </c>
      <c r="B503">
        <v>1000001513</v>
      </c>
      <c r="C503" t="s">
        <v>23</v>
      </c>
      <c r="D503">
        <v>2</v>
      </c>
      <c r="E503">
        <v>31000.959999999999</v>
      </c>
      <c r="F503" t="s">
        <v>16</v>
      </c>
      <c r="G503" t="s">
        <v>24</v>
      </c>
      <c r="H503" t="s">
        <v>18</v>
      </c>
      <c r="I503" t="s">
        <v>34</v>
      </c>
      <c r="J503" t="s">
        <v>20</v>
      </c>
      <c r="K503" t="s">
        <v>44</v>
      </c>
      <c r="L503" t="s">
        <v>22</v>
      </c>
      <c r="M503">
        <v>15500.48</v>
      </c>
      <c r="N503">
        <v>2020</v>
      </c>
      <c r="O503">
        <v>4</v>
      </c>
    </row>
    <row r="504" spans="1:15" x14ac:dyDescent="0.3">
      <c r="A504" s="1">
        <v>43951</v>
      </c>
      <c r="B504">
        <v>1000000237</v>
      </c>
      <c r="C504" t="s">
        <v>42</v>
      </c>
      <c r="D504">
        <v>2</v>
      </c>
      <c r="E504">
        <v>30000.65</v>
      </c>
      <c r="F504" t="s">
        <v>16</v>
      </c>
      <c r="G504" t="s">
        <v>43</v>
      </c>
      <c r="H504" t="s">
        <v>18</v>
      </c>
      <c r="I504" t="s">
        <v>40</v>
      </c>
      <c r="J504" t="s">
        <v>26</v>
      </c>
      <c r="K504" t="s">
        <v>41</v>
      </c>
      <c r="L504" t="s">
        <v>22</v>
      </c>
      <c r="M504">
        <v>15000.325000000001</v>
      </c>
      <c r="N504">
        <v>2020</v>
      </c>
      <c r="O504">
        <v>4</v>
      </c>
    </row>
    <row r="505" spans="1:15" x14ac:dyDescent="0.3">
      <c r="A505" s="1">
        <v>43951</v>
      </c>
      <c r="B505">
        <v>1000000237</v>
      </c>
      <c r="C505" t="s">
        <v>15</v>
      </c>
      <c r="D505">
        <v>2</v>
      </c>
      <c r="E505">
        <v>20500.87</v>
      </c>
      <c r="F505" t="s">
        <v>16</v>
      </c>
      <c r="G505" t="s">
        <v>17</v>
      </c>
      <c r="H505" t="s">
        <v>18</v>
      </c>
      <c r="I505" t="s">
        <v>40</v>
      </c>
      <c r="J505" t="s">
        <v>26</v>
      </c>
      <c r="K505" t="s">
        <v>41</v>
      </c>
      <c r="L505" t="s">
        <v>22</v>
      </c>
      <c r="M505">
        <v>10250.434999999999</v>
      </c>
      <c r="N505">
        <v>2020</v>
      </c>
      <c r="O505">
        <v>4</v>
      </c>
    </row>
    <row r="506" spans="1:15" x14ac:dyDescent="0.3">
      <c r="A506" s="1">
        <v>43951</v>
      </c>
      <c r="B506">
        <v>1000000045</v>
      </c>
      <c r="C506" t="s">
        <v>23</v>
      </c>
      <c r="D506">
        <v>1</v>
      </c>
      <c r="E506">
        <v>20000.07</v>
      </c>
      <c r="F506" t="s">
        <v>16</v>
      </c>
      <c r="G506" t="s">
        <v>24</v>
      </c>
      <c r="H506" t="s">
        <v>47</v>
      </c>
      <c r="I506" t="s">
        <v>59</v>
      </c>
      <c r="J506" t="s">
        <v>26</v>
      </c>
      <c r="K506" t="s">
        <v>60</v>
      </c>
      <c r="L506" t="s">
        <v>22</v>
      </c>
      <c r="M506">
        <v>20000.07</v>
      </c>
      <c r="N506">
        <v>2020</v>
      </c>
      <c r="O506">
        <v>4</v>
      </c>
    </row>
    <row r="507" spans="1:15" x14ac:dyDescent="0.3">
      <c r="A507" s="1">
        <v>43951</v>
      </c>
      <c r="B507">
        <v>1000000036</v>
      </c>
      <c r="C507" t="s">
        <v>15</v>
      </c>
      <c r="D507">
        <v>1</v>
      </c>
      <c r="E507">
        <v>18000.03</v>
      </c>
      <c r="F507" t="s">
        <v>16</v>
      </c>
      <c r="G507" t="s">
        <v>17</v>
      </c>
      <c r="H507" t="s">
        <v>47</v>
      </c>
      <c r="I507" t="s">
        <v>48</v>
      </c>
      <c r="J507" t="s">
        <v>36</v>
      </c>
      <c r="K507" t="s">
        <v>49</v>
      </c>
      <c r="L507" t="s">
        <v>28</v>
      </c>
      <c r="M507">
        <v>18000.03</v>
      </c>
      <c r="N507">
        <v>2020</v>
      </c>
      <c r="O507">
        <v>4</v>
      </c>
    </row>
    <row r="508" spans="1:15" x14ac:dyDescent="0.3">
      <c r="A508" s="1">
        <v>43951</v>
      </c>
      <c r="B508">
        <v>1000000928</v>
      </c>
      <c r="C508" t="s">
        <v>15</v>
      </c>
      <c r="D508">
        <v>1</v>
      </c>
      <c r="E508">
        <v>17000.48</v>
      </c>
      <c r="F508" t="s">
        <v>16</v>
      </c>
      <c r="G508" t="s">
        <v>17</v>
      </c>
      <c r="H508" t="s">
        <v>30</v>
      </c>
      <c r="I508" t="s">
        <v>57</v>
      </c>
      <c r="J508" t="s">
        <v>26</v>
      </c>
      <c r="K508" t="s">
        <v>58</v>
      </c>
      <c r="L508" t="s">
        <v>22</v>
      </c>
      <c r="M508">
        <v>17000.48</v>
      </c>
      <c r="N508">
        <v>2020</v>
      </c>
      <c r="O508">
        <v>4</v>
      </c>
    </row>
    <row r="509" spans="1:15" x14ac:dyDescent="0.3">
      <c r="A509" s="1">
        <v>43951</v>
      </c>
      <c r="B509">
        <v>1000000045</v>
      </c>
      <c r="C509" t="s">
        <v>15</v>
      </c>
      <c r="D509">
        <v>1</v>
      </c>
      <c r="E509">
        <v>12000.38</v>
      </c>
      <c r="F509" t="s">
        <v>16</v>
      </c>
      <c r="G509" t="s">
        <v>17</v>
      </c>
      <c r="H509" t="s">
        <v>47</v>
      </c>
      <c r="I509" t="s">
        <v>59</v>
      </c>
      <c r="J509" t="s">
        <v>26</v>
      </c>
      <c r="K509" t="s">
        <v>60</v>
      </c>
      <c r="L509" t="s">
        <v>22</v>
      </c>
      <c r="M509">
        <v>12000.38</v>
      </c>
      <c r="N509">
        <v>2020</v>
      </c>
      <c r="O509">
        <v>4</v>
      </c>
    </row>
    <row r="510" spans="1:15" x14ac:dyDescent="0.3">
      <c r="A510" s="1">
        <v>43951</v>
      </c>
      <c r="B510">
        <v>1000000050</v>
      </c>
      <c r="C510" t="s">
        <v>42</v>
      </c>
      <c r="D510">
        <v>1</v>
      </c>
      <c r="E510">
        <v>11000.73</v>
      </c>
      <c r="F510" t="s">
        <v>16</v>
      </c>
      <c r="G510" t="s">
        <v>43</v>
      </c>
      <c r="H510" t="s">
        <v>18</v>
      </c>
      <c r="I510" t="s">
        <v>40</v>
      </c>
      <c r="J510" t="s">
        <v>26</v>
      </c>
      <c r="K510" t="s">
        <v>41</v>
      </c>
      <c r="L510" t="s">
        <v>22</v>
      </c>
      <c r="M510">
        <v>11000.73</v>
      </c>
      <c r="N510">
        <v>2020</v>
      </c>
      <c r="O510">
        <v>4</v>
      </c>
    </row>
    <row r="511" spans="1:15" x14ac:dyDescent="0.3">
      <c r="A511" s="1">
        <v>43951</v>
      </c>
      <c r="B511">
        <v>1000000040</v>
      </c>
      <c r="C511" t="s">
        <v>15</v>
      </c>
      <c r="D511">
        <v>1</v>
      </c>
      <c r="E511">
        <v>11000.38</v>
      </c>
      <c r="F511" t="s">
        <v>16</v>
      </c>
      <c r="G511" t="s">
        <v>17</v>
      </c>
      <c r="H511" t="s">
        <v>30</v>
      </c>
      <c r="I511" t="s">
        <v>31</v>
      </c>
      <c r="J511" t="s">
        <v>32</v>
      </c>
      <c r="K511" t="s">
        <v>33</v>
      </c>
      <c r="L511" t="s">
        <v>28</v>
      </c>
      <c r="M511">
        <v>11000.38</v>
      </c>
      <c r="N511">
        <v>2020</v>
      </c>
      <c r="O511">
        <v>4</v>
      </c>
    </row>
    <row r="512" spans="1:15" x14ac:dyDescent="0.3">
      <c r="A512" s="1">
        <v>43951</v>
      </c>
      <c r="B512">
        <v>1000000068</v>
      </c>
      <c r="C512" t="s">
        <v>23</v>
      </c>
      <c r="D512">
        <v>1</v>
      </c>
      <c r="E512">
        <v>8000.7</v>
      </c>
      <c r="F512" t="s">
        <v>16</v>
      </c>
      <c r="G512" t="s">
        <v>24</v>
      </c>
      <c r="H512" t="s">
        <v>30</v>
      </c>
      <c r="I512" t="s">
        <v>55</v>
      </c>
      <c r="J512" t="s">
        <v>26</v>
      </c>
      <c r="K512" t="s">
        <v>56</v>
      </c>
      <c r="L512" t="s">
        <v>28</v>
      </c>
      <c r="M512">
        <v>8000.7</v>
      </c>
      <c r="N512">
        <v>2020</v>
      </c>
      <c r="O512">
        <v>4</v>
      </c>
    </row>
    <row r="513" spans="1:15" x14ac:dyDescent="0.3">
      <c r="A513" s="1">
        <v>43951</v>
      </c>
      <c r="B513">
        <v>1000000033</v>
      </c>
      <c r="C513" t="s">
        <v>15</v>
      </c>
      <c r="D513">
        <v>1</v>
      </c>
      <c r="E513">
        <v>8000.54</v>
      </c>
      <c r="F513" t="s">
        <v>16</v>
      </c>
      <c r="G513" t="s">
        <v>17</v>
      </c>
      <c r="H513" t="s">
        <v>18</v>
      </c>
      <c r="I513" t="s">
        <v>25</v>
      </c>
      <c r="J513" t="s">
        <v>26</v>
      </c>
      <c r="K513" t="s">
        <v>27</v>
      </c>
      <c r="L513" t="s">
        <v>22</v>
      </c>
      <c r="M513">
        <v>8000.54</v>
      </c>
      <c r="N513">
        <v>2020</v>
      </c>
      <c r="O513">
        <v>4</v>
      </c>
    </row>
    <row r="514" spans="1:15" x14ac:dyDescent="0.3">
      <c r="A514" s="1">
        <v>43951</v>
      </c>
      <c r="B514">
        <v>1000000050</v>
      </c>
      <c r="C514" t="s">
        <v>15</v>
      </c>
      <c r="D514">
        <v>1</v>
      </c>
      <c r="E514">
        <v>5499.98</v>
      </c>
      <c r="F514" t="s">
        <v>16</v>
      </c>
      <c r="G514" t="s">
        <v>17</v>
      </c>
      <c r="H514" t="s">
        <v>18</v>
      </c>
      <c r="I514" t="s">
        <v>40</v>
      </c>
      <c r="J514" t="s">
        <v>26</v>
      </c>
      <c r="K514" t="s">
        <v>41</v>
      </c>
      <c r="L514" t="s">
        <v>22</v>
      </c>
      <c r="M514">
        <v>5499.98</v>
      </c>
      <c r="N514">
        <v>2020</v>
      </c>
      <c r="O514">
        <v>4</v>
      </c>
    </row>
    <row r="515" spans="1:15" x14ac:dyDescent="0.3">
      <c r="A515" s="1">
        <v>43951</v>
      </c>
      <c r="B515">
        <v>1000000566</v>
      </c>
      <c r="C515" t="s">
        <v>15</v>
      </c>
      <c r="D515">
        <v>1</v>
      </c>
      <c r="E515">
        <v>2000.5</v>
      </c>
      <c r="F515" t="s">
        <v>16</v>
      </c>
      <c r="G515" t="s">
        <v>17</v>
      </c>
      <c r="H515" t="s">
        <v>47</v>
      </c>
      <c r="I515" t="s">
        <v>48</v>
      </c>
      <c r="J515" t="s">
        <v>36</v>
      </c>
      <c r="K515" t="s">
        <v>49</v>
      </c>
      <c r="L515" t="s">
        <v>22</v>
      </c>
      <c r="M515">
        <v>2000.5</v>
      </c>
      <c r="N515">
        <v>2020</v>
      </c>
      <c r="O515">
        <v>4</v>
      </c>
    </row>
    <row r="516" spans="1:15" x14ac:dyDescent="0.3">
      <c r="A516" s="1">
        <v>43951</v>
      </c>
      <c r="B516">
        <v>1000000044</v>
      </c>
      <c r="C516" t="s">
        <v>23</v>
      </c>
      <c r="D516">
        <v>1</v>
      </c>
      <c r="E516">
        <v>1000.06</v>
      </c>
      <c r="F516" t="s">
        <v>16</v>
      </c>
      <c r="G516" t="s">
        <v>24</v>
      </c>
      <c r="H516" t="s">
        <v>30</v>
      </c>
      <c r="I516" t="s">
        <v>31</v>
      </c>
      <c r="J516" t="s">
        <v>36</v>
      </c>
      <c r="K516" t="s">
        <v>52</v>
      </c>
      <c r="L516" t="s">
        <v>28</v>
      </c>
      <c r="M516">
        <v>1000.06</v>
      </c>
      <c r="N516">
        <v>2020</v>
      </c>
      <c r="O516">
        <v>4</v>
      </c>
    </row>
    <row r="517" spans="1:15" x14ac:dyDescent="0.3">
      <c r="A517" s="1">
        <v>43952</v>
      </c>
      <c r="B517">
        <v>1000000036</v>
      </c>
      <c r="C517" t="s">
        <v>15</v>
      </c>
      <c r="D517">
        <v>2</v>
      </c>
      <c r="E517">
        <v>37500.97</v>
      </c>
      <c r="F517" t="s">
        <v>16</v>
      </c>
      <c r="G517" t="s">
        <v>17</v>
      </c>
      <c r="H517" t="s">
        <v>47</v>
      </c>
      <c r="I517" t="s">
        <v>48</v>
      </c>
      <c r="J517" t="s">
        <v>36</v>
      </c>
      <c r="K517" t="s">
        <v>49</v>
      </c>
      <c r="L517" t="s">
        <v>28</v>
      </c>
      <c r="M517">
        <v>18750.485000000001</v>
      </c>
      <c r="N517">
        <v>2020</v>
      </c>
      <c r="O517">
        <v>5</v>
      </c>
    </row>
    <row r="518" spans="1:15" x14ac:dyDescent="0.3">
      <c r="A518" s="1">
        <v>43952</v>
      </c>
      <c r="B518">
        <v>1000000237</v>
      </c>
      <c r="C518" t="s">
        <v>15</v>
      </c>
      <c r="D518">
        <v>3</v>
      </c>
      <c r="E518">
        <v>27999.969999999998</v>
      </c>
      <c r="F518" t="s">
        <v>16</v>
      </c>
      <c r="G518" t="s">
        <v>17</v>
      </c>
      <c r="H518" t="s">
        <v>18</v>
      </c>
      <c r="I518" t="s">
        <v>40</v>
      </c>
      <c r="J518" t="s">
        <v>26</v>
      </c>
      <c r="K518" t="s">
        <v>41</v>
      </c>
      <c r="L518" t="s">
        <v>22</v>
      </c>
      <c r="M518">
        <v>9333.3233333333319</v>
      </c>
      <c r="N518">
        <v>2020</v>
      </c>
      <c r="O518">
        <v>5</v>
      </c>
    </row>
    <row r="519" spans="1:15" x14ac:dyDescent="0.3">
      <c r="A519" s="1">
        <v>43952</v>
      </c>
      <c r="B519">
        <v>1000000035</v>
      </c>
      <c r="C519" t="s">
        <v>42</v>
      </c>
      <c r="D519">
        <v>1</v>
      </c>
      <c r="E519">
        <v>25000.01</v>
      </c>
      <c r="F519" t="s">
        <v>16</v>
      </c>
      <c r="G519" t="s">
        <v>43</v>
      </c>
      <c r="H519" t="s">
        <v>18</v>
      </c>
      <c r="I519" t="s">
        <v>25</v>
      </c>
      <c r="J519" t="s">
        <v>36</v>
      </c>
      <c r="K519" t="s">
        <v>37</v>
      </c>
      <c r="L519" t="s">
        <v>22</v>
      </c>
      <c r="M519">
        <v>25000.01</v>
      </c>
      <c r="N519">
        <v>2020</v>
      </c>
      <c r="O519">
        <v>5</v>
      </c>
    </row>
    <row r="520" spans="1:15" x14ac:dyDescent="0.3">
      <c r="A520" s="1">
        <v>43952</v>
      </c>
      <c r="B520">
        <v>1000003926</v>
      </c>
      <c r="C520" t="s">
        <v>15</v>
      </c>
      <c r="D520">
        <v>1</v>
      </c>
      <c r="E520">
        <v>20400.080000000002</v>
      </c>
      <c r="F520" t="s">
        <v>16</v>
      </c>
      <c r="G520" t="s">
        <v>17</v>
      </c>
      <c r="H520" t="s">
        <v>47</v>
      </c>
      <c r="I520" t="s">
        <v>48</v>
      </c>
      <c r="J520" t="s">
        <v>26</v>
      </c>
      <c r="K520" t="s">
        <v>50</v>
      </c>
      <c r="L520" t="s">
        <v>28</v>
      </c>
      <c r="M520">
        <v>20400.080000000002</v>
      </c>
      <c r="N520">
        <v>2020</v>
      </c>
      <c r="O520">
        <v>5</v>
      </c>
    </row>
    <row r="521" spans="1:15" x14ac:dyDescent="0.3">
      <c r="A521" s="1">
        <v>43952</v>
      </c>
      <c r="B521">
        <v>1000000031</v>
      </c>
      <c r="C521" t="s">
        <v>42</v>
      </c>
      <c r="D521">
        <v>1</v>
      </c>
      <c r="E521">
        <v>15000.01</v>
      </c>
      <c r="F521" t="s">
        <v>16</v>
      </c>
      <c r="G521" t="s">
        <v>43</v>
      </c>
      <c r="H521" t="s">
        <v>18</v>
      </c>
      <c r="I521" t="s">
        <v>19</v>
      </c>
      <c r="J521" t="s">
        <v>26</v>
      </c>
      <c r="K521" t="s">
        <v>29</v>
      </c>
      <c r="L521" t="s">
        <v>28</v>
      </c>
      <c r="M521">
        <v>15000.01</v>
      </c>
      <c r="N521">
        <v>2020</v>
      </c>
      <c r="O521">
        <v>5</v>
      </c>
    </row>
    <row r="522" spans="1:15" x14ac:dyDescent="0.3">
      <c r="A522" s="1">
        <v>43952</v>
      </c>
      <c r="B522">
        <v>1000000044</v>
      </c>
      <c r="C522" t="s">
        <v>15</v>
      </c>
      <c r="D522">
        <v>1</v>
      </c>
      <c r="E522">
        <v>14000.75</v>
      </c>
      <c r="F522" t="s">
        <v>16</v>
      </c>
      <c r="G522" t="s">
        <v>17</v>
      </c>
      <c r="H522" t="s">
        <v>30</v>
      </c>
      <c r="I522" t="s">
        <v>31</v>
      </c>
      <c r="J522" t="s">
        <v>36</v>
      </c>
      <c r="K522" t="s">
        <v>52</v>
      </c>
      <c r="L522" t="s">
        <v>28</v>
      </c>
      <c r="M522">
        <v>14000.75</v>
      </c>
      <c r="N522">
        <v>2020</v>
      </c>
      <c r="O522">
        <v>5</v>
      </c>
    </row>
    <row r="523" spans="1:15" x14ac:dyDescent="0.3">
      <c r="A523" s="1">
        <v>43952</v>
      </c>
      <c r="B523">
        <v>1000000037</v>
      </c>
      <c r="C523" t="s">
        <v>23</v>
      </c>
      <c r="D523">
        <v>1</v>
      </c>
      <c r="E523">
        <v>10000.25</v>
      </c>
      <c r="F523" t="s">
        <v>16</v>
      </c>
      <c r="G523" t="s">
        <v>24</v>
      </c>
      <c r="H523" t="s">
        <v>18</v>
      </c>
      <c r="I523" t="s">
        <v>19</v>
      </c>
      <c r="J523" t="s">
        <v>20</v>
      </c>
      <c r="K523" t="s">
        <v>21</v>
      </c>
      <c r="L523" t="s">
        <v>22</v>
      </c>
      <c r="M523">
        <v>10000.25</v>
      </c>
      <c r="N523">
        <v>2020</v>
      </c>
      <c r="O523">
        <v>5</v>
      </c>
    </row>
    <row r="524" spans="1:15" x14ac:dyDescent="0.3">
      <c r="A524" s="1">
        <v>43952</v>
      </c>
      <c r="B524">
        <v>1000000031</v>
      </c>
      <c r="C524" t="s">
        <v>15</v>
      </c>
      <c r="D524">
        <v>1</v>
      </c>
      <c r="E524">
        <v>7500.19</v>
      </c>
      <c r="F524" t="s">
        <v>16</v>
      </c>
      <c r="G524" t="s">
        <v>17</v>
      </c>
      <c r="H524" t="s">
        <v>18</v>
      </c>
      <c r="I524" t="s">
        <v>19</v>
      </c>
      <c r="J524" t="s">
        <v>26</v>
      </c>
      <c r="K524" t="s">
        <v>29</v>
      </c>
      <c r="L524" t="s">
        <v>28</v>
      </c>
      <c r="M524">
        <v>7500.19</v>
      </c>
      <c r="N524">
        <v>2020</v>
      </c>
      <c r="O524">
        <v>5</v>
      </c>
    </row>
    <row r="525" spans="1:15" x14ac:dyDescent="0.3">
      <c r="A525" s="1">
        <v>43952</v>
      </c>
      <c r="B525">
        <v>1000000566</v>
      </c>
      <c r="C525" t="s">
        <v>42</v>
      </c>
      <c r="D525">
        <v>1</v>
      </c>
      <c r="E525">
        <v>6500.44</v>
      </c>
      <c r="F525" t="s">
        <v>16</v>
      </c>
      <c r="G525" t="s">
        <v>43</v>
      </c>
      <c r="H525" t="s">
        <v>47</v>
      </c>
      <c r="I525" t="s">
        <v>48</v>
      </c>
      <c r="J525" t="s">
        <v>36</v>
      </c>
      <c r="K525" t="s">
        <v>49</v>
      </c>
      <c r="L525" t="s">
        <v>22</v>
      </c>
      <c r="M525">
        <v>6500.44</v>
      </c>
      <c r="N525">
        <v>2020</v>
      </c>
      <c r="O525">
        <v>5</v>
      </c>
    </row>
    <row r="526" spans="1:15" x14ac:dyDescent="0.3">
      <c r="A526" s="1">
        <v>43952</v>
      </c>
      <c r="B526">
        <v>1000000039</v>
      </c>
      <c r="C526" t="s">
        <v>15</v>
      </c>
      <c r="D526">
        <v>1</v>
      </c>
      <c r="E526">
        <v>5500.58</v>
      </c>
      <c r="F526" t="s">
        <v>16</v>
      </c>
      <c r="G526" t="s">
        <v>17</v>
      </c>
      <c r="H526" t="s">
        <v>18</v>
      </c>
      <c r="I526" t="s">
        <v>25</v>
      </c>
      <c r="J526" t="s">
        <v>20</v>
      </c>
      <c r="K526" t="s">
        <v>51</v>
      </c>
      <c r="L526" t="s">
        <v>28</v>
      </c>
      <c r="M526">
        <v>5500.58</v>
      </c>
      <c r="N526">
        <v>2020</v>
      </c>
      <c r="O526">
        <v>5</v>
      </c>
    </row>
    <row r="527" spans="1:15" x14ac:dyDescent="0.3">
      <c r="A527" s="1">
        <v>43952</v>
      </c>
      <c r="B527">
        <v>1000000044</v>
      </c>
      <c r="C527" t="s">
        <v>23</v>
      </c>
      <c r="D527">
        <v>1</v>
      </c>
      <c r="E527">
        <v>5499.94</v>
      </c>
      <c r="F527" t="s">
        <v>16</v>
      </c>
      <c r="G527" t="s">
        <v>24</v>
      </c>
      <c r="H527" t="s">
        <v>30</v>
      </c>
      <c r="I527" t="s">
        <v>31</v>
      </c>
      <c r="J527" t="s">
        <v>36</v>
      </c>
      <c r="K527" t="s">
        <v>52</v>
      </c>
      <c r="L527" t="s">
        <v>28</v>
      </c>
      <c r="M527">
        <v>5499.94</v>
      </c>
      <c r="N527">
        <v>2020</v>
      </c>
      <c r="O527">
        <v>5</v>
      </c>
    </row>
    <row r="528" spans="1:15" x14ac:dyDescent="0.3">
      <c r="A528" s="1">
        <v>43952</v>
      </c>
      <c r="B528">
        <v>1000004256</v>
      </c>
      <c r="C528" t="s">
        <v>15</v>
      </c>
      <c r="D528">
        <v>1</v>
      </c>
      <c r="E528">
        <v>5000.7700000000004</v>
      </c>
      <c r="F528" t="s">
        <v>16</v>
      </c>
      <c r="G528" t="s">
        <v>17</v>
      </c>
      <c r="H528" t="s">
        <v>18</v>
      </c>
      <c r="I528" t="s">
        <v>40</v>
      </c>
      <c r="J528" t="s">
        <v>26</v>
      </c>
      <c r="K528" t="s">
        <v>41</v>
      </c>
      <c r="L528" t="s">
        <v>22</v>
      </c>
      <c r="M528">
        <v>5000.7700000000004</v>
      </c>
      <c r="N528">
        <v>2020</v>
      </c>
      <c r="O528">
        <v>5</v>
      </c>
    </row>
    <row r="529" spans="1:15" x14ac:dyDescent="0.3">
      <c r="A529" s="1">
        <v>43952</v>
      </c>
      <c r="B529">
        <v>1000000031</v>
      </c>
      <c r="C529" t="s">
        <v>23</v>
      </c>
      <c r="D529">
        <v>1</v>
      </c>
      <c r="E529">
        <v>5000.3900000000003</v>
      </c>
      <c r="F529" t="s">
        <v>16</v>
      </c>
      <c r="G529" t="s">
        <v>24</v>
      </c>
      <c r="H529" t="s">
        <v>18</v>
      </c>
      <c r="I529" t="s">
        <v>19</v>
      </c>
      <c r="J529" t="s">
        <v>26</v>
      </c>
      <c r="K529" t="s">
        <v>29</v>
      </c>
      <c r="L529" t="s">
        <v>28</v>
      </c>
      <c r="M529">
        <v>5000.3900000000003</v>
      </c>
      <c r="N529">
        <v>2020</v>
      </c>
      <c r="O529">
        <v>5</v>
      </c>
    </row>
    <row r="530" spans="1:15" x14ac:dyDescent="0.3">
      <c r="A530" s="1">
        <v>43952</v>
      </c>
      <c r="B530">
        <v>1000000039</v>
      </c>
      <c r="C530" t="s">
        <v>23</v>
      </c>
      <c r="D530">
        <v>1</v>
      </c>
      <c r="E530">
        <v>3500.4</v>
      </c>
      <c r="F530" t="s">
        <v>16</v>
      </c>
      <c r="G530" t="s">
        <v>24</v>
      </c>
      <c r="H530" t="s">
        <v>18</v>
      </c>
      <c r="I530" t="s">
        <v>25</v>
      </c>
      <c r="J530" t="s">
        <v>20</v>
      </c>
      <c r="K530" t="s">
        <v>51</v>
      </c>
      <c r="L530" t="s">
        <v>28</v>
      </c>
      <c r="M530">
        <v>3500.4</v>
      </c>
      <c r="N530">
        <v>2020</v>
      </c>
      <c r="O530">
        <v>5</v>
      </c>
    </row>
    <row r="531" spans="1:15" x14ac:dyDescent="0.3">
      <c r="A531" s="1">
        <v>43952</v>
      </c>
      <c r="B531">
        <v>1000000030</v>
      </c>
      <c r="C531" t="s">
        <v>23</v>
      </c>
      <c r="D531">
        <v>1</v>
      </c>
      <c r="E531">
        <v>1000.1</v>
      </c>
      <c r="F531" t="s">
        <v>16</v>
      </c>
      <c r="G531" t="s">
        <v>24</v>
      </c>
      <c r="H531" t="s">
        <v>47</v>
      </c>
      <c r="I531" t="s">
        <v>48</v>
      </c>
      <c r="J531" t="s">
        <v>36</v>
      </c>
      <c r="K531" t="s">
        <v>49</v>
      </c>
      <c r="L531" t="s">
        <v>22</v>
      </c>
      <c r="M531">
        <v>1000.1</v>
      </c>
      <c r="N531">
        <v>2020</v>
      </c>
      <c r="O531">
        <v>5</v>
      </c>
    </row>
    <row r="532" spans="1:15" x14ac:dyDescent="0.3">
      <c r="A532" s="1">
        <v>43952</v>
      </c>
      <c r="B532">
        <v>1000000043</v>
      </c>
      <c r="C532" t="s">
        <v>15</v>
      </c>
      <c r="D532">
        <v>1</v>
      </c>
      <c r="E532">
        <v>731.3</v>
      </c>
      <c r="F532" t="s">
        <v>16</v>
      </c>
      <c r="G532" t="s">
        <v>17</v>
      </c>
      <c r="H532" t="s">
        <v>30</v>
      </c>
      <c r="I532" t="s">
        <v>38</v>
      </c>
      <c r="J532" t="s">
        <v>26</v>
      </c>
      <c r="K532" t="s">
        <v>39</v>
      </c>
      <c r="L532" t="s">
        <v>22</v>
      </c>
      <c r="M532">
        <v>731.3</v>
      </c>
      <c r="N532">
        <v>2020</v>
      </c>
      <c r="O532">
        <v>5</v>
      </c>
    </row>
    <row r="533" spans="1:15" x14ac:dyDescent="0.3">
      <c r="A533" s="1">
        <v>43953</v>
      </c>
      <c r="B533">
        <v>1000000031</v>
      </c>
      <c r="C533" t="s">
        <v>15</v>
      </c>
      <c r="D533">
        <v>3</v>
      </c>
      <c r="E533">
        <v>35000.980000000003</v>
      </c>
      <c r="F533" t="s">
        <v>16</v>
      </c>
      <c r="G533" t="s">
        <v>17</v>
      </c>
      <c r="H533" t="s">
        <v>18</v>
      </c>
      <c r="I533" t="s">
        <v>19</v>
      </c>
      <c r="J533" t="s">
        <v>26</v>
      </c>
      <c r="K533" t="s">
        <v>29</v>
      </c>
      <c r="L533" t="s">
        <v>28</v>
      </c>
      <c r="M533">
        <v>11666.993333333334</v>
      </c>
      <c r="N533">
        <v>2020</v>
      </c>
      <c r="O533">
        <v>5</v>
      </c>
    </row>
    <row r="534" spans="1:15" x14ac:dyDescent="0.3">
      <c r="A534" s="1">
        <v>43953</v>
      </c>
      <c r="B534">
        <v>1000000068</v>
      </c>
      <c r="C534" t="s">
        <v>15</v>
      </c>
      <c r="D534">
        <v>2</v>
      </c>
      <c r="E534">
        <v>21000.93</v>
      </c>
      <c r="F534" t="s">
        <v>16</v>
      </c>
      <c r="G534" t="s">
        <v>17</v>
      </c>
      <c r="H534" t="s">
        <v>30</v>
      </c>
      <c r="I534" t="s">
        <v>55</v>
      </c>
      <c r="J534" t="s">
        <v>26</v>
      </c>
      <c r="K534" t="s">
        <v>56</v>
      </c>
      <c r="L534" t="s">
        <v>28</v>
      </c>
      <c r="M534">
        <v>10500.465</v>
      </c>
      <c r="N534">
        <v>2020</v>
      </c>
      <c r="O534">
        <v>5</v>
      </c>
    </row>
    <row r="535" spans="1:15" x14ac:dyDescent="0.3">
      <c r="A535" s="1">
        <v>43953</v>
      </c>
      <c r="B535">
        <v>1000000044</v>
      </c>
      <c r="C535" t="s">
        <v>23</v>
      </c>
      <c r="D535">
        <v>1</v>
      </c>
      <c r="E535">
        <v>18000.740000000002</v>
      </c>
      <c r="F535" t="s">
        <v>16</v>
      </c>
      <c r="G535" t="s">
        <v>24</v>
      </c>
      <c r="H535" t="s">
        <v>30</v>
      </c>
      <c r="I535" t="s">
        <v>31</v>
      </c>
      <c r="J535" t="s">
        <v>36</v>
      </c>
      <c r="K535" t="s">
        <v>52</v>
      </c>
      <c r="L535" t="s">
        <v>28</v>
      </c>
      <c r="M535">
        <v>18000.740000000002</v>
      </c>
      <c r="N535">
        <v>2020</v>
      </c>
      <c r="O535">
        <v>5</v>
      </c>
    </row>
    <row r="536" spans="1:15" x14ac:dyDescent="0.3">
      <c r="A536" s="1">
        <v>43953</v>
      </c>
      <c r="B536">
        <v>1000000034</v>
      </c>
      <c r="C536" t="s">
        <v>42</v>
      </c>
      <c r="D536">
        <v>1</v>
      </c>
      <c r="E536">
        <v>17000.73</v>
      </c>
      <c r="F536" t="s">
        <v>16</v>
      </c>
      <c r="G536" t="s">
        <v>43</v>
      </c>
      <c r="H536" t="s">
        <v>18</v>
      </c>
      <c r="I536" t="s">
        <v>25</v>
      </c>
      <c r="J536" t="s">
        <v>26</v>
      </c>
      <c r="K536" t="s">
        <v>27</v>
      </c>
      <c r="L536" t="s">
        <v>22</v>
      </c>
      <c r="M536">
        <v>17000.73</v>
      </c>
      <c r="N536">
        <v>2020</v>
      </c>
      <c r="O536">
        <v>5</v>
      </c>
    </row>
    <row r="537" spans="1:15" x14ac:dyDescent="0.3">
      <c r="A537" s="1">
        <v>43953</v>
      </c>
      <c r="B537">
        <v>1000000928</v>
      </c>
      <c r="C537" t="s">
        <v>23</v>
      </c>
      <c r="D537">
        <v>1</v>
      </c>
      <c r="E537">
        <v>16000.21</v>
      </c>
      <c r="F537" t="s">
        <v>16</v>
      </c>
      <c r="G537" t="s">
        <v>24</v>
      </c>
      <c r="H537" t="s">
        <v>30</v>
      </c>
      <c r="I537" t="s">
        <v>57</v>
      </c>
      <c r="J537" t="s">
        <v>26</v>
      </c>
      <c r="K537" t="s">
        <v>58</v>
      </c>
      <c r="L537" t="s">
        <v>22</v>
      </c>
      <c r="M537">
        <v>16000.21</v>
      </c>
      <c r="N537">
        <v>2020</v>
      </c>
      <c r="O537">
        <v>5</v>
      </c>
    </row>
    <row r="538" spans="1:15" x14ac:dyDescent="0.3">
      <c r="A538" s="1">
        <v>43953</v>
      </c>
      <c r="B538">
        <v>1000000040</v>
      </c>
      <c r="C538" t="s">
        <v>15</v>
      </c>
      <c r="D538">
        <v>2</v>
      </c>
      <c r="E538">
        <v>15000.61</v>
      </c>
      <c r="F538" t="s">
        <v>16</v>
      </c>
      <c r="G538" t="s">
        <v>17</v>
      </c>
      <c r="H538" t="s">
        <v>30</v>
      </c>
      <c r="I538" t="s">
        <v>31</v>
      </c>
      <c r="J538" t="s">
        <v>32</v>
      </c>
      <c r="K538" t="s">
        <v>33</v>
      </c>
      <c r="L538" t="s">
        <v>28</v>
      </c>
      <c r="M538">
        <v>7500.3050000000003</v>
      </c>
      <c r="N538">
        <v>2020</v>
      </c>
      <c r="O538">
        <v>5</v>
      </c>
    </row>
    <row r="539" spans="1:15" x14ac:dyDescent="0.3">
      <c r="A539" s="1">
        <v>43953</v>
      </c>
      <c r="B539">
        <v>1000000033</v>
      </c>
      <c r="C539" t="s">
        <v>23</v>
      </c>
      <c r="D539">
        <v>2</v>
      </c>
      <c r="E539">
        <v>14501.02</v>
      </c>
      <c r="F539" t="s">
        <v>16</v>
      </c>
      <c r="G539" t="s">
        <v>24</v>
      </c>
      <c r="H539" t="s">
        <v>18</v>
      </c>
      <c r="I539" t="s">
        <v>25</v>
      </c>
      <c r="J539" t="s">
        <v>26</v>
      </c>
      <c r="K539" t="s">
        <v>27</v>
      </c>
      <c r="L539" t="s">
        <v>22</v>
      </c>
      <c r="M539">
        <v>7250.51</v>
      </c>
      <c r="N539">
        <v>2020</v>
      </c>
      <c r="O539">
        <v>5</v>
      </c>
    </row>
    <row r="540" spans="1:15" x14ac:dyDescent="0.3">
      <c r="A540" s="1">
        <v>43953</v>
      </c>
      <c r="B540">
        <v>1000000036</v>
      </c>
      <c r="C540" t="s">
        <v>23</v>
      </c>
      <c r="D540">
        <v>1</v>
      </c>
      <c r="E540">
        <v>13000.21</v>
      </c>
      <c r="F540" t="s">
        <v>16</v>
      </c>
      <c r="G540" t="s">
        <v>24</v>
      </c>
      <c r="H540" t="s">
        <v>47</v>
      </c>
      <c r="I540" t="s">
        <v>48</v>
      </c>
      <c r="J540" t="s">
        <v>36</v>
      </c>
      <c r="K540" t="s">
        <v>49</v>
      </c>
      <c r="L540" t="s">
        <v>28</v>
      </c>
      <c r="M540">
        <v>13000.21</v>
      </c>
      <c r="N540">
        <v>2020</v>
      </c>
      <c r="O540">
        <v>5</v>
      </c>
    </row>
    <row r="541" spans="1:15" x14ac:dyDescent="0.3">
      <c r="A541" s="1">
        <v>43953</v>
      </c>
      <c r="B541">
        <v>1000004256</v>
      </c>
      <c r="C541" t="s">
        <v>42</v>
      </c>
      <c r="D541">
        <v>1</v>
      </c>
      <c r="E541">
        <v>10000.709999999999</v>
      </c>
      <c r="F541" t="s">
        <v>16</v>
      </c>
      <c r="G541" t="s">
        <v>43</v>
      </c>
      <c r="H541" t="s">
        <v>18</v>
      </c>
      <c r="I541" t="s">
        <v>40</v>
      </c>
      <c r="J541" t="s">
        <v>26</v>
      </c>
      <c r="K541" t="s">
        <v>41</v>
      </c>
      <c r="L541" t="s">
        <v>22</v>
      </c>
      <c r="M541">
        <v>10000.709999999999</v>
      </c>
      <c r="N541">
        <v>2020</v>
      </c>
      <c r="O541">
        <v>5</v>
      </c>
    </row>
    <row r="542" spans="1:15" x14ac:dyDescent="0.3">
      <c r="A542" s="1">
        <v>43953</v>
      </c>
      <c r="B542">
        <v>1000000029</v>
      </c>
      <c r="C542" t="s">
        <v>15</v>
      </c>
      <c r="D542">
        <v>1</v>
      </c>
      <c r="E542">
        <v>8000.63</v>
      </c>
      <c r="F542" t="s">
        <v>16</v>
      </c>
      <c r="G542" t="s">
        <v>17</v>
      </c>
      <c r="H542" t="s">
        <v>18</v>
      </c>
      <c r="I542" t="s">
        <v>19</v>
      </c>
      <c r="J542" t="s">
        <v>20</v>
      </c>
      <c r="K542" t="s">
        <v>21</v>
      </c>
      <c r="L542" t="s">
        <v>22</v>
      </c>
      <c r="M542">
        <v>8000.63</v>
      </c>
      <c r="N542">
        <v>2020</v>
      </c>
      <c r="O542">
        <v>5</v>
      </c>
    </row>
    <row r="543" spans="1:15" x14ac:dyDescent="0.3">
      <c r="A543" s="1">
        <v>43953</v>
      </c>
      <c r="B543">
        <v>1000000068</v>
      </c>
      <c r="C543" t="s">
        <v>23</v>
      </c>
      <c r="D543">
        <v>1</v>
      </c>
      <c r="E543">
        <v>8000.57</v>
      </c>
      <c r="F543" t="s">
        <v>16</v>
      </c>
      <c r="G543" t="s">
        <v>24</v>
      </c>
      <c r="H543" t="s">
        <v>30</v>
      </c>
      <c r="I543" t="s">
        <v>55</v>
      </c>
      <c r="J543" t="s">
        <v>26</v>
      </c>
      <c r="K543" t="s">
        <v>56</v>
      </c>
      <c r="L543" t="s">
        <v>28</v>
      </c>
      <c r="M543">
        <v>8000.57</v>
      </c>
      <c r="N543">
        <v>2020</v>
      </c>
      <c r="O543">
        <v>5</v>
      </c>
    </row>
    <row r="544" spans="1:15" x14ac:dyDescent="0.3">
      <c r="A544" s="1">
        <v>43953</v>
      </c>
      <c r="B544">
        <v>1000000237</v>
      </c>
      <c r="C544" t="s">
        <v>42</v>
      </c>
      <c r="D544">
        <v>1</v>
      </c>
      <c r="E544">
        <v>8000.27</v>
      </c>
      <c r="F544" t="s">
        <v>16</v>
      </c>
      <c r="G544" t="s">
        <v>43</v>
      </c>
      <c r="H544" t="s">
        <v>18</v>
      </c>
      <c r="I544" t="s">
        <v>40</v>
      </c>
      <c r="J544" t="s">
        <v>26</v>
      </c>
      <c r="K544" t="s">
        <v>41</v>
      </c>
      <c r="L544" t="s">
        <v>22</v>
      </c>
      <c r="M544">
        <v>8000.27</v>
      </c>
      <c r="N544">
        <v>2020</v>
      </c>
      <c r="O544">
        <v>5</v>
      </c>
    </row>
    <row r="545" spans="1:15" x14ac:dyDescent="0.3">
      <c r="A545" s="1">
        <v>43953</v>
      </c>
      <c r="B545">
        <v>1000000032</v>
      </c>
      <c r="C545" t="s">
        <v>42</v>
      </c>
      <c r="D545">
        <v>1</v>
      </c>
      <c r="E545">
        <v>5000.45</v>
      </c>
      <c r="F545" t="s">
        <v>16</v>
      </c>
      <c r="G545" t="s">
        <v>43</v>
      </c>
      <c r="H545" t="s">
        <v>18</v>
      </c>
      <c r="I545" t="s">
        <v>25</v>
      </c>
      <c r="J545" t="s">
        <v>26</v>
      </c>
      <c r="K545" t="s">
        <v>27</v>
      </c>
      <c r="L545" t="s">
        <v>28</v>
      </c>
      <c r="M545">
        <v>5000.45</v>
      </c>
      <c r="N545">
        <v>2020</v>
      </c>
      <c r="O545">
        <v>5</v>
      </c>
    </row>
    <row r="546" spans="1:15" x14ac:dyDescent="0.3">
      <c r="A546" s="1">
        <v>43953</v>
      </c>
      <c r="B546">
        <v>1000003926</v>
      </c>
      <c r="C546" t="s">
        <v>15</v>
      </c>
      <c r="D546">
        <v>1</v>
      </c>
      <c r="E546">
        <v>5000.42</v>
      </c>
      <c r="F546" t="s">
        <v>16</v>
      </c>
      <c r="G546" t="s">
        <v>17</v>
      </c>
      <c r="H546" t="s">
        <v>47</v>
      </c>
      <c r="I546" t="s">
        <v>48</v>
      </c>
      <c r="J546" t="s">
        <v>26</v>
      </c>
      <c r="K546" t="s">
        <v>50</v>
      </c>
      <c r="L546" t="s">
        <v>28</v>
      </c>
      <c r="M546">
        <v>5000.42</v>
      </c>
      <c r="N546">
        <v>2020</v>
      </c>
      <c r="O546">
        <v>5</v>
      </c>
    </row>
    <row r="547" spans="1:15" x14ac:dyDescent="0.3">
      <c r="A547" s="1">
        <v>43953</v>
      </c>
      <c r="B547">
        <v>1000000037</v>
      </c>
      <c r="C547" t="s">
        <v>15</v>
      </c>
      <c r="D547">
        <v>1</v>
      </c>
      <c r="E547">
        <v>3000.71</v>
      </c>
      <c r="F547" t="s">
        <v>16</v>
      </c>
      <c r="G547" t="s">
        <v>17</v>
      </c>
      <c r="H547" t="s">
        <v>18</v>
      </c>
      <c r="I547" t="s">
        <v>19</v>
      </c>
      <c r="J547" t="s">
        <v>20</v>
      </c>
      <c r="K547" t="s">
        <v>21</v>
      </c>
      <c r="L547" t="s">
        <v>22</v>
      </c>
      <c r="M547">
        <v>3000.71</v>
      </c>
      <c r="N547">
        <v>2020</v>
      </c>
      <c r="O547">
        <v>5</v>
      </c>
    </row>
    <row r="548" spans="1:15" x14ac:dyDescent="0.3">
      <c r="A548" s="1">
        <v>43953</v>
      </c>
      <c r="B548">
        <v>1000000039</v>
      </c>
      <c r="C548" t="s">
        <v>23</v>
      </c>
      <c r="D548">
        <v>1</v>
      </c>
      <c r="E548">
        <v>1600.38</v>
      </c>
      <c r="F548" t="s">
        <v>16</v>
      </c>
      <c r="G548" t="s">
        <v>24</v>
      </c>
      <c r="H548" t="s">
        <v>18</v>
      </c>
      <c r="I548" t="s">
        <v>25</v>
      </c>
      <c r="J548" t="s">
        <v>20</v>
      </c>
      <c r="K548" t="s">
        <v>51</v>
      </c>
      <c r="L548" t="s">
        <v>28</v>
      </c>
      <c r="M548">
        <v>1600.38</v>
      </c>
      <c r="N548">
        <v>2020</v>
      </c>
      <c r="O548">
        <v>5</v>
      </c>
    </row>
    <row r="549" spans="1:15" x14ac:dyDescent="0.3">
      <c r="A549" s="1">
        <v>43953</v>
      </c>
      <c r="B549">
        <v>1000000056</v>
      </c>
      <c r="C549" t="s">
        <v>23</v>
      </c>
      <c r="D549">
        <v>1</v>
      </c>
      <c r="E549">
        <v>1000.76</v>
      </c>
      <c r="F549" t="s">
        <v>16</v>
      </c>
      <c r="G549" t="s">
        <v>24</v>
      </c>
      <c r="H549" t="s">
        <v>18</v>
      </c>
      <c r="I549" t="s">
        <v>34</v>
      </c>
      <c r="J549" t="s">
        <v>26</v>
      </c>
      <c r="K549" t="s">
        <v>35</v>
      </c>
      <c r="L549" t="s">
        <v>28</v>
      </c>
      <c r="M549">
        <v>1000.76</v>
      </c>
      <c r="N549">
        <v>2020</v>
      </c>
      <c r="O549">
        <v>5</v>
      </c>
    </row>
    <row r="550" spans="1:15" x14ac:dyDescent="0.3">
      <c r="A550" s="1">
        <v>43953</v>
      </c>
      <c r="B550">
        <v>1000000045</v>
      </c>
      <c r="C550" t="s">
        <v>15</v>
      </c>
      <c r="D550">
        <v>1</v>
      </c>
      <c r="E550">
        <v>985</v>
      </c>
      <c r="F550" t="s">
        <v>16</v>
      </c>
      <c r="G550" t="s">
        <v>17</v>
      </c>
      <c r="H550" t="s">
        <v>47</v>
      </c>
      <c r="I550" t="s">
        <v>59</v>
      </c>
      <c r="J550" t="s">
        <v>26</v>
      </c>
      <c r="K550" t="s">
        <v>60</v>
      </c>
      <c r="L550" t="s">
        <v>22</v>
      </c>
      <c r="M550">
        <v>985</v>
      </c>
      <c r="N550">
        <v>2020</v>
      </c>
      <c r="O550">
        <v>5</v>
      </c>
    </row>
    <row r="551" spans="1:15" x14ac:dyDescent="0.3">
      <c r="A551" s="1">
        <v>43954</v>
      </c>
      <c r="B551">
        <v>1000000031</v>
      </c>
      <c r="C551" t="s">
        <v>23</v>
      </c>
      <c r="D551">
        <v>5</v>
      </c>
      <c r="E551">
        <v>42232.900000000009</v>
      </c>
      <c r="F551" t="s">
        <v>16</v>
      </c>
      <c r="G551" t="s">
        <v>24</v>
      </c>
      <c r="H551" t="s">
        <v>18</v>
      </c>
      <c r="I551" t="s">
        <v>19</v>
      </c>
      <c r="J551" t="s">
        <v>26</v>
      </c>
      <c r="K551" t="s">
        <v>29</v>
      </c>
      <c r="L551" t="s">
        <v>28</v>
      </c>
      <c r="M551">
        <v>8446.5800000000017</v>
      </c>
      <c r="N551">
        <v>2020</v>
      </c>
      <c r="O551">
        <v>5</v>
      </c>
    </row>
    <row r="552" spans="1:15" x14ac:dyDescent="0.3">
      <c r="A552" s="1">
        <v>43954</v>
      </c>
      <c r="B552">
        <v>1000000576</v>
      </c>
      <c r="C552" t="s">
        <v>42</v>
      </c>
      <c r="D552">
        <v>2</v>
      </c>
      <c r="E552">
        <v>34000.100000000006</v>
      </c>
      <c r="F552" t="s">
        <v>16</v>
      </c>
      <c r="G552" t="s">
        <v>43</v>
      </c>
      <c r="H552" t="s">
        <v>18</v>
      </c>
      <c r="I552" t="s">
        <v>25</v>
      </c>
      <c r="J552" t="s">
        <v>36</v>
      </c>
      <c r="K552" t="s">
        <v>37</v>
      </c>
      <c r="L552" t="s">
        <v>22</v>
      </c>
      <c r="M552">
        <v>17000.050000000003</v>
      </c>
      <c r="N552">
        <v>2020</v>
      </c>
      <c r="O552">
        <v>5</v>
      </c>
    </row>
    <row r="553" spans="1:15" x14ac:dyDescent="0.3">
      <c r="A553" s="1">
        <v>43954</v>
      </c>
      <c r="B553">
        <v>1000000928</v>
      </c>
      <c r="C553" t="s">
        <v>15</v>
      </c>
      <c r="D553">
        <v>2</v>
      </c>
      <c r="E553">
        <v>33000.57</v>
      </c>
      <c r="F553" t="s">
        <v>16</v>
      </c>
      <c r="G553" t="s">
        <v>17</v>
      </c>
      <c r="H553" t="s">
        <v>30</v>
      </c>
      <c r="I553" t="s">
        <v>57</v>
      </c>
      <c r="J553" t="s">
        <v>26</v>
      </c>
      <c r="K553" t="s">
        <v>58</v>
      </c>
      <c r="L553" t="s">
        <v>22</v>
      </c>
      <c r="M553">
        <v>16500.285</v>
      </c>
      <c r="N553">
        <v>2020</v>
      </c>
      <c r="O553">
        <v>5</v>
      </c>
    </row>
    <row r="554" spans="1:15" x14ac:dyDescent="0.3">
      <c r="A554" s="1">
        <v>43954</v>
      </c>
      <c r="B554">
        <v>1000000576</v>
      </c>
      <c r="C554" t="s">
        <v>15</v>
      </c>
      <c r="D554">
        <v>1</v>
      </c>
      <c r="E554">
        <v>20000.310000000001</v>
      </c>
      <c r="F554" t="s">
        <v>16</v>
      </c>
      <c r="G554" t="s">
        <v>17</v>
      </c>
      <c r="H554" t="s">
        <v>18</v>
      </c>
      <c r="I554" t="s">
        <v>25</v>
      </c>
      <c r="J554" t="s">
        <v>36</v>
      </c>
      <c r="K554" t="s">
        <v>37</v>
      </c>
      <c r="L554" t="s">
        <v>22</v>
      </c>
      <c r="M554">
        <v>20000.310000000001</v>
      </c>
      <c r="N554">
        <v>2020</v>
      </c>
      <c r="O554">
        <v>5</v>
      </c>
    </row>
    <row r="555" spans="1:15" x14ac:dyDescent="0.3">
      <c r="A555" s="1">
        <v>43954</v>
      </c>
      <c r="B555">
        <v>1000000030</v>
      </c>
      <c r="C555" t="s">
        <v>23</v>
      </c>
      <c r="D555">
        <v>1</v>
      </c>
      <c r="E555">
        <v>19999.990000000002</v>
      </c>
      <c r="F555" t="s">
        <v>16</v>
      </c>
      <c r="G555" t="s">
        <v>24</v>
      </c>
      <c r="H555" t="s">
        <v>47</v>
      </c>
      <c r="I555" t="s">
        <v>48</v>
      </c>
      <c r="J555" t="s">
        <v>36</v>
      </c>
      <c r="K555" t="s">
        <v>49</v>
      </c>
      <c r="L555" t="s">
        <v>22</v>
      </c>
      <c r="M555">
        <v>19999.990000000002</v>
      </c>
      <c r="N555">
        <v>2020</v>
      </c>
      <c r="O555">
        <v>5</v>
      </c>
    </row>
    <row r="556" spans="1:15" x14ac:dyDescent="0.3">
      <c r="A556" s="1">
        <v>43954</v>
      </c>
      <c r="B556">
        <v>1000001513</v>
      </c>
      <c r="C556" t="s">
        <v>15</v>
      </c>
      <c r="D556">
        <v>1</v>
      </c>
      <c r="E556">
        <v>16000.33</v>
      </c>
      <c r="F556" t="s">
        <v>16</v>
      </c>
      <c r="G556" t="s">
        <v>17</v>
      </c>
      <c r="H556" t="s">
        <v>18</v>
      </c>
      <c r="I556" t="s">
        <v>34</v>
      </c>
      <c r="J556" t="s">
        <v>20</v>
      </c>
      <c r="K556" t="s">
        <v>44</v>
      </c>
      <c r="L556" t="s">
        <v>22</v>
      </c>
      <c r="M556">
        <v>16000.33</v>
      </c>
      <c r="N556">
        <v>2020</v>
      </c>
      <c r="O556">
        <v>5</v>
      </c>
    </row>
    <row r="557" spans="1:15" x14ac:dyDescent="0.3">
      <c r="A557" s="1">
        <v>43954</v>
      </c>
      <c r="B557">
        <v>1000000068</v>
      </c>
      <c r="C557" t="s">
        <v>15</v>
      </c>
      <c r="D557">
        <v>2</v>
      </c>
      <c r="E557">
        <v>15000.9</v>
      </c>
      <c r="F557" t="s">
        <v>16</v>
      </c>
      <c r="G557" t="s">
        <v>17</v>
      </c>
      <c r="H557" t="s">
        <v>30</v>
      </c>
      <c r="I557" t="s">
        <v>55</v>
      </c>
      <c r="J557" t="s">
        <v>26</v>
      </c>
      <c r="K557" t="s">
        <v>56</v>
      </c>
      <c r="L557" t="s">
        <v>28</v>
      </c>
      <c r="M557">
        <v>7500.45</v>
      </c>
      <c r="N557">
        <v>2020</v>
      </c>
      <c r="O557">
        <v>5</v>
      </c>
    </row>
    <row r="558" spans="1:15" x14ac:dyDescent="0.3">
      <c r="A558" s="1">
        <v>43954</v>
      </c>
      <c r="B558">
        <v>1000000566</v>
      </c>
      <c r="C558" t="s">
        <v>42</v>
      </c>
      <c r="D558">
        <v>1</v>
      </c>
      <c r="E558">
        <v>15000.69</v>
      </c>
      <c r="F558" t="s">
        <v>16</v>
      </c>
      <c r="G558" t="s">
        <v>43</v>
      </c>
      <c r="H558" t="s">
        <v>47</v>
      </c>
      <c r="I558" t="s">
        <v>48</v>
      </c>
      <c r="J558" t="s">
        <v>36</v>
      </c>
      <c r="K558" t="s">
        <v>49</v>
      </c>
      <c r="L558" t="s">
        <v>22</v>
      </c>
      <c r="M558">
        <v>15000.69</v>
      </c>
      <c r="N558">
        <v>2020</v>
      </c>
      <c r="O558">
        <v>5</v>
      </c>
    </row>
    <row r="559" spans="1:15" x14ac:dyDescent="0.3">
      <c r="A559" s="1">
        <v>43954</v>
      </c>
      <c r="B559">
        <v>1000000044</v>
      </c>
      <c r="C559" t="s">
        <v>23</v>
      </c>
      <c r="D559">
        <v>1</v>
      </c>
      <c r="E559">
        <v>14000.49</v>
      </c>
      <c r="F559" t="s">
        <v>16</v>
      </c>
      <c r="G559" t="s">
        <v>24</v>
      </c>
      <c r="H559" t="s">
        <v>30</v>
      </c>
      <c r="I559" t="s">
        <v>31</v>
      </c>
      <c r="J559" t="s">
        <v>36</v>
      </c>
      <c r="K559" t="s">
        <v>52</v>
      </c>
      <c r="L559" t="s">
        <v>28</v>
      </c>
      <c r="M559">
        <v>14000.49</v>
      </c>
      <c r="N559">
        <v>2020</v>
      </c>
      <c r="O559">
        <v>5</v>
      </c>
    </row>
    <row r="560" spans="1:15" x14ac:dyDescent="0.3">
      <c r="A560" s="1">
        <v>43954</v>
      </c>
      <c r="B560">
        <v>1000000040</v>
      </c>
      <c r="C560" t="s">
        <v>15</v>
      </c>
      <c r="D560">
        <v>1</v>
      </c>
      <c r="E560">
        <v>10000.5</v>
      </c>
      <c r="F560" t="s">
        <v>16</v>
      </c>
      <c r="G560" t="s">
        <v>17</v>
      </c>
      <c r="H560" t="s">
        <v>30</v>
      </c>
      <c r="I560" t="s">
        <v>31</v>
      </c>
      <c r="J560" t="s">
        <v>32</v>
      </c>
      <c r="K560" t="s">
        <v>33</v>
      </c>
      <c r="L560" t="s">
        <v>28</v>
      </c>
      <c r="M560">
        <v>10000.5</v>
      </c>
      <c r="N560">
        <v>2020</v>
      </c>
      <c r="O560">
        <v>5</v>
      </c>
    </row>
    <row r="561" spans="1:15" x14ac:dyDescent="0.3">
      <c r="A561" s="1">
        <v>43954</v>
      </c>
      <c r="B561">
        <v>1000000032</v>
      </c>
      <c r="C561" t="s">
        <v>15</v>
      </c>
      <c r="D561">
        <v>1</v>
      </c>
      <c r="E561">
        <v>9177.49</v>
      </c>
      <c r="F561" t="s">
        <v>16</v>
      </c>
      <c r="G561" t="s">
        <v>17</v>
      </c>
      <c r="H561" t="s">
        <v>18</v>
      </c>
      <c r="I561" t="s">
        <v>25</v>
      </c>
      <c r="J561" t="s">
        <v>26</v>
      </c>
      <c r="K561" t="s">
        <v>27</v>
      </c>
      <c r="L561" t="s">
        <v>28</v>
      </c>
      <c r="M561">
        <v>9177.49</v>
      </c>
      <c r="N561">
        <v>2020</v>
      </c>
      <c r="O561">
        <v>5</v>
      </c>
    </row>
    <row r="562" spans="1:15" x14ac:dyDescent="0.3">
      <c r="A562" s="1">
        <v>43954</v>
      </c>
      <c r="B562">
        <v>1000000067</v>
      </c>
      <c r="C562" t="s">
        <v>15</v>
      </c>
      <c r="D562">
        <v>1</v>
      </c>
      <c r="E562">
        <v>8000.34</v>
      </c>
      <c r="F562" t="s">
        <v>16</v>
      </c>
      <c r="G562" t="s">
        <v>17</v>
      </c>
      <c r="H562" t="s">
        <v>18</v>
      </c>
      <c r="I562" t="s">
        <v>25</v>
      </c>
      <c r="J562" t="s">
        <v>20</v>
      </c>
      <c r="K562" t="s">
        <v>51</v>
      </c>
      <c r="L562" t="s">
        <v>22</v>
      </c>
      <c r="M562">
        <v>8000.34</v>
      </c>
      <c r="N562">
        <v>2020</v>
      </c>
      <c r="O562">
        <v>5</v>
      </c>
    </row>
    <row r="563" spans="1:15" x14ac:dyDescent="0.3">
      <c r="A563" s="1">
        <v>43954</v>
      </c>
      <c r="B563">
        <v>1000004256</v>
      </c>
      <c r="C563" t="s">
        <v>42</v>
      </c>
      <c r="D563">
        <v>1</v>
      </c>
      <c r="E563">
        <v>6500.32</v>
      </c>
      <c r="F563" t="s">
        <v>16</v>
      </c>
      <c r="G563" t="s">
        <v>43</v>
      </c>
      <c r="H563" t="s">
        <v>18</v>
      </c>
      <c r="I563" t="s">
        <v>40</v>
      </c>
      <c r="J563" t="s">
        <v>26</v>
      </c>
      <c r="K563" t="s">
        <v>41</v>
      </c>
      <c r="L563" t="s">
        <v>22</v>
      </c>
      <c r="M563">
        <v>6500.32</v>
      </c>
      <c r="N563">
        <v>2020</v>
      </c>
      <c r="O563">
        <v>5</v>
      </c>
    </row>
    <row r="564" spans="1:15" x14ac:dyDescent="0.3">
      <c r="A564" s="1">
        <v>43954</v>
      </c>
      <c r="B564">
        <v>1000003926</v>
      </c>
      <c r="C564" t="s">
        <v>23</v>
      </c>
      <c r="D564">
        <v>1</v>
      </c>
      <c r="E564">
        <v>6000.06</v>
      </c>
      <c r="F564" t="s">
        <v>16</v>
      </c>
      <c r="G564" t="s">
        <v>24</v>
      </c>
      <c r="H564" t="s">
        <v>47</v>
      </c>
      <c r="I564" t="s">
        <v>48</v>
      </c>
      <c r="J564" t="s">
        <v>26</v>
      </c>
      <c r="K564" t="s">
        <v>50</v>
      </c>
      <c r="L564" t="s">
        <v>28</v>
      </c>
      <c r="M564">
        <v>6000.06</v>
      </c>
      <c r="N564">
        <v>2020</v>
      </c>
      <c r="O564">
        <v>5</v>
      </c>
    </row>
    <row r="565" spans="1:15" x14ac:dyDescent="0.3">
      <c r="A565" s="1">
        <v>43954</v>
      </c>
      <c r="B565">
        <v>1000000036</v>
      </c>
      <c r="C565" t="s">
        <v>45</v>
      </c>
      <c r="D565">
        <v>1</v>
      </c>
      <c r="E565">
        <v>5688.25</v>
      </c>
      <c r="F565" t="s">
        <v>46</v>
      </c>
      <c r="G565" t="s">
        <v>43</v>
      </c>
      <c r="H565" t="s">
        <v>47</v>
      </c>
      <c r="I565" t="s">
        <v>48</v>
      </c>
      <c r="J565" t="s">
        <v>36</v>
      </c>
      <c r="K565" t="s">
        <v>49</v>
      </c>
      <c r="L565" t="s">
        <v>28</v>
      </c>
      <c r="M565">
        <v>5688.25</v>
      </c>
      <c r="N565">
        <v>2020</v>
      </c>
      <c r="O565">
        <v>5</v>
      </c>
    </row>
    <row r="566" spans="1:15" x14ac:dyDescent="0.3">
      <c r="A566" s="1">
        <v>43954</v>
      </c>
      <c r="B566">
        <v>1000000040</v>
      </c>
      <c r="C566" t="s">
        <v>23</v>
      </c>
      <c r="D566">
        <v>1</v>
      </c>
      <c r="E566">
        <v>2000.4</v>
      </c>
      <c r="F566" t="s">
        <v>16</v>
      </c>
      <c r="G566" t="s">
        <v>24</v>
      </c>
      <c r="H566" t="s">
        <v>30</v>
      </c>
      <c r="I566" t="s">
        <v>31</v>
      </c>
      <c r="J566" t="s">
        <v>32</v>
      </c>
      <c r="K566" t="s">
        <v>33</v>
      </c>
      <c r="L566" t="s">
        <v>28</v>
      </c>
      <c r="M566">
        <v>2000.4</v>
      </c>
      <c r="N566">
        <v>2020</v>
      </c>
      <c r="O566">
        <v>5</v>
      </c>
    </row>
    <row r="567" spans="1:15" x14ac:dyDescent="0.3">
      <c r="A567" s="1">
        <v>43954</v>
      </c>
      <c r="B567">
        <v>1000000032</v>
      </c>
      <c r="C567" t="s">
        <v>23</v>
      </c>
      <c r="D567">
        <v>1</v>
      </c>
      <c r="E567">
        <v>2000.1</v>
      </c>
      <c r="F567" t="s">
        <v>16</v>
      </c>
      <c r="G567" t="s">
        <v>24</v>
      </c>
      <c r="H567" t="s">
        <v>18</v>
      </c>
      <c r="I567" t="s">
        <v>25</v>
      </c>
      <c r="J567" t="s">
        <v>26</v>
      </c>
      <c r="K567" t="s">
        <v>27</v>
      </c>
      <c r="L567" t="s">
        <v>28</v>
      </c>
      <c r="M567">
        <v>2000.1</v>
      </c>
      <c r="N567">
        <v>2020</v>
      </c>
      <c r="O567">
        <v>5</v>
      </c>
    </row>
    <row r="568" spans="1:15" x14ac:dyDescent="0.3">
      <c r="A568" s="1">
        <v>43954</v>
      </c>
      <c r="B568">
        <v>1000000039</v>
      </c>
      <c r="C568" t="s">
        <v>23</v>
      </c>
      <c r="D568">
        <v>1</v>
      </c>
      <c r="E568">
        <v>1400.59</v>
      </c>
      <c r="F568" t="s">
        <v>16</v>
      </c>
      <c r="G568" t="s">
        <v>24</v>
      </c>
      <c r="H568" t="s">
        <v>18</v>
      </c>
      <c r="I568" t="s">
        <v>25</v>
      </c>
      <c r="J568" t="s">
        <v>20</v>
      </c>
      <c r="K568" t="s">
        <v>51</v>
      </c>
      <c r="L568" t="s">
        <v>28</v>
      </c>
      <c r="M568">
        <v>1400.59</v>
      </c>
      <c r="N568">
        <v>2020</v>
      </c>
      <c r="O568">
        <v>5</v>
      </c>
    </row>
    <row r="569" spans="1:15" x14ac:dyDescent="0.3">
      <c r="A569" s="1">
        <v>43955</v>
      </c>
      <c r="B569">
        <v>1000003926</v>
      </c>
      <c r="C569" t="s">
        <v>15</v>
      </c>
      <c r="D569">
        <v>6</v>
      </c>
      <c r="E569">
        <v>87002.18</v>
      </c>
      <c r="F569" t="s">
        <v>16</v>
      </c>
      <c r="G569" t="s">
        <v>17</v>
      </c>
      <c r="H569" t="s">
        <v>47</v>
      </c>
      <c r="I569" t="s">
        <v>48</v>
      </c>
      <c r="J569" t="s">
        <v>26</v>
      </c>
      <c r="K569" t="s">
        <v>50</v>
      </c>
      <c r="L569" t="s">
        <v>28</v>
      </c>
      <c r="M569">
        <v>14500.363333333333</v>
      </c>
      <c r="N569">
        <v>2020</v>
      </c>
      <c r="O569">
        <v>5</v>
      </c>
    </row>
    <row r="570" spans="1:15" x14ac:dyDescent="0.3">
      <c r="A570" s="1">
        <v>43955</v>
      </c>
      <c r="B570">
        <v>1000000029</v>
      </c>
      <c r="C570" t="s">
        <v>15</v>
      </c>
      <c r="D570">
        <v>3</v>
      </c>
      <c r="E570">
        <v>36000.870000000003</v>
      </c>
      <c r="F570" t="s">
        <v>16</v>
      </c>
      <c r="G570" t="s">
        <v>17</v>
      </c>
      <c r="H570" t="s">
        <v>18</v>
      </c>
      <c r="I570" t="s">
        <v>19</v>
      </c>
      <c r="J570" t="s">
        <v>20</v>
      </c>
      <c r="K570" t="s">
        <v>21</v>
      </c>
      <c r="L570" t="s">
        <v>22</v>
      </c>
      <c r="M570">
        <v>12000.29</v>
      </c>
      <c r="N570">
        <v>2020</v>
      </c>
      <c r="O570">
        <v>5</v>
      </c>
    </row>
    <row r="571" spans="1:15" x14ac:dyDescent="0.3">
      <c r="A571" s="1">
        <v>43955</v>
      </c>
      <c r="B571">
        <v>1000000056</v>
      </c>
      <c r="C571" t="s">
        <v>23</v>
      </c>
      <c r="D571">
        <v>2</v>
      </c>
      <c r="E571">
        <v>31000.370000000003</v>
      </c>
      <c r="F571" t="s">
        <v>16</v>
      </c>
      <c r="G571" t="s">
        <v>24</v>
      </c>
      <c r="H571" t="s">
        <v>18</v>
      </c>
      <c r="I571" t="s">
        <v>34</v>
      </c>
      <c r="J571" t="s">
        <v>26</v>
      </c>
      <c r="K571" t="s">
        <v>35</v>
      </c>
      <c r="L571" t="s">
        <v>28</v>
      </c>
      <c r="M571">
        <v>15500.184999999999</v>
      </c>
      <c r="N571">
        <v>2020</v>
      </c>
      <c r="O571">
        <v>5</v>
      </c>
    </row>
    <row r="572" spans="1:15" x14ac:dyDescent="0.3">
      <c r="A572" s="1">
        <v>43955</v>
      </c>
      <c r="B572">
        <v>1000000054</v>
      </c>
      <c r="C572" t="s">
        <v>23</v>
      </c>
      <c r="D572">
        <v>2</v>
      </c>
      <c r="E572">
        <v>29001.09</v>
      </c>
      <c r="F572" t="s">
        <v>16</v>
      </c>
      <c r="G572" t="s">
        <v>24</v>
      </c>
      <c r="H572" t="s">
        <v>18</v>
      </c>
      <c r="I572" t="s">
        <v>34</v>
      </c>
      <c r="J572" t="s">
        <v>26</v>
      </c>
      <c r="K572" t="s">
        <v>35</v>
      </c>
      <c r="L572" t="s">
        <v>22</v>
      </c>
      <c r="M572">
        <v>14500.545</v>
      </c>
      <c r="N572">
        <v>2020</v>
      </c>
      <c r="O572">
        <v>5</v>
      </c>
    </row>
    <row r="573" spans="1:15" x14ac:dyDescent="0.3">
      <c r="A573" s="1">
        <v>43955</v>
      </c>
      <c r="B573">
        <v>1000000057</v>
      </c>
      <c r="C573" t="s">
        <v>15</v>
      </c>
      <c r="D573">
        <v>2</v>
      </c>
      <c r="E573">
        <v>21500.58</v>
      </c>
      <c r="F573" t="s">
        <v>16</v>
      </c>
      <c r="G573" t="s">
        <v>17</v>
      </c>
      <c r="H573" t="s">
        <v>18</v>
      </c>
      <c r="I573" t="s">
        <v>34</v>
      </c>
      <c r="J573" t="s">
        <v>20</v>
      </c>
      <c r="K573" t="s">
        <v>44</v>
      </c>
      <c r="L573" t="s">
        <v>22</v>
      </c>
      <c r="M573">
        <v>10750.29</v>
      </c>
      <c r="N573">
        <v>2020</v>
      </c>
      <c r="O573">
        <v>5</v>
      </c>
    </row>
    <row r="574" spans="1:15" x14ac:dyDescent="0.3">
      <c r="A574" s="1">
        <v>43955</v>
      </c>
      <c r="B574">
        <v>1000000067</v>
      </c>
      <c r="C574" t="s">
        <v>23</v>
      </c>
      <c r="D574">
        <v>2</v>
      </c>
      <c r="E574">
        <v>21000.16</v>
      </c>
      <c r="F574" t="s">
        <v>16</v>
      </c>
      <c r="G574" t="s">
        <v>24</v>
      </c>
      <c r="H574" t="s">
        <v>18</v>
      </c>
      <c r="I574" t="s">
        <v>25</v>
      </c>
      <c r="J574" t="s">
        <v>20</v>
      </c>
      <c r="K574" t="s">
        <v>51</v>
      </c>
      <c r="L574" t="s">
        <v>22</v>
      </c>
      <c r="M574">
        <v>10500.08</v>
      </c>
      <c r="N574">
        <v>2020</v>
      </c>
      <c r="O574">
        <v>5</v>
      </c>
    </row>
    <row r="575" spans="1:15" x14ac:dyDescent="0.3">
      <c r="A575" s="1">
        <v>43955</v>
      </c>
      <c r="B575">
        <v>1000000056</v>
      </c>
      <c r="C575" t="s">
        <v>15</v>
      </c>
      <c r="D575">
        <v>1</v>
      </c>
      <c r="E575">
        <v>16000.68</v>
      </c>
      <c r="F575" t="s">
        <v>16</v>
      </c>
      <c r="G575" t="s">
        <v>17</v>
      </c>
      <c r="H575" t="s">
        <v>18</v>
      </c>
      <c r="I575" t="s">
        <v>34</v>
      </c>
      <c r="J575" t="s">
        <v>26</v>
      </c>
      <c r="K575" t="s">
        <v>35</v>
      </c>
      <c r="L575" t="s">
        <v>28</v>
      </c>
      <c r="M575">
        <v>16000.68</v>
      </c>
      <c r="N575">
        <v>2020</v>
      </c>
      <c r="O575">
        <v>5</v>
      </c>
    </row>
    <row r="576" spans="1:15" x14ac:dyDescent="0.3">
      <c r="A576" s="1">
        <v>43955</v>
      </c>
      <c r="B576">
        <v>1000000031</v>
      </c>
      <c r="C576" t="s">
        <v>42</v>
      </c>
      <c r="D576">
        <v>1</v>
      </c>
      <c r="E576">
        <v>16000.56</v>
      </c>
      <c r="F576" t="s">
        <v>16</v>
      </c>
      <c r="G576" t="s">
        <v>43</v>
      </c>
      <c r="H576" t="s">
        <v>18</v>
      </c>
      <c r="I576" t="s">
        <v>19</v>
      </c>
      <c r="J576" t="s">
        <v>26</v>
      </c>
      <c r="K576" t="s">
        <v>29</v>
      </c>
      <c r="L576" t="s">
        <v>28</v>
      </c>
      <c r="M576">
        <v>16000.56</v>
      </c>
      <c r="N576">
        <v>2020</v>
      </c>
      <c r="O576">
        <v>5</v>
      </c>
    </row>
    <row r="577" spans="1:15" x14ac:dyDescent="0.3">
      <c r="A577" s="1">
        <v>43955</v>
      </c>
      <c r="B577">
        <v>1000000036</v>
      </c>
      <c r="C577" t="s">
        <v>15</v>
      </c>
      <c r="D577">
        <v>2</v>
      </c>
      <c r="E577">
        <v>16000.17</v>
      </c>
      <c r="F577" t="s">
        <v>16</v>
      </c>
      <c r="G577" t="s">
        <v>17</v>
      </c>
      <c r="H577" t="s">
        <v>47</v>
      </c>
      <c r="I577" t="s">
        <v>48</v>
      </c>
      <c r="J577" t="s">
        <v>36</v>
      </c>
      <c r="K577" t="s">
        <v>49</v>
      </c>
      <c r="L577" t="s">
        <v>28</v>
      </c>
      <c r="M577">
        <v>8000.085</v>
      </c>
      <c r="N577">
        <v>2020</v>
      </c>
      <c r="O577">
        <v>5</v>
      </c>
    </row>
    <row r="578" spans="1:15" x14ac:dyDescent="0.3">
      <c r="A578" s="1">
        <v>43955</v>
      </c>
      <c r="B578">
        <v>1000000032</v>
      </c>
      <c r="C578" t="s">
        <v>15</v>
      </c>
      <c r="D578">
        <v>1</v>
      </c>
      <c r="E578">
        <v>15000.49</v>
      </c>
      <c r="F578" t="s">
        <v>16</v>
      </c>
      <c r="G578" t="s">
        <v>17</v>
      </c>
      <c r="H578" t="s">
        <v>18</v>
      </c>
      <c r="I578" t="s">
        <v>25</v>
      </c>
      <c r="J578" t="s">
        <v>26</v>
      </c>
      <c r="K578" t="s">
        <v>27</v>
      </c>
      <c r="L578" t="s">
        <v>28</v>
      </c>
      <c r="M578">
        <v>15000.49</v>
      </c>
      <c r="N578">
        <v>2020</v>
      </c>
      <c r="O578">
        <v>5</v>
      </c>
    </row>
    <row r="579" spans="1:15" x14ac:dyDescent="0.3">
      <c r="A579" s="1">
        <v>43955</v>
      </c>
      <c r="B579">
        <v>1000000028</v>
      </c>
      <c r="C579" t="s">
        <v>15</v>
      </c>
      <c r="D579">
        <v>1</v>
      </c>
      <c r="E579">
        <v>14000.54</v>
      </c>
      <c r="F579" t="s">
        <v>16</v>
      </c>
      <c r="G579" t="s">
        <v>17</v>
      </c>
      <c r="H579" t="s">
        <v>18</v>
      </c>
      <c r="I579" t="s">
        <v>19</v>
      </c>
      <c r="J579" t="s">
        <v>20</v>
      </c>
      <c r="K579" t="s">
        <v>21</v>
      </c>
      <c r="L579" t="s">
        <v>22</v>
      </c>
      <c r="M579">
        <v>14000.54</v>
      </c>
      <c r="N579">
        <v>2020</v>
      </c>
      <c r="O579">
        <v>5</v>
      </c>
    </row>
    <row r="580" spans="1:15" x14ac:dyDescent="0.3">
      <c r="A580" s="1">
        <v>43955</v>
      </c>
      <c r="B580">
        <v>1000000566</v>
      </c>
      <c r="C580" t="s">
        <v>15</v>
      </c>
      <c r="D580">
        <v>1</v>
      </c>
      <c r="E580">
        <v>13000.76</v>
      </c>
      <c r="F580" t="s">
        <v>16</v>
      </c>
      <c r="G580" t="s">
        <v>17</v>
      </c>
      <c r="H580" t="s">
        <v>47</v>
      </c>
      <c r="I580" t="s">
        <v>48</v>
      </c>
      <c r="J580" t="s">
        <v>36</v>
      </c>
      <c r="K580" t="s">
        <v>49</v>
      </c>
      <c r="L580" t="s">
        <v>22</v>
      </c>
      <c r="M580">
        <v>13000.76</v>
      </c>
      <c r="N580">
        <v>2020</v>
      </c>
      <c r="O580">
        <v>5</v>
      </c>
    </row>
    <row r="581" spans="1:15" x14ac:dyDescent="0.3">
      <c r="A581" s="1">
        <v>43955</v>
      </c>
      <c r="B581">
        <v>1000001513</v>
      </c>
      <c r="C581" t="s">
        <v>15</v>
      </c>
      <c r="D581">
        <v>1</v>
      </c>
      <c r="E581">
        <v>13000.74</v>
      </c>
      <c r="F581" t="s">
        <v>16</v>
      </c>
      <c r="G581" t="s">
        <v>17</v>
      </c>
      <c r="H581" t="s">
        <v>18</v>
      </c>
      <c r="I581" t="s">
        <v>34</v>
      </c>
      <c r="J581" t="s">
        <v>20</v>
      </c>
      <c r="K581" t="s">
        <v>44</v>
      </c>
      <c r="L581" t="s">
        <v>22</v>
      </c>
      <c r="M581">
        <v>13000.74</v>
      </c>
      <c r="N581">
        <v>2020</v>
      </c>
      <c r="O581">
        <v>5</v>
      </c>
    </row>
    <row r="582" spans="1:15" x14ac:dyDescent="0.3">
      <c r="A582" s="1">
        <v>43955</v>
      </c>
      <c r="B582">
        <v>1000000045</v>
      </c>
      <c r="C582" t="s">
        <v>42</v>
      </c>
      <c r="D582">
        <v>1</v>
      </c>
      <c r="E582">
        <v>11000.19</v>
      </c>
      <c r="F582" t="s">
        <v>16</v>
      </c>
      <c r="G582" t="s">
        <v>43</v>
      </c>
      <c r="H582" t="s">
        <v>47</v>
      </c>
      <c r="I582" t="s">
        <v>59</v>
      </c>
      <c r="J582" t="s">
        <v>26</v>
      </c>
      <c r="K582" t="s">
        <v>60</v>
      </c>
      <c r="L582" t="s">
        <v>22</v>
      </c>
      <c r="M582">
        <v>11000.19</v>
      </c>
      <c r="N582">
        <v>2020</v>
      </c>
      <c r="O582">
        <v>5</v>
      </c>
    </row>
    <row r="583" spans="1:15" x14ac:dyDescent="0.3">
      <c r="A583" s="1">
        <v>43955</v>
      </c>
      <c r="B583">
        <v>1000000045</v>
      </c>
      <c r="C583" t="s">
        <v>15</v>
      </c>
      <c r="D583">
        <v>1</v>
      </c>
      <c r="E583">
        <v>10200.65</v>
      </c>
      <c r="F583" t="s">
        <v>16</v>
      </c>
      <c r="G583" t="s">
        <v>17</v>
      </c>
      <c r="H583" t="s">
        <v>47</v>
      </c>
      <c r="I583" t="s">
        <v>59</v>
      </c>
      <c r="J583" t="s">
        <v>26</v>
      </c>
      <c r="K583" t="s">
        <v>60</v>
      </c>
      <c r="L583" t="s">
        <v>22</v>
      </c>
      <c r="M583">
        <v>10200.65</v>
      </c>
      <c r="N583">
        <v>2020</v>
      </c>
      <c r="O583">
        <v>5</v>
      </c>
    </row>
    <row r="584" spans="1:15" x14ac:dyDescent="0.3">
      <c r="A584" s="1">
        <v>43955</v>
      </c>
      <c r="B584">
        <v>1000000576</v>
      </c>
      <c r="C584" t="s">
        <v>42</v>
      </c>
      <c r="D584">
        <v>1</v>
      </c>
      <c r="E584">
        <v>10000.67</v>
      </c>
      <c r="F584" t="s">
        <v>16</v>
      </c>
      <c r="G584" t="s">
        <v>43</v>
      </c>
      <c r="H584" t="s">
        <v>18</v>
      </c>
      <c r="I584" t="s">
        <v>25</v>
      </c>
      <c r="J584" t="s">
        <v>36</v>
      </c>
      <c r="K584" t="s">
        <v>37</v>
      </c>
      <c r="L584" t="s">
        <v>22</v>
      </c>
      <c r="M584">
        <v>10000.67</v>
      </c>
      <c r="N584">
        <v>2020</v>
      </c>
      <c r="O584">
        <v>5</v>
      </c>
    </row>
    <row r="585" spans="1:15" x14ac:dyDescent="0.3">
      <c r="A585" s="1">
        <v>43955</v>
      </c>
      <c r="B585">
        <v>1000000067</v>
      </c>
      <c r="C585" t="s">
        <v>42</v>
      </c>
      <c r="D585">
        <v>1</v>
      </c>
      <c r="E585">
        <v>9999.94</v>
      </c>
      <c r="F585" t="s">
        <v>16</v>
      </c>
      <c r="G585" t="s">
        <v>43</v>
      </c>
      <c r="H585" t="s">
        <v>18</v>
      </c>
      <c r="I585" t="s">
        <v>25</v>
      </c>
      <c r="J585" t="s">
        <v>20</v>
      </c>
      <c r="K585" t="s">
        <v>51</v>
      </c>
      <c r="L585" t="s">
        <v>22</v>
      </c>
      <c r="M585">
        <v>9999.94</v>
      </c>
      <c r="N585">
        <v>2020</v>
      </c>
      <c r="O585">
        <v>5</v>
      </c>
    </row>
    <row r="586" spans="1:15" x14ac:dyDescent="0.3">
      <c r="A586" s="1">
        <v>43955</v>
      </c>
      <c r="B586">
        <v>1000000237</v>
      </c>
      <c r="C586" t="s">
        <v>42</v>
      </c>
      <c r="D586">
        <v>1</v>
      </c>
      <c r="E586">
        <v>6999.98</v>
      </c>
      <c r="F586" t="s">
        <v>16</v>
      </c>
      <c r="G586" t="s">
        <v>43</v>
      </c>
      <c r="H586" t="s">
        <v>18</v>
      </c>
      <c r="I586" t="s">
        <v>40</v>
      </c>
      <c r="J586" t="s">
        <v>26</v>
      </c>
      <c r="K586" t="s">
        <v>41</v>
      </c>
      <c r="L586" t="s">
        <v>22</v>
      </c>
      <c r="M586">
        <v>6999.98</v>
      </c>
      <c r="N586">
        <v>2020</v>
      </c>
      <c r="O586">
        <v>5</v>
      </c>
    </row>
    <row r="587" spans="1:15" x14ac:dyDescent="0.3">
      <c r="A587" s="1">
        <v>43955</v>
      </c>
      <c r="B587">
        <v>1000000031</v>
      </c>
      <c r="C587" t="s">
        <v>23</v>
      </c>
      <c r="D587">
        <v>1</v>
      </c>
      <c r="E587">
        <v>6000.51</v>
      </c>
      <c r="F587" t="s">
        <v>16</v>
      </c>
      <c r="G587" t="s">
        <v>24</v>
      </c>
      <c r="H587" t="s">
        <v>18</v>
      </c>
      <c r="I587" t="s">
        <v>19</v>
      </c>
      <c r="J587" t="s">
        <v>26</v>
      </c>
      <c r="K587" t="s">
        <v>29</v>
      </c>
      <c r="L587" t="s">
        <v>28</v>
      </c>
      <c r="M587">
        <v>6000.51</v>
      </c>
      <c r="N587">
        <v>2020</v>
      </c>
      <c r="O587">
        <v>5</v>
      </c>
    </row>
    <row r="588" spans="1:15" x14ac:dyDescent="0.3">
      <c r="A588" s="1">
        <v>43955</v>
      </c>
      <c r="B588">
        <v>1000000043</v>
      </c>
      <c r="C588" t="s">
        <v>23</v>
      </c>
      <c r="D588">
        <v>1</v>
      </c>
      <c r="E588">
        <v>6000.17</v>
      </c>
      <c r="F588" t="s">
        <v>16</v>
      </c>
      <c r="G588" t="s">
        <v>24</v>
      </c>
      <c r="H588" t="s">
        <v>30</v>
      </c>
      <c r="I588" t="s">
        <v>38</v>
      </c>
      <c r="J588" t="s">
        <v>26</v>
      </c>
      <c r="K588" t="s">
        <v>39</v>
      </c>
      <c r="L588" t="s">
        <v>22</v>
      </c>
      <c r="M588">
        <v>6000.17</v>
      </c>
      <c r="N588">
        <v>2020</v>
      </c>
      <c r="O588">
        <v>5</v>
      </c>
    </row>
    <row r="589" spans="1:15" x14ac:dyDescent="0.3">
      <c r="A589" s="1">
        <v>43955</v>
      </c>
      <c r="B589">
        <v>1000000046</v>
      </c>
      <c r="C589" t="s">
        <v>15</v>
      </c>
      <c r="D589">
        <v>1</v>
      </c>
      <c r="E589">
        <v>5000.66</v>
      </c>
      <c r="F589" t="s">
        <v>16</v>
      </c>
      <c r="G589" t="s">
        <v>17</v>
      </c>
      <c r="H589" t="s">
        <v>30</v>
      </c>
      <c r="I589" t="s">
        <v>38</v>
      </c>
      <c r="J589" t="s">
        <v>26</v>
      </c>
      <c r="K589" t="s">
        <v>39</v>
      </c>
      <c r="L589" t="s">
        <v>22</v>
      </c>
      <c r="M589">
        <v>5000.66</v>
      </c>
      <c r="N589">
        <v>2020</v>
      </c>
      <c r="O589">
        <v>5</v>
      </c>
    </row>
    <row r="590" spans="1:15" x14ac:dyDescent="0.3">
      <c r="A590" s="1">
        <v>43955</v>
      </c>
      <c r="B590">
        <v>1000000043</v>
      </c>
      <c r="C590" t="s">
        <v>15</v>
      </c>
      <c r="D590">
        <v>1</v>
      </c>
      <c r="E590">
        <v>5000.33</v>
      </c>
      <c r="F590" t="s">
        <v>16</v>
      </c>
      <c r="G590" t="s">
        <v>17</v>
      </c>
      <c r="H590" t="s">
        <v>30</v>
      </c>
      <c r="I590" t="s">
        <v>38</v>
      </c>
      <c r="J590" t="s">
        <v>26</v>
      </c>
      <c r="K590" t="s">
        <v>39</v>
      </c>
      <c r="L590" t="s">
        <v>22</v>
      </c>
      <c r="M590">
        <v>5000.33</v>
      </c>
      <c r="N590">
        <v>2020</v>
      </c>
      <c r="O590">
        <v>5</v>
      </c>
    </row>
    <row r="591" spans="1:15" x14ac:dyDescent="0.3">
      <c r="A591" s="1">
        <v>43955</v>
      </c>
      <c r="B591">
        <v>1000000046</v>
      </c>
      <c r="C591" t="s">
        <v>23</v>
      </c>
      <c r="D591">
        <v>1</v>
      </c>
      <c r="E591">
        <v>5000</v>
      </c>
      <c r="F591" t="s">
        <v>16</v>
      </c>
      <c r="G591" t="s">
        <v>24</v>
      </c>
      <c r="H591" t="s">
        <v>30</v>
      </c>
      <c r="I591" t="s">
        <v>38</v>
      </c>
      <c r="J591" t="s">
        <v>26</v>
      </c>
      <c r="K591" t="s">
        <v>39</v>
      </c>
      <c r="L591" t="s">
        <v>22</v>
      </c>
      <c r="M591">
        <v>5000</v>
      </c>
      <c r="N591">
        <v>2020</v>
      </c>
      <c r="O591">
        <v>5</v>
      </c>
    </row>
    <row r="592" spans="1:15" x14ac:dyDescent="0.3">
      <c r="A592" s="1">
        <v>43955</v>
      </c>
      <c r="B592">
        <v>1000000040</v>
      </c>
      <c r="C592" t="s">
        <v>23</v>
      </c>
      <c r="D592">
        <v>2</v>
      </c>
      <c r="E592">
        <v>3584.76</v>
      </c>
      <c r="F592" t="s">
        <v>16</v>
      </c>
      <c r="G592" t="s">
        <v>24</v>
      </c>
      <c r="H592" t="s">
        <v>30</v>
      </c>
      <c r="I592" t="s">
        <v>31</v>
      </c>
      <c r="J592" t="s">
        <v>32</v>
      </c>
      <c r="K592" t="s">
        <v>33</v>
      </c>
      <c r="L592" t="s">
        <v>28</v>
      </c>
      <c r="M592">
        <v>1792.38</v>
      </c>
      <c r="N592">
        <v>2020</v>
      </c>
      <c r="O592">
        <v>5</v>
      </c>
    </row>
    <row r="593" spans="1:15" x14ac:dyDescent="0.3">
      <c r="A593" s="1">
        <v>43955</v>
      </c>
      <c r="B593">
        <v>1000000031</v>
      </c>
      <c r="C593" t="s">
        <v>15</v>
      </c>
      <c r="D593">
        <v>1</v>
      </c>
      <c r="E593">
        <v>2500.11</v>
      </c>
      <c r="F593" t="s">
        <v>16</v>
      </c>
      <c r="G593" t="s">
        <v>17</v>
      </c>
      <c r="H593" t="s">
        <v>18</v>
      </c>
      <c r="I593" t="s">
        <v>19</v>
      </c>
      <c r="J593" t="s">
        <v>26</v>
      </c>
      <c r="K593" t="s">
        <v>29</v>
      </c>
      <c r="L593" t="s">
        <v>28</v>
      </c>
      <c r="M593">
        <v>2500.11</v>
      </c>
      <c r="N593">
        <v>2020</v>
      </c>
      <c r="O593">
        <v>5</v>
      </c>
    </row>
    <row r="594" spans="1:15" x14ac:dyDescent="0.3">
      <c r="A594" s="1">
        <v>43955</v>
      </c>
      <c r="B594">
        <v>1000000032</v>
      </c>
      <c r="C594" t="s">
        <v>23</v>
      </c>
      <c r="D594">
        <v>1</v>
      </c>
      <c r="E594">
        <v>1800.45</v>
      </c>
      <c r="F594" t="s">
        <v>16</v>
      </c>
      <c r="G594" t="s">
        <v>24</v>
      </c>
      <c r="H594" t="s">
        <v>18</v>
      </c>
      <c r="I594" t="s">
        <v>25</v>
      </c>
      <c r="J594" t="s">
        <v>26</v>
      </c>
      <c r="K594" t="s">
        <v>27</v>
      </c>
      <c r="L594" t="s">
        <v>28</v>
      </c>
      <c r="M594">
        <v>1800.45</v>
      </c>
      <c r="N594">
        <v>2020</v>
      </c>
      <c r="O594">
        <v>5</v>
      </c>
    </row>
    <row r="595" spans="1:15" x14ac:dyDescent="0.3">
      <c r="A595" s="1">
        <v>43955</v>
      </c>
      <c r="B595">
        <v>1000000033</v>
      </c>
      <c r="C595" t="s">
        <v>23</v>
      </c>
      <c r="D595">
        <v>1</v>
      </c>
      <c r="E595">
        <v>1000.53</v>
      </c>
      <c r="F595" t="s">
        <v>16</v>
      </c>
      <c r="G595" t="s">
        <v>24</v>
      </c>
      <c r="H595" t="s">
        <v>18</v>
      </c>
      <c r="I595" t="s">
        <v>25</v>
      </c>
      <c r="J595" t="s">
        <v>26</v>
      </c>
      <c r="K595" t="s">
        <v>27</v>
      </c>
      <c r="L595" t="s">
        <v>22</v>
      </c>
      <c r="M595">
        <v>1000.53</v>
      </c>
      <c r="N595">
        <v>2020</v>
      </c>
      <c r="O595">
        <v>5</v>
      </c>
    </row>
    <row r="596" spans="1:15" x14ac:dyDescent="0.3">
      <c r="A596" s="1">
        <v>43955</v>
      </c>
      <c r="B596">
        <v>1000003926</v>
      </c>
      <c r="C596" t="s">
        <v>23</v>
      </c>
      <c r="D596">
        <v>1</v>
      </c>
      <c r="E596">
        <v>500.27</v>
      </c>
      <c r="F596" t="s">
        <v>16</v>
      </c>
      <c r="G596" t="s">
        <v>24</v>
      </c>
      <c r="H596" t="s">
        <v>47</v>
      </c>
      <c r="I596" t="s">
        <v>48</v>
      </c>
      <c r="J596" t="s">
        <v>26</v>
      </c>
      <c r="K596" t="s">
        <v>50</v>
      </c>
      <c r="L596" t="s">
        <v>28</v>
      </c>
      <c r="M596">
        <v>500.27</v>
      </c>
      <c r="N596">
        <v>2020</v>
      </c>
      <c r="O596">
        <v>5</v>
      </c>
    </row>
    <row r="597" spans="1:15" x14ac:dyDescent="0.3">
      <c r="A597" s="1">
        <v>43956</v>
      </c>
      <c r="B597">
        <v>1000003926</v>
      </c>
      <c r="C597" t="s">
        <v>15</v>
      </c>
      <c r="D597">
        <v>4</v>
      </c>
      <c r="E597">
        <v>79001.05</v>
      </c>
      <c r="F597" t="s">
        <v>16</v>
      </c>
      <c r="G597" t="s">
        <v>17</v>
      </c>
      <c r="H597" t="s">
        <v>47</v>
      </c>
      <c r="I597" t="s">
        <v>48</v>
      </c>
      <c r="J597" t="s">
        <v>26</v>
      </c>
      <c r="K597" t="s">
        <v>50</v>
      </c>
      <c r="L597" t="s">
        <v>28</v>
      </c>
      <c r="M597">
        <v>19750.262500000001</v>
      </c>
      <c r="N597">
        <v>2020</v>
      </c>
      <c r="O597">
        <v>5</v>
      </c>
    </row>
    <row r="598" spans="1:15" x14ac:dyDescent="0.3">
      <c r="A598" s="1">
        <v>43956</v>
      </c>
      <c r="B598">
        <v>1000003926</v>
      </c>
      <c r="C598" t="s">
        <v>23</v>
      </c>
      <c r="D598">
        <v>2</v>
      </c>
      <c r="E598">
        <v>35000.1</v>
      </c>
      <c r="F598" t="s">
        <v>16</v>
      </c>
      <c r="G598" t="s">
        <v>24</v>
      </c>
      <c r="H598" t="s">
        <v>47</v>
      </c>
      <c r="I598" t="s">
        <v>48</v>
      </c>
      <c r="J598" t="s">
        <v>26</v>
      </c>
      <c r="K598" t="s">
        <v>50</v>
      </c>
      <c r="L598" t="s">
        <v>28</v>
      </c>
      <c r="M598">
        <v>17500.05</v>
      </c>
      <c r="N598">
        <v>2020</v>
      </c>
      <c r="O598">
        <v>5</v>
      </c>
    </row>
    <row r="599" spans="1:15" x14ac:dyDescent="0.3">
      <c r="A599" s="1">
        <v>43956</v>
      </c>
      <c r="B599">
        <v>1000000028</v>
      </c>
      <c r="C599" t="s">
        <v>15</v>
      </c>
      <c r="D599">
        <v>2</v>
      </c>
      <c r="E599">
        <v>28500.86</v>
      </c>
      <c r="F599" t="s">
        <v>16</v>
      </c>
      <c r="G599" t="s">
        <v>17</v>
      </c>
      <c r="H599" t="s">
        <v>18</v>
      </c>
      <c r="I599" t="s">
        <v>19</v>
      </c>
      <c r="J599" t="s">
        <v>20</v>
      </c>
      <c r="K599" t="s">
        <v>21</v>
      </c>
      <c r="L599" t="s">
        <v>22</v>
      </c>
      <c r="M599">
        <v>14250.43</v>
      </c>
      <c r="N599">
        <v>2020</v>
      </c>
      <c r="O599">
        <v>5</v>
      </c>
    </row>
    <row r="600" spans="1:15" x14ac:dyDescent="0.3">
      <c r="A600" s="1">
        <v>43956</v>
      </c>
      <c r="B600">
        <v>1000000054</v>
      </c>
      <c r="C600" t="s">
        <v>15</v>
      </c>
      <c r="D600">
        <v>2</v>
      </c>
      <c r="E600">
        <v>26500.720000000001</v>
      </c>
      <c r="F600" t="s">
        <v>16</v>
      </c>
      <c r="G600" t="s">
        <v>17</v>
      </c>
      <c r="H600" t="s">
        <v>18</v>
      </c>
      <c r="I600" t="s">
        <v>34</v>
      </c>
      <c r="J600" t="s">
        <v>26</v>
      </c>
      <c r="K600" t="s">
        <v>35</v>
      </c>
      <c r="L600" t="s">
        <v>22</v>
      </c>
      <c r="M600">
        <v>13250.36</v>
      </c>
      <c r="N600">
        <v>2020</v>
      </c>
      <c r="O600">
        <v>5</v>
      </c>
    </row>
    <row r="601" spans="1:15" x14ac:dyDescent="0.3">
      <c r="A601" s="1">
        <v>43956</v>
      </c>
      <c r="B601">
        <v>1000000029</v>
      </c>
      <c r="C601" t="s">
        <v>23</v>
      </c>
      <c r="D601">
        <v>3</v>
      </c>
      <c r="E601">
        <v>24163.48</v>
      </c>
      <c r="F601" t="s">
        <v>16</v>
      </c>
      <c r="G601" t="s">
        <v>24</v>
      </c>
      <c r="H601" t="s">
        <v>18</v>
      </c>
      <c r="I601" t="s">
        <v>19</v>
      </c>
      <c r="J601" t="s">
        <v>20</v>
      </c>
      <c r="K601" t="s">
        <v>21</v>
      </c>
      <c r="L601" t="s">
        <v>22</v>
      </c>
      <c r="M601">
        <v>8054.4933333333329</v>
      </c>
      <c r="N601">
        <v>2020</v>
      </c>
      <c r="O601">
        <v>5</v>
      </c>
    </row>
    <row r="602" spans="1:15" x14ac:dyDescent="0.3">
      <c r="A602" s="1">
        <v>43956</v>
      </c>
      <c r="B602">
        <v>1000000035</v>
      </c>
      <c r="C602" t="s">
        <v>42</v>
      </c>
      <c r="D602">
        <v>1</v>
      </c>
      <c r="E602">
        <v>18000.669999999998</v>
      </c>
      <c r="F602" t="s">
        <v>16</v>
      </c>
      <c r="G602" t="s">
        <v>43</v>
      </c>
      <c r="H602" t="s">
        <v>18</v>
      </c>
      <c r="I602" t="s">
        <v>25</v>
      </c>
      <c r="J602" t="s">
        <v>36</v>
      </c>
      <c r="K602" t="s">
        <v>37</v>
      </c>
      <c r="L602" t="s">
        <v>22</v>
      </c>
      <c r="M602">
        <v>18000.669999999998</v>
      </c>
      <c r="N602">
        <v>2020</v>
      </c>
      <c r="O602">
        <v>5</v>
      </c>
    </row>
    <row r="603" spans="1:15" x14ac:dyDescent="0.3">
      <c r="A603" s="1">
        <v>43956</v>
      </c>
      <c r="B603">
        <v>1000000029</v>
      </c>
      <c r="C603" t="s">
        <v>15</v>
      </c>
      <c r="D603">
        <v>1</v>
      </c>
      <c r="E603">
        <v>17000.62</v>
      </c>
      <c r="F603" t="s">
        <v>16</v>
      </c>
      <c r="G603" t="s">
        <v>17</v>
      </c>
      <c r="H603" t="s">
        <v>18</v>
      </c>
      <c r="I603" t="s">
        <v>19</v>
      </c>
      <c r="J603" t="s">
        <v>20</v>
      </c>
      <c r="K603" t="s">
        <v>21</v>
      </c>
      <c r="L603" t="s">
        <v>22</v>
      </c>
      <c r="M603">
        <v>17000.62</v>
      </c>
      <c r="N603">
        <v>2020</v>
      </c>
      <c r="O603">
        <v>5</v>
      </c>
    </row>
    <row r="604" spans="1:15" x14ac:dyDescent="0.3">
      <c r="A604" s="1">
        <v>43956</v>
      </c>
      <c r="B604">
        <v>1000000928</v>
      </c>
      <c r="C604" t="s">
        <v>15</v>
      </c>
      <c r="D604">
        <v>1</v>
      </c>
      <c r="E604">
        <v>16000.73</v>
      </c>
      <c r="F604" t="s">
        <v>16</v>
      </c>
      <c r="G604" t="s">
        <v>17</v>
      </c>
      <c r="H604" t="s">
        <v>30</v>
      </c>
      <c r="I604" t="s">
        <v>57</v>
      </c>
      <c r="J604" t="s">
        <v>26</v>
      </c>
      <c r="K604" t="s">
        <v>58</v>
      </c>
      <c r="L604" t="s">
        <v>22</v>
      </c>
      <c r="M604">
        <v>16000.73</v>
      </c>
      <c r="N604">
        <v>2020</v>
      </c>
      <c r="O604">
        <v>5</v>
      </c>
    </row>
    <row r="605" spans="1:15" x14ac:dyDescent="0.3">
      <c r="A605" s="1">
        <v>43956</v>
      </c>
      <c r="B605">
        <v>1000000566</v>
      </c>
      <c r="C605" t="s">
        <v>15</v>
      </c>
      <c r="D605">
        <v>2</v>
      </c>
      <c r="E605">
        <v>14940.579999999998</v>
      </c>
      <c r="F605" t="s">
        <v>16</v>
      </c>
      <c r="G605" t="s">
        <v>17</v>
      </c>
      <c r="H605" t="s">
        <v>47</v>
      </c>
      <c r="I605" t="s">
        <v>48</v>
      </c>
      <c r="J605" t="s">
        <v>36</v>
      </c>
      <c r="K605" t="s">
        <v>49</v>
      </c>
      <c r="L605" t="s">
        <v>22</v>
      </c>
      <c r="M605">
        <v>7470.2899999999981</v>
      </c>
      <c r="N605">
        <v>2020</v>
      </c>
      <c r="O605">
        <v>5</v>
      </c>
    </row>
    <row r="606" spans="1:15" x14ac:dyDescent="0.3">
      <c r="A606" s="1">
        <v>43956</v>
      </c>
      <c r="B606">
        <v>1000000237</v>
      </c>
      <c r="C606" t="s">
        <v>42</v>
      </c>
      <c r="D606">
        <v>1</v>
      </c>
      <c r="E606">
        <v>13000.75</v>
      </c>
      <c r="F606" t="s">
        <v>16</v>
      </c>
      <c r="G606" t="s">
        <v>43</v>
      </c>
      <c r="H606" t="s">
        <v>18</v>
      </c>
      <c r="I606" t="s">
        <v>40</v>
      </c>
      <c r="J606" t="s">
        <v>26</v>
      </c>
      <c r="K606" t="s">
        <v>41</v>
      </c>
      <c r="L606" t="s">
        <v>22</v>
      </c>
      <c r="M606">
        <v>13000.75</v>
      </c>
      <c r="N606">
        <v>2020</v>
      </c>
      <c r="O606">
        <v>5</v>
      </c>
    </row>
    <row r="607" spans="1:15" x14ac:dyDescent="0.3">
      <c r="A607" s="1">
        <v>43956</v>
      </c>
      <c r="B607">
        <v>1000004256</v>
      </c>
      <c r="C607" t="s">
        <v>42</v>
      </c>
      <c r="D607">
        <v>1</v>
      </c>
      <c r="E607">
        <v>12000.66</v>
      </c>
      <c r="F607" t="s">
        <v>16</v>
      </c>
      <c r="G607" t="s">
        <v>43</v>
      </c>
      <c r="H607" t="s">
        <v>18</v>
      </c>
      <c r="I607" t="s">
        <v>40</v>
      </c>
      <c r="J607" t="s">
        <v>26</v>
      </c>
      <c r="K607" t="s">
        <v>41</v>
      </c>
      <c r="L607" t="s">
        <v>22</v>
      </c>
      <c r="M607">
        <v>12000.66</v>
      </c>
      <c r="N607">
        <v>2020</v>
      </c>
      <c r="O607">
        <v>5</v>
      </c>
    </row>
    <row r="608" spans="1:15" x14ac:dyDescent="0.3">
      <c r="A608" s="1">
        <v>43956</v>
      </c>
      <c r="B608">
        <v>1000000068</v>
      </c>
      <c r="C608" t="s">
        <v>15</v>
      </c>
      <c r="D608">
        <v>1</v>
      </c>
      <c r="E608">
        <v>10000.31</v>
      </c>
      <c r="F608" t="s">
        <v>16</v>
      </c>
      <c r="G608" t="s">
        <v>17</v>
      </c>
      <c r="H608" t="s">
        <v>30</v>
      </c>
      <c r="I608" t="s">
        <v>55</v>
      </c>
      <c r="J608" t="s">
        <v>26</v>
      </c>
      <c r="K608" t="s">
        <v>56</v>
      </c>
      <c r="L608" t="s">
        <v>28</v>
      </c>
      <c r="M608">
        <v>10000.31</v>
      </c>
      <c r="N608">
        <v>2020</v>
      </c>
      <c r="O608">
        <v>5</v>
      </c>
    </row>
    <row r="609" spans="1:15" x14ac:dyDescent="0.3">
      <c r="A609" s="1">
        <v>43956</v>
      </c>
      <c r="B609">
        <v>1000000044</v>
      </c>
      <c r="C609" t="s">
        <v>23</v>
      </c>
      <c r="D609">
        <v>1</v>
      </c>
      <c r="E609">
        <v>10000.19</v>
      </c>
      <c r="F609" t="s">
        <v>16</v>
      </c>
      <c r="G609" t="s">
        <v>24</v>
      </c>
      <c r="H609" t="s">
        <v>30</v>
      </c>
      <c r="I609" t="s">
        <v>31</v>
      </c>
      <c r="J609" t="s">
        <v>36</v>
      </c>
      <c r="K609" t="s">
        <v>52</v>
      </c>
      <c r="L609" t="s">
        <v>28</v>
      </c>
      <c r="M609">
        <v>10000.19</v>
      </c>
      <c r="N609">
        <v>2020</v>
      </c>
      <c r="O609">
        <v>5</v>
      </c>
    </row>
    <row r="610" spans="1:15" x14ac:dyDescent="0.3">
      <c r="A610" s="1">
        <v>43956</v>
      </c>
      <c r="B610">
        <v>1000000043</v>
      </c>
      <c r="C610" t="s">
        <v>23</v>
      </c>
      <c r="D610">
        <v>1</v>
      </c>
      <c r="E610">
        <v>9000.17</v>
      </c>
      <c r="F610" t="s">
        <v>16</v>
      </c>
      <c r="G610" t="s">
        <v>24</v>
      </c>
      <c r="H610" t="s">
        <v>30</v>
      </c>
      <c r="I610" t="s">
        <v>38</v>
      </c>
      <c r="J610" t="s">
        <v>26</v>
      </c>
      <c r="K610" t="s">
        <v>39</v>
      </c>
      <c r="L610" t="s">
        <v>22</v>
      </c>
      <c r="M610">
        <v>9000.17</v>
      </c>
      <c r="N610">
        <v>2020</v>
      </c>
      <c r="O610">
        <v>5</v>
      </c>
    </row>
    <row r="611" spans="1:15" x14ac:dyDescent="0.3">
      <c r="A611" s="1">
        <v>43956</v>
      </c>
      <c r="B611">
        <v>1000000028</v>
      </c>
      <c r="C611" t="s">
        <v>23</v>
      </c>
      <c r="D611">
        <v>1</v>
      </c>
      <c r="E611">
        <v>8000.59</v>
      </c>
      <c r="F611" t="s">
        <v>16</v>
      </c>
      <c r="G611" t="s">
        <v>24</v>
      </c>
      <c r="H611" t="s">
        <v>18</v>
      </c>
      <c r="I611" t="s">
        <v>19</v>
      </c>
      <c r="J611" t="s">
        <v>20</v>
      </c>
      <c r="K611" t="s">
        <v>21</v>
      </c>
      <c r="L611" t="s">
        <v>22</v>
      </c>
      <c r="M611">
        <v>8000.59</v>
      </c>
      <c r="N611">
        <v>2020</v>
      </c>
      <c r="O611">
        <v>5</v>
      </c>
    </row>
    <row r="612" spans="1:15" x14ac:dyDescent="0.3">
      <c r="A612" s="1">
        <v>43956</v>
      </c>
      <c r="B612">
        <v>1000000040</v>
      </c>
      <c r="C612" t="s">
        <v>15</v>
      </c>
      <c r="D612">
        <v>1</v>
      </c>
      <c r="E612">
        <v>8000.18</v>
      </c>
      <c r="F612" t="s">
        <v>16</v>
      </c>
      <c r="G612" t="s">
        <v>17</v>
      </c>
      <c r="H612" t="s">
        <v>30</v>
      </c>
      <c r="I612" t="s">
        <v>31</v>
      </c>
      <c r="J612" t="s">
        <v>32</v>
      </c>
      <c r="K612" t="s">
        <v>33</v>
      </c>
      <c r="L612" t="s">
        <v>28</v>
      </c>
      <c r="M612">
        <v>8000.18</v>
      </c>
      <c r="N612">
        <v>2020</v>
      </c>
      <c r="O612">
        <v>5</v>
      </c>
    </row>
    <row r="613" spans="1:15" x14ac:dyDescent="0.3">
      <c r="A613" s="1">
        <v>43956</v>
      </c>
      <c r="B613">
        <v>1000000576</v>
      </c>
      <c r="C613" t="s">
        <v>15</v>
      </c>
      <c r="D613">
        <v>1</v>
      </c>
      <c r="E613">
        <v>7500.11</v>
      </c>
      <c r="F613" t="s">
        <v>16</v>
      </c>
      <c r="G613" t="s">
        <v>17</v>
      </c>
      <c r="H613" t="s">
        <v>18</v>
      </c>
      <c r="I613" t="s">
        <v>25</v>
      </c>
      <c r="J613" t="s">
        <v>36</v>
      </c>
      <c r="K613" t="s">
        <v>37</v>
      </c>
      <c r="L613" t="s">
        <v>22</v>
      </c>
      <c r="M613">
        <v>7500.11</v>
      </c>
      <c r="N613">
        <v>2020</v>
      </c>
      <c r="O613">
        <v>5</v>
      </c>
    </row>
    <row r="614" spans="1:15" x14ac:dyDescent="0.3">
      <c r="A614" s="1">
        <v>43956</v>
      </c>
      <c r="B614">
        <v>1000000057</v>
      </c>
      <c r="C614" t="s">
        <v>15</v>
      </c>
      <c r="D614">
        <v>1</v>
      </c>
      <c r="E614">
        <v>7500.03</v>
      </c>
      <c r="F614" t="s">
        <v>16</v>
      </c>
      <c r="G614" t="s">
        <v>17</v>
      </c>
      <c r="H614" t="s">
        <v>18</v>
      </c>
      <c r="I614" t="s">
        <v>34</v>
      </c>
      <c r="J614" t="s">
        <v>20</v>
      </c>
      <c r="K614" t="s">
        <v>44</v>
      </c>
      <c r="L614" t="s">
        <v>22</v>
      </c>
      <c r="M614">
        <v>7500.03</v>
      </c>
      <c r="N614">
        <v>2020</v>
      </c>
      <c r="O614">
        <v>5</v>
      </c>
    </row>
    <row r="615" spans="1:15" x14ac:dyDescent="0.3">
      <c r="A615" s="1">
        <v>43956</v>
      </c>
      <c r="B615">
        <v>1000000029</v>
      </c>
      <c r="C615" t="s">
        <v>42</v>
      </c>
      <c r="D615">
        <v>1</v>
      </c>
      <c r="E615">
        <v>7000.3</v>
      </c>
      <c r="F615" t="s">
        <v>16</v>
      </c>
      <c r="G615" t="s">
        <v>43</v>
      </c>
      <c r="H615" t="s">
        <v>18</v>
      </c>
      <c r="I615" t="s">
        <v>19</v>
      </c>
      <c r="J615" t="s">
        <v>20</v>
      </c>
      <c r="K615" t="s">
        <v>21</v>
      </c>
      <c r="L615" t="s">
        <v>22</v>
      </c>
      <c r="M615">
        <v>7000.3</v>
      </c>
      <c r="N615">
        <v>2020</v>
      </c>
      <c r="O615">
        <v>5</v>
      </c>
    </row>
    <row r="616" spans="1:15" x14ac:dyDescent="0.3">
      <c r="A616" s="1">
        <v>43956</v>
      </c>
      <c r="B616">
        <v>1000000040</v>
      </c>
      <c r="C616" t="s">
        <v>23</v>
      </c>
      <c r="D616">
        <v>1</v>
      </c>
      <c r="E616">
        <v>6000.28</v>
      </c>
      <c r="F616" t="s">
        <v>16</v>
      </c>
      <c r="G616" t="s">
        <v>24</v>
      </c>
      <c r="H616" t="s">
        <v>30</v>
      </c>
      <c r="I616" t="s">
        <v>31</v>
      </c>
      <c r="J616" t="s">
        <v>32</v>
      </c>
      <c r="K616" t="s">
        <v>33</v>
      </c>
      <c r="L616" t="s">
        <v>28</v>
      </c>
      <c r="M616">
        <v>6000.28</v>
      </c>
      <c r="N616">
        <v>2020</v>
      </c>
      <c r="O616">
        <v>5</v>
      </c>
    </row>
    <row r="617" spans="1:15" x14ac:dyDescent="0.3">
      <c r="A617" s="1">
        <v>43956</v>
      </c>
      <c r="B617">
        <v>1000000035</v>
      </c>
      <c r="C617" t="s">
        <v>23</v>
      </c>
      <c r="D617">
        <v>1</v>
      </c>
      <c r="E617">
        <v>5499.95</v>
      </c>
      <c r="F617" t="s">
        <v>16</v>
      </c>
      <c r="G617" t="s">
        <v>24</v>
      </c>
      <c r="H617" t="s">
        <v>18</v>
      </c>
      <c r="I617" t="s">
        <v>25</v>
      </c>
      <c r="J617" t="s">
        <v>36</v>
      </c>
      <c r="K617" t="s">
        <v>37</v>
      </c>
      <c r="L617" t="s">
        <v>22</v>
      </c>
      <c r="M617">
        <v>5499.95</v>
      </c>
      <c r="N617">
        <v>2020</v>
      </c>
      <c r="O617">
        <v>5</v>
      </c>
    </row>
    <row r="618" spans="1:15" x14ac:dyDescent="0.3">
      <c r="A618" s="1">
        <v>43956</v>
      </c>
      <c r="B618">
        <v>1000000033</v>
      </c>
      <c r="C618" t="s">
        <v>23</v>
      </c>
      <c r="D618">
        <v>1</v>
      </c>
      <c r="E618">
        <v>3000.68</v>
      </c>
      <c r="F618" t="s">
        <v>16</v>
      </c>
      <c r="G618" t="s">
        <v>24</v>
      </c>
      <c r="H618" t="s">
        <v>18</v>
      </c>
      <c r="I618" t="s">
        <v>25</v>
      </c>
      <c r="J618" t="s">
        <v>26</v>
      </c>
      <c r="K618" t="s">
        <v>27</v>
      </c>
      <c r="L618" t="s">
        <v>22</v>
      </c>
      <c r="M618">
        <v>3000.68</v>
      </c>
      <c r="N618">
        <v>2020</v>
      </c>
      <c r="O618">
        <v>5</v>
      </c>
    </row>
    <row r="619" spans="1:15" x14ac:dyDescent="0.3">
      <c r="A619" s="1">
        <v>43956</v>
      </c>
      <c r="B619">
        <v>1000000037</v>
      </c>
      <c r="C619" t="s">
        <v>15</v>
      </c>
      <c r="D619">
        <v>1</v>
      </c>
      <c r="E619">
        <v>1000.53</v>
      </c>
      <c r="F619" t="s">
        <v>16</v>
      </c>
      <c r="G619" t="s">
        <v>17</v>
      </c>
      <c r="H619" t="s">
        <v>18</v>
      </c>
      <c r="I619" t="s">
        <v>19</v>
      </c>
      <c r="J619" t="s">
        <v>20</v>
      </c>
      <c r="K619" t="s">
        <v>21</v>
      </c>
      <c r="L619" t="s">
        <v>22</v>
      </c>
      <c r="M619">
        <v>1000.53</v>
      </c>
      <c r="N619">
        <v>2020</v>
      </c>
      <c r="O619">
        <v>5</v>
      </c>
    </row>
    <row r="620" spans="1:15" x14ac:dyDescent="0.3">
      <c r="A620" s="1">
        <v>43957</v>
      </c>
      <c r="B620">
        <v>1000003926</v>
      </c>
      <c r="C620" t="s">
        <v>23</v>
      </c>
      <c r="D620">
        <v>7</v>
      </c>
      <c r="E620">
        <v>67502.450000000012</v>
      </c>
      <c r="F620" t="s">
        <v>16</v>
      </c>
      <c r="G620" t="s">
        <v>24</v>
      </c>
      <c r="H620" t="s">
        <v>47</v>
      </c>
      <c r="I620" t="s">
        <v>48</v>
      </c>
      <c r="J620" t="s">
        <v>26</v>
      </c>
      <c r="K620" t="s">
        <v>50</v>
      </c>
      <c r="L620" t="s">
        <v>28</v>
      </c>
      <c r="M620">
        <v>9643.2071428571453</v>
      </c>
      <c r="N620">
        <v>2020</v>
      </c>
      <c r="O620">
        <v>5</v>
      </c>
    </row>
    <row r="621" spans="1:15" x14ac:dyDescent="0.3">
      <c r="A621" s="1">
        <v>43957</v>
      </c>
      <c r="B621">
        <v>1000003926</v>
      </c>
      <c r="C621" t="s">
        <v>15</v>
      </c>
      <c r="D621">
        <v>4</v>
      </c>
      <c r="E621">
        <v>65001.06</v>
      </c>
      <c r="F621" t="s">
        <v>16</v>
      </c>
      <c r="G621" t="s">
        <v>17</v>
      </c>
      <c r="H621" t="s">
        <v>47</v>
      </c>
      <c r="I621" t="s">
        <v>48</v>
      </c>
      <c r="J621" t="s">
        <v>26</v>
      </c>
      <c r="K621" t="s">
        <v>50</v>
      </c>
      <c r="L621" t="s">
        <v>28</v>
      </c>
      <c r="M621">
        <v>16250.264999999999</v>
      </c>
      <c r="N621">
        <v>2020</v>
      </c>
      <c r="O621">
        <v>5</v>
      </c>
    </row>
    <row r="622" spans="1:15" x14ac:dyDescent="0.3">
      <c r="A622" s="1">
        <v>43957</v>
      </c>
      <c r="B622">
        <v>1000003803</v>
      </c>
      <c r="C622" t="s">
        <v>23</v>
      </c>
      <c r="D622">
        <v>2</v>
      </c>
      <c r="E622">
        <v>29000.620000000003</v>
      </c>
      <c r="F622" t="s">
        <v>16</v>
      </c>
      <c r="G622" t="s">
        <v>24</v>
      </c>
      <c r="H622" t="s">
        <v>30</v>
      </c>
      <c r="I622" t="s">
        <v>31</v>
      </c>
      <c r="J622" t="s">
        <v>36</v>
      </c>
      <c r="K622" t="s">
        <v>52</v>
      </c>
      <c r="L622" t="s">
        <v>22</v>
      </c>
      <c r="M622">
        <v>14500.31</v>
      </c>
      <c r="N622">
        <v>2020</v>
      </c>
      <c r="O622">
        <v>5</v>
      </c>
    </row>
    <row r="623" spans="1:15" x14ac:dyDescent="0.3">
      <c r="A623" s="1">
        <v>43957</v>
      </c>
      <c r="B623">
        <v>1000000029</v>
      </c>
      <c r="C623" t="s">
        <v>42</v>
      </c>
      <c r="D623">
        <v>2</v>
      </c>
      <c r="E623">
        <v>25000.739999999998</v>
      </c>
      <c r="F623" t="s">
        <v>16</v>
      </c>
      <c r="G623" t="s">
        <v>43</v>
      </c>
      <c r="H623" t="s">
        <v>18</v>
      </c>
      <c r="I623" t="s">
        <v>19</v>
      </c>
      <c r="J623" t="s">
        <v>20</v>
      </c>
      <c r="K623" t="s">
        <v>21</v>
      </c>
      <c r="L623" t="s">
        <v>22</v>
      </c>
      <c r="M623">
        <v>12500.37</v>
      </c>
      <c r="N623">
        <v>2020</v>
      </c>
      <c r="O623">
        <v>5</v>
      </c>
    </row>
    <row r="624" spans="1:15" x14ac:dyDescent="0.3">
      <c r="A624" s="1">
        <v>43957</v>
      </c>
      <c r="B624">
        <v>1000000032</v>
      </c>
      <c r="C624" t="s">
        <v>15</v>
      </c>
      <c r="D624">
        <v>1</v>
      </c>
      <c r="E624">
        <v>22000.560000000001</v>
      </c>
      <c r="F624" t="s">
        <v>16</v>
      </c>
      <c r="G624" t="s">
        <v>17</v>
      </c>
      <c r="H624" t="s">
        <v>18</v>
      </c>
      <c r="I624" t="s">
        <v>25</v>
      </c>
      <c r="J624" t="s">
        <v>26</v>
      </c>
      <c r="K624" t="s">
        <v>27</v>
      </c>
      <c r="L624" t="s">
        <v>28</v>
      </c>
      <c r="M624">
        <v>22000.560000000001</v>
      </c>
      <c r="N624">
        <v>2020</v>
      </c>
      <c r="O624">
        <v>5</v>
      </c>
    </row>
    <row r="625" spans="1:15" x14ac:dyDescent="0.3">
      <c r="A625" s="1">
        <v>43957</v>
      </c>
      <c r="B625">
        <v>1000000928</v>
      </c>
      <c r="C625" t="s">
        <v>15</v>
      </c>
      <c r="D625">
        <v>1</v>
      </c>
      <c r="E625">
        <v>20000.150000000001</v>
      </c>
      <c r="F625" t="s">
        <v>16</v>
      </c>
      <c r="G625" t="s">
        <v>17</v>
      </c>
      <c r="H625" t="s">
        <v>30</v>
      </c>
      <c r="I625" t="s">
        <v>57</v>
      </c>
      <c r="J625" t="s">
        <v>26</v>
      </c>
      <c r="K625" t="s">
        <v>58</v>
      </c>
      <c r="L625" t="s">
        <v>22</v>
      </c>
      <c r="M625">
        <v>20000.150000000001</v>
      </c>
      <c r="N625">
        <v>2020</v>
      </c>
      <c r="O625">
        <v>5</v>
      </c>
    </row>
    <row r="626" spans="1:15" x14ac:dyDescent="0.3">
      <c r="A626" s="1">
        <v>43957</v>
      </c>
      <c r="B626">
        <v>1000000104</v>
      </c>
      <c r="C626" t="s">
        <v>23</v>
      </c>
      <c r="D626">
        <v>1</v>
      </c>
      <c r="E626">
        <v>18000.75</v>
      </c>
      <c r="F626" t="s">
        <v>16</v>
      </c>
      <c r="G626" t="s">
        <v>24</v>
      </c>
      <c r="H626" t="s">
        <v>18</v>
      </c>
      <c r="I626" t="s">
        <v>40</v>
      </c>
      <c r="J626" t="s">
        <v>26</v>
      </c>
      <c r="K626" t="s">
        <v>41</v>
      </c>
      <c r="L626" t="s">
        <v>22</v>
      </c>
      <c r="M626">
        <v>18000.75</v>
      </c>
      <c r="N626">
        <v>2020</v>
      </c>
      <c r="O626">
        <v>5</v>
      </c>
    </row>
    <row r="627" spans="1:15" x14ac:dyDescent="0.3">
      <c r="A627" s="1">
        <v>43957</v>
      </c>
      <c r="B627">
        <v>1000000034</v>
      </c>
      <c r="C627" t="s">
        <v>23</v>
      </c>
      <c r="D627">
        <v>2</v>
      </c>
      <c r="E627">
        <v>17784.98</v>
      </c>
      <c r="F627" t="s">
        <v>16</v>
      </c>
      <c r="G627" t="s">
        <v>24</v>
      </c>
      <c r="H627" t="s">
        <v>18</v>
      </c>
      <c r="I627" t="s">
        <v>25</v>
      </c>
      <c r="J627" t="s">
        <v>26</v>
      </c>
      <c r="K627" t="s">
        <v>27</v>
      </c>
      <c r="L627" t="s">
        <v>22</v>
      </c>
      <c r="M627">
        <v>8892.49</v>
      </c>
      <c r="N627">
        <v>2020</v>
      </c>
      <c r="O627">
        <v>5</v>
      </c>
    </row>
    <row r="628" spans="1:15" x14ac:dyDescent="0.3">
      <c r="A628" s="1">
        <v>43957</v>
      </c>
      <c r="B628">
        <v>1000004256</v>
      </c>
      <c r="C628" t="s">
        <v>42</v>
      </c>
      <c r="D628">
        <v>2</v>
      </c>
      <c r="E628">
        <v>16000.81</v>
      </c>
      <c r="F628" t="s">
        <v>16</v>
      </c>
      <c r="G628" t="s">
        <v>43</v>
      </c>
      <c r="H628" t="s">
        <v>18</v>
      </c>
      <c r="I628" t="s">
        <v>40</v>
      </c>
      <c r="J628" t="s">
        <v>26</v>
      </c>
      <c r="K628" t="s">
        <v>41</v>
      </c>
      <c r="L628" t="s">
        <v>22</v>
      </c>
      <c r="M628">
        <v>8000.4049999999997</v>
      </c>
      <c r="N628">
        <v>2020</v>
      </c>
      <c r="O628">
        <v>5</v>
      </c>
    </row>
    <row r="629" spans="1:15" x14ac:dyDescent="0.3">
      <c r="A629" s="1">
        <v>43957</v>
      </c>
      <c r="B629">
        <v>1000000566</v>
      </c>
      <c r="C629" t="s">
        <v>15</v>
      </c>
      <c r="D629">
        <v>1</v>
      </c>
      <c r="E629">
        <v>15000.4</v>
      </c>
      <c r="F629" t="s">
        <v>16</v>
      </c>
      <c r="G629" t="s">
        <v>17</v>
      </c>
      <c r="H629" t="s">
        <v>47</v>
      </c>
      <c r="I629" t="s">
        <v>48</v>
      </c>
      <c r="J629" t="s">
        <v>36</v>
      </c>
      <c r="K629" t="s">
        <v>49</v>
      </c>
      <c r="L629" t="s">
        <v>22</v>
      </c>
      <c r="M629">
        <v>15000.4</v>
      </c>
      <c r="N629">
        <v>2020</v>
      </c>
      <c r="O629">
        <v>5</v>
      </c>
    </row>
    <row r="630" spans="1:15" x14ac:dyDescent="0.3">
      <c r="A630" s="1">
        <v>43957</v>
      </c>
      <c r="B630">
        <v>1000000032</v>
      </c>
      <c r="C630" t="s">
        <v>23</v>
      </c>
      <c r="D630">
        <v>2</v>
      </c>
      <c r="E630">
        <v>14684.43</v>
      </c>
      <c r="F630" t="s">
        <v>16</v>
      </c>
      <c r="G630" t="s">
        <v>24</v>
      </c>
      <c r="H630" t="s">
        <v>18</v>
      </c>
      <c r="I630" t="s">
        <v>25</v>
      </c>
      <c r="J630" t="s">
        <v>26</v>
      </c>
      <c r="K630" t="s">
        <v>27</v>
      </c>
      <c r="L630" t="s">
        <v>28</v>
      </c>
      <c r="M630">
        <v>7342.2150000000001</v>
      </c>
      <c r="N630">
        <v>2020</v>
      </c>
      <c r="O630">
        <v>5</v>
      </c>
    </row>
    <row r="631" spans="1:15" x14ac:dyDescent="0.3">
      <c r="A631" s="1">
        <v>43957</v>
      </c>
      <c r="B631">
        <v>1000000566</v>
      </c>
      <c r="C631" t="s">
        <v>42</v>
      </c>
      <c r="D631">
        <v>1</v>
      </c>
      <c r="E631">
        <v>13000.42</v>
      </c>
      <c r="F631" t="s">
        <v>16</v>
      </c>
      <c r="G631" t="s">
        <v>43</v>
      </c>
      <c r="H631" t="s">
        <v>47</v>
      </c>
      <c r="I631" t="s">
        <v>48</v>
      </c>
      <c r="J631" t="s">
        <v>36</v>
      </c>
      <c r="K631" t="s">
        <v>49</v>
      </c>
      <c r="L631" t="s">
        <v>22</v>
      </c>
      <c r="M631">
        <v>13000.42</v>
      </c>
      <c r="N631">
        <v>2020</v>
      </c>
      <c r="O631">
        <v>5</v>
      </c>
    </row>
    <row r="632" spans="1:15" x14ac:dyDescent="0.3">
      <c r="A632" s="1">
        <v>43957</v>
      </c>
      <c r="B632">
        <v>1000000052</v>
      </c>
      <c r="C632" t="s">
        <v>23</v>
      </c>
      <c r="D632">
        <v>1</v>
      </c>
      <c r="E632">
        <v>13000.3</v>
      </c>
      <c r="F632" t="s">
        <v>16</v>
      </c>
      <c r="G632" t="s">
        <v>24</v>
      </c>
      <c r="H632" t="s">
        <v>18</v>
      </c>
      <c r="I632" t="s">
        <v>34</v>
      </c>
      <c r="J632" t="s">
        <v>20</v>
      </c>
      <c r="K632" t="s">
        <v>44</v>
      </c>
      <c r="L632" t="s">
        <v>22</v>
      </c>
      <c r="M632">
        <v>13000.3</v>
      </c>
      <c r="N632">
        <v>2020</v>
      </c>
      <c r="O632">
        <v>5</v>
      </c>
    </row>
    <row r="633" spans="1:15" x14ac:dyDescent="0.3">
      <c r="A633" s="1">
        <v>43957</v>
      </c>
      <c r="B633">
        <v>1000000031</v>
      </c>
      <c r="C633" t="s">
        <v>15</v>
      </c>
      <c r="D633">
        <v>1</v>
      </c>
      <c r="E633">
        <v>13000.19</v>
      </c>
      <c r="F633" t="s">
        <v>16</v>
      </c>
      <c r="G633" t="s">
        <v>17</v>
      </c>
      <c r="H633" t="s">
        <v>18</v>
      </c>
      <c r="I633" t="s">
        <v>19</v>
      </c>
      <c r="J633" t="s">
        <v>26</v>
      </c>
      <c r="K633" t="s">
        <v>29</v>
      </c>
      <c r="L633" t="s">
        <v>28</v>
      </c>
      <c r="M633">
        <v>13000.19</v>
      </c>
      <c r="N633">
        <v>2020</v>
      </c>
      <c r="O633">
        <v>5</v>
      </c>
    </row>
    <row r="634" spans="1:15" x14ac:dyDescent="0.3">
      <c r="A634" s="1">
        <v>43957</v>
      </c>
      <c r="B634">
        <v>1000004170</v>
      </c>
      <c r="C634" t="s">
        <v>15</v>
      </c>
      <c r="D634">
        <v>1</v>
      </c>
      <c r="E634">
        <v>12000.51</v>
      </c>
      <c r="F634" t="s">
        <v>16</v>
      </c>
      <c r="G634" t="s">
        <v>17</v>
      </c>
      <c r="H634" t="s">
        <v>18</v>
      </c>
      <c r="I634" t="s">
        <v>34</v>
      </c>
      <c r="J634" t="s">
        <v>20</v>
      </c>
      <c r="K634" t="s">
        <v>44</v>
      </c>
      <c r="L634" t="s">
        <v>28</v>
      </c>
      <c r="M634">
        <v>12000.51</v>
      </c>
      <c r="N634">
        <v>2020</v>
      </c>
      <c r="O634">
        <v>5</v>
      </c>
    </row>
    <row r="635" spans="1:15" x14ac:dyDescent="0.3">
      <c r="A635" s="1">
        <v>43957</v>
      </c>
      <c r="B635">
        <v>1000000029</v>
      </c>
      <c r="C635" t="s">
        <v>23</v>
      </c>
      <c r="D635">
        <v>1</v>
      </c>
      <c r="E635">
        <v>11999.95</v>
      </c>
      <c r="F635" t="s">
        <v>16</v>
      </c>
      <c r="G635" t="s">
        <v>24</v>
      </c>
      <c r="H635" t="s">
        <v>18</v>
      </c>
      <c r="I635" t="s">
        <v>19</v>
      </c>
      <c r="J635" t="s">
        <v>20</v>
      </c>
      <c r="K635" t="s">
        <v>21</v>
      </c>
      <c r="L635" t="s">
        <v>22</v>
      </c>
      <c r="M635">
        <v>11999.95</v>
      </c>
      <c r="N635">
        <v>2020</v>
      </c>
      <c r="O635">
        <v>5</v>
      </c>
    </row>
    <row r="636" spans="1:15" x14ac:dyDescent="0.3">
      <c r="A636" s="1">
        <v>43957</v>
      </c>
      <c r="B636">
        <v>1000000068</v>
      </c>
      <c r="C636" t="s">
        <v>15</v>
      </c>
      <c r="D636">
        <v>1</v>
      </c>
      <c r="E636">
        <v>11000.64</v>
      </c>
      <c r="F636" t="s">
        <v>16</v>
      </c>
      <c r="G636" t="s">
        <v>17</v>
      </c>
      <c r="H636" t="s">
        <v>30</v>
      </c>
      <c r="I636" t="s">
        <v>55</v>
      </c>
      <c r="J636" t="s">
        <v>26</v>
      </c>
      <c r="K636" t="s">
        <v>56</v>
      </c>
      <c r="L636" t="s">
        <v>28</v>
      </c>
      <c r="M636">
        <v>11000.64</v>
      </c>
      <c r="N636">
        <v>2020</v>
      </c>
      <c r="O636">
        <v>5</v>
      </c>
    </row>
    <row r="637" spans="1:15" x14ac:dyDescent="0.3">
      <c r="A637" s="1">
        <v>43957</v>
      </c>
      <c r="B637">
        <v>1000000054</v>
      </c>
      <c r="C637" t="s">
        <v>15</v>
      </c>
      <c r="D637">
        <v>1</v>
      </c>
      <c r="E637">
        <v>11000.28</v>
      </c>
      <c r="F637" t="s">
        <v>16</v>
      </c>
      <c r="G637" t="s">
        <v>17</v>
      </c>
      <c r="H637" t="s">
        <v>18</v>
      </c>
      <c r="I637" t="s">
        <v>34</v>
      </c>
      <c r="J637" t="s">
        <v>26</v>
      </c>
      <c r="K637" t="s">
        <v>35</v>
      </c>
      <c r="L637" t="s">
        <v>22</v>
      </c>
      <c r="M637">
        <v>11000.28</v>
      </c>
      <c r="N637">
        <v>2020</v>
      </c>
      <c r="O637">
        <v>5</v>
      </c>
    </row>
    <row r="638" spans="1:15" x14ac:dyDescent="0.3">
      <c r="A638" s="1">
        <v>43957</v>
      </c>
      <c r="B638">
        <v>1000000054</v>
      </c>
      <c r="C638" t="s">
        <v>23</v>
      </c>
      <c r="D638">
        <v>2</v>
      </c>
      <c r="E638">
        <v>10001.08</v>
      </c>
      <c r="F638" t="s">
        <v>16</v>
      </c>
      <c r="G638" t="s">
        <v>24</v>
      </c>
      <c r="H638" t="s">
        <v>18</v>
      </c>
      <c r="I638" t="s">
        <v>34</v>
      </c>
      <c r="J638" t="s">
        <v>26</v>
      </c>
      <c r="K638" t="s">
        <v>35</v>
      </c>
      <c r="L638" t="s">
        <v>22</v>
      </c>
      <c r="M638">
        <v>5000.54</v>
      </c>
      <c r="N638">
        <v>2020</v>
      </c>
      <c r="O638">
        <v>5</v>
      </c>
    </row>
    <row r="639" spans="1:15" x14ac:dyDescent="0.3">
      <c r="A639" s="1">
        <v>43957</v>
      </c>
      <c r="B639">
        <v>1000000044</v>
      </c>
      <c r="C639" t="s">
        <v>23</v>
      </c>
      <c r="D639">
        <v>1</v>
      </c>
      <c r="E639">
        <v>10000.030000000001</v>
      </c>
      <c r="F639" t="s">
        <v>16</v>
      </c>
      <c r="G639" t="s">
        <v>24</v>
      </c>
      <c r="H639" t="s">
        <v>30</v>
      </c>
      <c r="I639" t="s">
        <v>31</v>
      </c>
      <c r="J639" t="s">
        <v>36</v>
      </c>
      <c r="K639" t="s">
        <v>52</v>
      </c>
      <c r="L639" t="s">
        <v>28</v>
      </c>
      <c r="M639">
        <v>10000.030000000001</v>
      </c>
      <c r="N639">
        <v>2020</v>
      </c>
      <c r="O639">
        <v>5</v>
      </c>
    </row>
    <row r="640" spans="1:15" x14ac:dyDescent="0.3">
      <c r="A640" s="1">
        <v>43957</v>
      </c>
      <c r="B640">
        <v>1000001513</v>
      </c>
      <c r="C640" t="s">
        <v>15</v>
      </c>
      <c r="D640">
        <v>1</v>
      </c>
      <c r="E640">
        <v>8000.4</v>
      </c>
      <c r="F640" t="s">
        <v>16</v>
      </c>
      <c r="G640" t="s">
        <v>17</v>
      </c>
      <c r="H640" t="s">
        <v>18</v>
      </c>
      <c r="I640" t="s">
        <v>34</v>
      </c>
      <c r="J640" t="s">
        <v>20</v>
      </c>
      <c r="K640" t="s">
        <v>44</v>
      </c>
      <c r="L640" t="s">
        <v>22</v>
      </c>
      <c r="M640">
        <v>8000.4</v>
      </c>
      <c r="N640">
        <v>2020</v>
      </c>
      <c r="O640">
        <v>5</v>
      </c>
    </row>
    <row r="641" spans="1:15" x14ac:dyDescent="0.3">
      <c r="A641" s="1">
        <v>43957</v>
      </c>
      <c r="B641">
        <v>1000000043</v>
      </c>
      <c r="C641" t="s">
        <v>23</v>
      </c>
      <c r="D641">
        <v>1</v>
      </c>
      <c r="E641">
        <v>6000.58</v>
      </c>
      <c r="F641" t="s">
        <v>16</v>
      </c>
      <c r="G641" t="s">
        <v>24</v>
      </c>
      <c r="H641" t="s">
        <v>30</v>
      </c>
      <c r="I641" t="s">
        <v>38</v>
      </c>
      <c r="J641" t="s">
        <v>26</v>
      </c>
      <c r="K641" t="s">
        <v>39</v>
      </c>
      <c r="L641" t="s">
        <v>22</v>
      </c>
      <c r="M641">
        <v>6000.58</v>
      </c>
      <c r="N641">
        <v>2020</v>
      </c>
      <c r="O641">
        <v>5</v>
      </c>
    </row>
    <row r="642" spans="1:15" x14ac:dyDescent="0.3">
      <c r="A642" s="1">
        <v>43957</v>
      </c>
      <c r="B642">
        <v>1000000928</v>
      </c>
      <c r="C642" t="s">
        <v>23</v>
      </c>
      <c r="D642">
        <v>1</v>
      </c>
      <c r="E642">
        <v>5500.17</v>
      </c>
      <c r="F642" t="s">
        <v>16</v>
      </c>
      <c r="G642" t="s">
        <v>24</v>
      </c>
      <c r="H642" t="s">
        <v>30</v>
      </c>
      <c r="I642" t="s">
        <v>57</v>
      </c>
      <c r="J642" t="s">
        <v>26</v>
      </c>
      <c r="K642" t="s">
        <v>58</v>
      </c>
      <c r="L642" t="s">
        <v>22</v>
      </c>
      <c r="M642">
        <v>5500.17</v>
      </c>
      <c r="N642">
        <v>2020</v>
      </c>
      <c r="O642">
        <v>5</v>
      </c>
    </row>
    <row r="643" spans="1:15" x14ac:dyDescent="0.3">
      <c r="A643" s="1">
        <v>43957</v>
      </c>
      <c r="B643">
        <v>1000000040</v>
      </c>
      <c r="C643" t="s">
        <v>23</v>
      </c>
      <c r="D643">
        <v>1</v>
      </c>
      <c r="E643">
        <v>5000.49</v>
      </c>
      <c r="F643" t="s">
        <v>16</v>
      </c>
      <c r="G643" t="s">
        <v>24</v>
      </c>
      <c r="H643" t="s">
        <v>30</v>
      </c>
      <c r="I643" t="s">
        <v>31</v>
      </c>
      <c r="J643" t="s">
        <v>32</v>
      </c>
      <c r="K643" t="s">
        <v>33</v>
      </c>
      <c r="L643" t="s">
        <v>28</v>
      </c>
      <c r="M643">
        <v>5000.49</v>
      </c>
      <c r="N643">
        <v>2020</v>
      </c>
      <c r="O643">
        <v>5</v>
      </c>
    </row>
    <row r="644" spans="1:15" x14ac:dyDescent="0.3">
      <c r="A644" s="1">
        <v>43957</v>
      </c>
      <c r="B644">
        <v>1000000031</v>
      </c>
      <c r="C644" t="s">
        <v>42</v>
      </c>
      <c r="D644">
        <v>1</v>
      </c>
      <c r="E644">
        <v>5000.4799999999996</v>
      </c>
      <c r="F644" t="s">
        <v>16</v>
      </c>
      <c r="G644" t="s">
        <v>43</v>
      </c>
      <c r="H644" t="s">
        <v>18</v>
      </c>
      <c r="I644" t="s">
        <v>19</v>
      </c>
      <c r="J644" t="s">
        <v>26</v>
      </c>
      <c r="K644" t="s">
        <v>29</v>
      </c>
      <c r="L644" t="s">
        <v>28</v>
      </c>
      <c r="M644">
        <v>5000.4799999999996</v>
      </c>
      <c r="N644">
        <v>2020</v>
      </c>
      <c r="O644">
        <v>5</v>
      </c>
    </row>
    <row r="645" spans="1:15" x14ac:dyDescent="0.3">
      <c r="A645" s="1">
        <v>43957</v>
      </c>
      <c r="B645">
        <v>1000000028</v>
      </c>
      <c r="C645" t="s">
        <v>23</v>
      </c>
      <c r="D645">
        <v>1</v>
      </c>
      <c r="E645">
        <v>3000.3</v>
      </c>
      <c r="F645" t="s">
        <v>16</v>
      </c>
      <c r="G645" t="s">
        <v>24</v>
      </c>
      <c r="H645" t="s">
        <v>18</v>
      </c>
      <c r="I645" t="s">
        <v>19</v>
      </c>
      <c r="J645" t="s">
        <v>20</v>
      </c>
      <c r="K645" t="s">
        <v>21</v>
      </c>
      <c r="L645" t="s">
        <v>22</v>
      </c>
      <c r="M645">
        <v>3000.3</v>
      </c>
      <c r="N645">
        <v>2020</v>
      </c>
      <c r="O645">
        <v>5</v>
      </c>
    </row>
    <row r="646" spans="1:15" x14ac:dyDescent="0.3">
      <c r="A646" s="1">
        <v>43957</v>
      </c>
      <c r="B646">
        <v>1000003989</v>
      </c>
      <c r="C646" t="s">
        <v>54</v>
      </c>
      <c r="D646">
        <v>1</v>
      </c>
      <c r="E646">
        <v>2799.04</v>
      </c>
      <c r="F646" t="s">
        <v>46</v>
      </c>
      <c r="G646" t="s">
        <v>24</v>
      </c>
      <c r="H646" t="s">
        <v>30</v>
      </c>
      <c r="I646" t="s">
        <v>31</v>
      </c>
      <c r="J646" t="s">
        <v>36</v>
      </c>
      <c r="K646" t="s">
        <v>52</v>
      </c>
      <c r="L646" t="s">
        <v>22</v>
      </c>
      <c r="M646">
        <v>2799.04</v>
      </c>
      <c r="N646">
        <v>2020</v>
      </c>
      <c r="O646">
        <v>5</v>
      </c>
    </row>
    <row r="647" spans="1:15" x14ac:dyDescent="0.3">
      <c r="A647" s="1">
        <v>43958</v>
      </c>
      <c r="B647">
        <v>1000000036</v>
      </c>
      <c r="C647" t="s">
        <v>15</v>
      </c>
      <c r="D647">
        <v>3</v>
      </c>
      <c r="E647">
        <v>46000.800000000003</v>
      </c>
      <c r="F647" t="s">
        <v>16</v>
      </c>
      <c r="G647" t="s">
        <v>17</v>
      </c>
      <c r="H647" t="s">
        <v>47</v>
      </c>
      <c r="I647" t="s">
        <v>48</v>
      </c>
      <c r="J647" t="s">
        <v>36</v>
      </c>
      <c r="K647" t="s">
        <v>49</v>
      </c>
      <c r="L647" t="s">
        <v>28</v>
      </c>
      <c r="M647">
        <v>15333.6</v>
      </c>
      <c r="N647">
        <v>2020</v>
      </c>
      <c r="O647">
        <v>5</v>
      </c>
    </row>
    <row r="648" spans="1:15" x14ac:dyDescent="0.3">
      <c r="A648" s="1">
        <v>43958</v>
      </c>
      <c r="B648">
        <v>1000003926</v>
      </c>
      <c r="C648" t="s">
        <v>23</v>
      </c>
      <c r="D648">
        <v>3</v>
      </c>
      <c r="E648">
        <v>39500.870000000003</v>
      </c>
      <c r="F648" t="s">
        <v>16</v>
      </c>
      <c r="G648" t="s">
        <v>24</v>
      </c>
      <c r="H648" t="s">
        <v>47</v>
      </c>
      <c r="I648" t="s">
        <v>48</v>
      </c>
      <c r="J648" t="s">
        <v>26</v>
      </c>
      <c r="K648" t="s">
        <v>50</v>
      </c>
      <c r="L648" t="s">
        <v>28</v>
      </c>
      <c r="M648">
        <v>13166.956666666669</v>
      </c>
      <c r="N648">
        <v>2020</v>
      </c>
      <c r="O648">
        <v>5</v>
      </c>
    </row>
    <row r="649" spans="1:15" x14ac:dyDescent="0.3">
      <c r="A649" s="1">
        <v>43958</v>
      </c>
      <c r="B649">
        <v>1000000028</v>
      </c>
      <c r="C649" t="s">
        <v>15</v>
      </c>
      <c r="D649">
        <v>2</v>
      </c>
      <c r="E649">
        <v>36000.99</v>
      </c>
      <c r="F649" t="s">
        <v>16</v>
      </c>
      <c r="G649" t="s">
        <v>17</v>
      </c>
      <c r="H649" t="s">
        <v>18</v>
      </c>
      <c r="I649" t="s">
        <v>19</v>
      </c>
      <c r="J649" t="s">
        <v>20</v>
      </c>
      <c r="K649" t="s">
        <v>21</v>
      </c>
      <c r="L649" t="s">
        <v>22</v>
      </c>
      <c r="M649">
        <v>18000.494999999999</v>
      </c>
      <c r="N649">
        <v>2020</v>
      </c>
      <c r="O649">
        <v>5</v>
      </c>
    </row>
    <row r="650" spans="1:15" x14ac:dyDescent="0.3">
      <c r="A650" s="1">
        <v>43958</v>
      </c>
      <c r="B650">
        <v>1000000566</v>
      </c>
      <c r="C650" t="s">
        <v>42</v>
      </c>
      <c r="D650">
        <v>3</v>
      </c>
      <c r="E650">
        <v>36000.5</v>
      </c>
      <c r="F650" t="s">
        <v>16</v>
      </c>
      <c r="G650" t="s">
        <v>43</v>
      </c>
      <c r="H650" t="s">
        <v>47</v>
      </c>
      <c r="I650" t="s">
        <v>48</v>
      </c>
      <c r="J650" t="s">
        <v>36</v>
      </c>
      <c r="K650" t="s">
        <v>49</v>
      </c>
      <c r="L650" t="s">
        <v>22</v>
      </c>
      <c r="M650">
        <v>12000.166666666666</v>
      </c>
      <c r="N650">
        <v>2020</v>
      </c>
      <c r="O650">
        <v>5</v>
      </c>
    </row>
    <row r="651" spans="1:15" x14ac:dyDescent="0.3">
      <c r="A651" s="1">
        <v>43958</v>
      </c>
      <c r="B651">
        <v>1000000057</v>
      </c>
      <c r="C651" t="s">
        <v>42</v>
      </c>
      <c r="D651">
        <v>1</v>
      </c>
      <c r="E651">
        <v>25000.77</v>
      </c>
      <c r="F651" t="s">
        <v>16</v>
      </c>
      <c r="G651" t="s">
        <v>43</v>
      </c>
      <c r="H651" t="s">
        <v>18</v>
      </c>
      <c r="I651" t="s">
        <v>34</v>
      </c>
      <c r="J651" t="s">
        <v>20</v>
      </c>
      <c r="K651" t="s">
        <v>44</v>
      </c>
      <c r="L651" t="s">
        <v>22</v>
      </c>
      <c r="M651">
        <v>25000.77</v>
      </c>
      <c r="N651">
        <v>2020</v>
      </c>
      <c r="O651">
        <v>5</v>
      </c>
    </row>
    <row r="652" spans="1:15" x14ac:dyDescent="0.3">
      <c r="A652" s="1">
        <v>43958</v>
      </c>
      <c r="B652">
        <v>1000000056</v>
      </c>
      <c r="C652" t="s">
        <v>15</v>
      </c>
      <c r="D652">
        <v>1</v>
      </c>
      <c r="E652">
        <v>25000.73</v>
      </c>
      <c r="F652" t="s">
        <v>16</v>
      </c>
      <c r="G652" t="s">
        <v>17</v>
      </c>
      <c r="H652" t="s">
        <v>18</v>
      </c>
      <c r="I652" t="s">
        <v>34</v>
      </c>
      <c r="J652" t="s">
        <v>26</v>
      </c>
      <c r="K652" t="s">
        <v>35</v>
      </c>
      <c r="L652" t="s">
        <v>28</v>
      </c>
      <c r="M652">
        <v>25000.73</v>
      </c>
      <c r="N652">
        <v>2020</v>
      </c>
      <c r="O652">
        <v>5</v>
      </c>
    </row>
    <row r="653" spans="1:15" x14ac:dyDescent="0.3">
      <c r="A653" s="1">
        <v>43958</v>
      </c>
      <c r="B653">
        <v>1000000034</v>
      </c>
      <c r="C653" t="s">
        <v>15</v>
      </c>
      <c r="D653">
        <v>1</v>
      </c>
      <c r="E653">
        <v>25000.63</v>
      </c>
      <c r="F653" t="s">
        <v>16</v>
      </c>
      <c r="G653" t="s">
        <v>17</v>
      </c>
      <c r="H653" t="s">
        <v>18</v>
      </c>
      <c r="I653" t="s">
        <v>25</v>
      </c>
      <c r="J653" t="s">
        <v>26</v>
      </c>
      <c r="K653" t="s">
        <v>27</v>
      </c>
      <c r="L653" t="s">
        <v>22</v>
      </c>
      <c r="M653">
        <v>25000.63</v>
      </c>
      <c r="N653">
        <v>2020</v>
      </c>
      <c r="O653">
        <v>5</v>
      </c>
    </row>
    <row r="654" spans="1:15" x14ac:dyDescent="0.3">
      <c r="A654" s="1">
        <v>43958</v>
      </c>
      <c r="B654">
        <v>1000000030</v>
      </c>
      <c r="C654" t="s">
        <v>23</v>
      </c>
      <c r="D654">
        <v>4</v>
      </c>
      <c r="E654">
        <v>24948.75</v>
      </c>
      <c r="F654" t="s">
        <v>16</v>
      </c>
      <c r="G654" t="s">
        <v>24</v>
      </c>
      <c r="H654" t="s">
        <v>47</v>
      </c>
      <c r="I654" t="s">
        <v>48</v>
      </c>
      <c r="J654" t="s">
        <v>36</v>
      </c>
      <c r="K654" t="s">
        <v>49</v>
      </c>
      <c r="L654" t="s">
        <v>22</v>
      </c>
      <c r="M654">
        <v>6237.1875</v>
      </c>
      <c r="N654">
        <v>2020</v>
      </c>
      <c r="O654">
        <v>5</v>
      </c>
    </row>
    <row r="655" spans="1:15" x14ac:dyDescent="0.3">
      <c r="A655" s="1">
        <v>43958</v>
      </c>
      <c r="B655">
        <v>1000000237</v>
      </c>
      <c r="C655" t="s">
        <v>42</v>
      </c>
      <c r="D655">
        <v>2</v>
      </c>
      <c r="E655">
        <v>21001.010000000002</v>
      </c>
      <c r="F655" t="s">
        <v>16</v>
      </c>
      <c r="G655" t="s">
        <v>43</v>
      </c>
      <c r="H655" t="s">
        <v>18</v>
      </c>
      <c r="I655" t="s">
        <v>40</v>
      </c>
      <c r="J655" t="s">
        <v>26</v>
      </c>
      <c r="K655" t="s">
        <v>41</v>
      </c>
      <c r="L655" t="s">
        <v>22</v>
      </c>
      <c r="M655">
        <v>10500.504999999999</v>
      </c>
      <c r="N655">
        <v>2020</v>
      </c>
      <c r="O655">
        <v>5</v>
      </c>
    </row>
    <row r="656" spans="1:15" x14ac:dyDescent="0.3">
      <c r="A656" s="1">
        <v>43958</v>
      </c>
      <c r="B656">
        <v>1000000031</v>
      </c>
      <c r="C656" t="s">
        <v>15</v>
      </c>
      <c r="D656">
        <v>3</v>
      </c>
      <c r="E656">
        <v>19000.87</v>
      </c>
      <c r="F656" t="s">
        <v>16</v>
      </c>
      <c r="G656" t="s">
        <v>17</v>
      </c>
      <c r="H656" t="s">
        <v>18</v>
      </c>
      <c r="I656" t="s">
        <v>19</v>
      </c>
      <c r="J656" t="s">
        <v>26</v>
      </c>
      <c r="K656" t="s">
        <v>29</v>
      </c>
      <c r="L656" t="s">
        <v>28</v>
      </c>
      <c r="M656">
        <v>6333.623333333333</v>
      </c>
      <c r="N656">
        <v>2020</v>
      </c>
      <c r="O656">
        <v>5</v>
      </c>
    </row>
    <row r="657" spans="1:15" x14ac:dyDescent="0.3">
      <c r="A657" s="1">
        <v>43958</v>
      </c>
      <c r="B657">
        <v>1000000044</v>
      </c>
      <c r="C657" t="s">
        <v>23</v>
      </c>
      <c r="D657">
        <v>2</v>
      </c>
      <c r="E657">
        <v>18000.3</v>
      </c>
      <c r="F657" t="s">
        <v>16</v>
      </c>
      <c r="G657" t="s">
        <v>24</v>
      </c>
      <c r="H657" t="s">
        <v>30</v>
      </c>
      <c r="I657" t="s">
        <v>31</v>
      </c>
      <c r="J657" t="s">
        <v>36</v>
      </c>
      <c r="K657" t="s">
        <v>52</v>
      </c>
      <c r="L657" t="s">
        <v>28</v>
      </c>
      <c r="M657">
        <v>9000.15</v>
      </c>
      <c r="N657">
        <v>2020</v>
      </c>
      <c r="O657">
        <v>5</v>
      </c>
    </row>
    <row r="658" spans="1:15" x14ac:dyDescent="0.3">
      <c r="A658" s="1">
        <v>43958</v>
      </c>
      <c r="B658">
        <v>1000003926</v>
      </c>
      <c r="C658" t="s">
        <v>15</v>
      </c>
      <c r="D658">
        <v>1</v>
      </c>
      <c r="E658">
        <v>16000.74</v>
      </c>
      <c r="F658" t="s">
        <v>16</v>
      </c>
      <c r="G658" t="s">
        <v>17</v>
      </c>
      <c r="H658" t="s">
        <v>47</v>
      </c>
      <c r="I658" t="s">
        <v>48</v>
      </c>
      <c r="J658" t="s">
        <v>26</v>
      </c>
      <c r="K658" t="s">
        <v>50</v>
      </c>
      <c r="L658" t="s">
        <v>28</v>
      </c>
      <c r="M658">
        <v>16000.74</v>
      </c>
      <c r="N658">
        <v>2020</v>
      </c>
      <c r="O658">
        <v>5</v>
      </c>
    </row>
    <row r="659" spans="1:15" x14ac:dyDescent="0.3">
      <c r="A659" s="1">
        <v>43958</v>
      </c>
      <c r="B659">
        <v>1000000928</v>
      </c>
      <c r="C659" t="s">
        <v>23</v>
      </c>
      <c r="D659">
        <v>1</v>
      </c>
      <c r="E659">
        <v>16000.43</v>
      </c>
      <c r="F659" t="s">
        <v>16</v>
      </c>
      <c r="G659" t="s">
        <v>24</v>
      </c>
      <c r="H659" t="s">
        <v>30</v>
      </c>
      <c r="I659" t="s">
        <v>57</v>
      </c>
      <c r="J659" t="s">
        <v>26</v>
      </c>
      <c r="K659" t="s">
        <v>58</v>
      </c>
      <c r="L659" t="s">
        <v>22</v>
      </c>
      <c r="M659">
        <v>16000.43</v>
      </c>
      <c r="N659">
        <v>2020</v>
      </c>
      <c r="O659">
        <v>5</v>
      </c>
    </row>
    <row r="660" spans="1:15" x14ac:dyDescent="0.3">
      <c r="A660" s="1">
        <v>43958</v>
      </c>
      <c r="B660">
        <v>1000003989</v>
      </c>
      <c r="C660" t="s">
        <v>15</v>
      </c>
      <c r="D660">
        <v>1</v>
      </c>
      <c r="E660">
        <v>16000.19</v>
      </c>
      <c r="F660" t="s">
        <v>16</v>
      </c>
      <c r="G660" t="s">
        <v>17</v>
      </c>
      <c r="H660" t="s">
        <v>30</v>
      </c>
      <c r="I660" t="s">
        <v>31</v>
      </c>
      <c r="J660" t="s">
        <v>36</v>
      </c>
      <c r="K660" t="s">
        <v>52</v>
      </c>
      <c r="L660" t="s">
        <v>22</v>
      </c>
      <c r="M660">
        <v>16000.19</v>
      </c>
      <c r="N660">
        <v>2020</v>
      </c>
      <c r="O660">
        <v>5</v>
      </c>
    </row>
    <row r="661" spans="1:15" x14ac:dyDescent="0.3">
      <c r="A661" s="1">
        <v>43958</v>
      </c>
      <c r="B661">
        <v>1000000031</v>
      </c>
      <c r="C661" t="s">
        <v>23</v>
      </c>
      <c r="D661">
        <v>1</v>
      </c>
      <c r="E661">
        <v>14999.98</v>
      </c>
      <c r="F661" t="s">
        <v>16</v>
      </c>
      <c r="G661" t="s">
        <v>24</v>
      </c>
      <c r="H661" t="s">
        <v>18</v>
      </c>
      <c r="I661" t="s">
        <v>19</v>
      </c>
      <c r="J661" t="s">
        <v>26</v>
      </c>
      <c r="K661" t="s">
        <v>29</v>
      </c>
      <c r="L661" t="s">
        <v>28</v>
      </c>
      <c r="M661">
        <v>14999.98</v>
      </c>
      <c r="N661">
        <v>2020</v>
      </c>
      <c r="O661">
        <v>5</v>
      </c>
    </row>
    <row r="662" spans="1:15" x14ac:dyDescent="0.3">
      <c r="A662" s="1">
        <v>43958</v>
      </c>
      <c r="B662">
        <v>1000004256</v>
      </c>
      <c r="C662" t="s">
        <v>42</v>
      </c>
      <c r="D662">
        <v>1</v>
      </c>
      <c r="E662">
        <v>14000.46</v>
      </c>
      <c r="F662" t="s">
        <v>16</v>
      </c>
      <c r="G662" t="s">
        <v>43</v>
      </c>
      <c r="H662" t="s">
        <v>18</v>
      </c>
      <c r="I662" t="s">
        <v>40</v>
      </c>
      <c r="J662" t="s">
        <v>26</v>
      </c>
      <c r="K662" t="s">
        <v>41</v>
      </c>
      <c r="L662" t="s">
        <v>22</v>
      </c>
      <c r="M662">
        <v>14000.46</v>
      </c>
      <c r="N662">
        <v>2020</v>
      </c>
      <c r="O662">
        <v>5</v>
      </c>
    </row>
    <row r="663" spans="1:15" x14ac:dyDescent="0.3">
      <c r="A663" s="1">
        <v>43958</v>
      </c>
      <c r="B663">
        <v>1000000057</v>
      </c>
      <c r="C663" t="s">
        <v>15</v>
      </c>
      <c r="D663">
        <v>1</v>
      </c>
      <c r="E663">
        <v>14000.15</v>
      </c>
      <c r="F663" t="s">
        <v>16</v>
      </c>
      <c r="G663" t="s">
        <v>17</v>
      </c>
      <c r="H663" t="s">
        <v>18</v>
      </c>
      <c r="I663" t="s">
        <v>34</v>
      </c>
      <c r="J663" t="s">
        <v>20</v>
      </c>
      <c r="K663" t="s">
        <v>44</v>
      </c>
      <c r="L663" t="s">
        <v>22</v>
      </c>
      <c r="M663">
        <v>14000.15</v>
      </c>
      <c r="N663">
        <v>2020</v>
      </c>
      <c r="O663">
        <v>5</v>
      </c>
    </row>
    <row r="664" spans="1:15" x14ac:dyDescent="0.3">
      <c r="A664" s="1">
        <v>43958</v>
      </c>
      <c r="B664">
        <v>1000000029</v>
      </c>
      <c r="C664" t="s">
        <v>23</v>
      </c>
      <c r="D664">
        <v>1</v>
      </c>
      <c r="E664">
        <v>13000.35</v>
      </c>
      <c r="F664" t="s">
        <v>16</v>
      </c>
      <c r="G664" t="s">
        <v>24</v>
      </c>
      <c r="H664" t="s">
        <v>18</v>
      </c>
      <c r="I664" t="s">
        <v>19</v>
      </c>
      <c r="J664" t="s">
        <v>20</v>
      </c>
      <c r="K664" t="s">
        <v>21</v>
      </c>
      <c r="L664" t="s">
        <v>22</v>
      </c>
      <c r="M664">
        <v>13000.35</v>
      </c>
      <c r="N664">
        <v>2020</v>
      </c>
      <c r="O664">
        <v>5</v>
      </c>
    </row>
    <row r="665" spans="1:15" x14ac:dyDescent="0.3">
      <c r="A665" s="1">
        <v>43958</v>
      </c>
      <c r="B665">
        <v>1000000040</v>
      </c>
      <c r="C665" t="s">
        <v>23</v>
      </c>
      <c r="D665">
        <v>1</v>
      </c>
      <c r="E665">
        <v>12000.23</v>
      </c>
      <c r="F665" t="s">
        <v>16</v>
      </c>
      <c r="G665" t="s">
        <v>24</v>
      </c>
      <c r="H665" t="s">
        <v>30</v>
      </c>
      <c r="I665" t="s">
        <v>31</v>
      </c>
      <c r="J665" t="s">
        <v>32</v>
      </c>
      <c r="K665" t="s">
        <v>33</v>
      </c>
      <c r="L665" t="s">
        <v>28</v>
      </c>
      <c r="M665">
        <v>12000.23</v>
      </c>
      <c r="N665">
        <v>2020</v>
      </c>
      <c r="O665">
        <v>5</v>
      </c>
    </row>
    <row r="666" spans="1:15" x14ac:dyDescent="0.3">
      <c r="A666" s="1">
        <v>43958</v>
      </c>
      <c r="B666">
        <v>1000000045</v>
      </c>
      <c r="C666" t="s">
        <v>15</v>
      </c>
      <c r="D666">
        <v>2</v>
      </c>
      <c r="E666">
        <v>11500.36</v>
      </c>
      <c r="F666" t="s">
        <v>16</v>
      </c>
      <c r="G666" t="s">
        <v>17</v>
      </c>
      <c r="H666" t="s">
        <v>47</v>
      </c>
      <c r="I666" t="s">
        <v>59</v>
      </c>
      <c r="J666" t="s">
        <v>26</v>
      </c>
      <c r="K666" t="s">
        <v>60</v>
      </c>
      <c r="L666" t="s">
        <v>22</v>
      </c>
      <c r="M666">
        <v>5750.18</v>
      </c>
      <c r="N666">
        <v>2020</v>
      </c>
      <c r="O666">
        <v>5</v>
      </c>
    </row>
    <row r="667" spans="1:15" x14ac:dyDescent="0.3">
      <c r="A667" s="1">
        <v>43958</v>
      </c>
      <c r="B667">
        <v>1000000052</v>
      </c>
      <c r="C667" t="s">
        <v>15</v>
      </c>
      <c r="D667">
        <v>1</v>
      </c>
      <c r="E667">
        <v>10000.5</v>
      </c>
      <c r="F667" t="s">
        <v>16</v>
      </c>
      <c r="G667" t="s">
        <v>17</v>
      </c>
      <c r="H667" t="s">
        <v>18</v>
      </c>
      <c r="I667" t="s">
        <v>34</v>
      </c>
      <c r="J667" t="s">
        <v>20</v>
      </c>
      <c r="K667" t="s">
        <v>44</v>
      </c>
      <c r="L667" t="s">
        <v>22</v>
      </c>
      <c r="M667">
        <v>10000.5</v>
      </c>
      <c r="N667">
        <v>2020</v>
      </c>
      <c r="O667">
        <v>5</v>
      </c>
    </row>
    <row r="668" spans="1:15" x14ac:dyDescent="0.3">
      <c r="A668" s="1">
        <v>43958</v>
      </c>
      <c r="B668">
        <v>1000004256</v>
      </c>
      <c r="C668" t="s">
        <v>15</v>
      </c>
      <c r="D668">
        <v>1</v>
      </c>
      <c r="E668">
        <v>7500.22</v>
      </c>
      <c r="F668" t="s">
        <v>16</v>
      </c>
      <c r="G668" t="s">
        <v>17</v>
      </c>
      <c r="H668" t="s">
        <v>18</v>
      </c>
      <c r="I668" t="s">
        <v>40</v>
      </c>
      <c r="J668" t="s">
        <v>26</v>
      </c>
      <c r="K668" t="s">
        <v>41</v>
      </c>
      <c r="L668" t="s">
        <v>22</v>
      </c>
      <c r="M668">
        <v>7500.22</v>
      </c>
      <c r="N668">
        <v>2020</v>
      </c>
      <c r="O668">
        <v>5</v>
      </c>
    </row>
    <row r="669" spans="1:15" x14ac:dyDescent="0.3">
      <c r="A669" s="1">
        <v>43958</v>
      </c>
      <c r="B669">
        <v>1000000046</v>
      </c>
      <c r="C669" t="s">
        <v>23</v>
      </c>
      <c r="D669">
        <v>1</v>
      </c>
      <c r="E669">
        <v>7000.74</v>
      </c>
      <c r="F669" t="s">
        <v>16</v>
      </c>
      <c r="G669" t="s">
        <v>24</v>
      </c>
      <c r="H669" t="s">
        <v>30</v>
      </c>
      <c r="I669" t="s">
        <v>38</v>
      </c>
      <c r="J669" t="s">
        <v>26</v>
      </c>
      <c r="K669" t="s">
        <v>39</v>
      </c>
      <c r="L669" t="s">
        <v>22</v>
      </c>
      <c r="M669">
        <v>7000.74</v>
      </c>
      <c r="N669">
        <v>2020</v>
      </c>
      <c r="O669">
        <v>5</v>
      </c>
    </row>
    <row r="670" spans="1:15" x14ac:dyDescent="0.3">
      <c r="A670" s="1">
        <v>43958</v>
      </c>
      <c r="B670">
        <v>1000000104</v>
      </c>
      <c r="C670" t="s">
        <v>23</v>
      </c>
      <c r="D670">
        <v>1</v>
      </c>
      <c r="E670">
        <v>7000.27</v>
      </c>
      <c r="F670" t="s">
        <v>16</v>
      </c>
      <c r="G670" t="s">
        <v>24</v>
      </c>
      <c r="H670" t="s">
        <v>18</v>
      </c>
      <c r="I670" t="s">
        <v>40</v>
      </c>
      <c r="J670" t="s">
        <v>26</v>
      </c>
      <c r="K670" t="s">
        <v>41</v>
      </c>
      <c r="L670" t="s">
        <v>22</v>
      </c>
      <c r="M670">
        <v>7000.27</v>
      </c>
      <c r="N670">
        <v>2020</v>
      </c>
      <c r="O670">
        <v>5</v>
      </c>
    </row>
    <row r="671" spans="1:15" x14ac:dyDescent="0.3">
      <c r="A671" s="1">
        <v>43958</v>
      </c>
      <c r="B671">
        <v>1000000043</v>
      </c>
      <c r="C671" t="s">
        <v>23</v>
      </c>
      <c r="D671">
        <v>1</v>
      </c>
      <c r="E671">
        <v>6500.28</v>
      </c>
      <c r="F671" t="s">
        <v>16</v>
      </c>
      <c r="G671" t="s">
        <v>24</v>
      </c>
      <c r="H671" t="s">
        <v>30</v>
      </c>
      <c r="I671" t="s">
        <v>38</v>
      </c>
      <c r="J671" t="s">
        <v>26</v>
      </c>
      <c r="K671" t="s">
        <v>39</v>
      </c>
      <c r="L671" t="s">
        <v>22</v>
      </c>
      <c r="M671">
        <v>6500.28</v>
      </c>
      <c r="N671">
        <v>2020</v>
      </c>
      <c r="O671">
        <v>5</v>
      </c>
    </row>
    <row r="672" spans="1:15" x14ac:dyDescent="0.3">
      <c r="A672" s="1">
        <v>43958</v>
      </c>
      <c r="B672">
        <v>1000000030</v>
      </c>
      <c r="C672" t="s">
        <v>15</v>
      </c>
      <c r="D672">
        <v>1</v>
      </c>
      <c r="E672">
        <v>6500.1</v>
      </c>
      <c r="F672" t="s">
        <v>16</v>
      </c>
      <c r="G672" t="s">
        <v>17</v>
      </c>
      <c r="H672" t="s">
        <v>47</v>
      </c>
      <c r="I672" t="s">
        <v>48</v>
      </c>
      <c r="J672" t="s">
        <v>36</v>
      </c>
      <c r="K672" t="s">
        <v>49</v>
      </c>
      <c r="L672" t="s">
        <v>22</v>
      </c>
      <c r="M672">
        <v>6500.1</v>
      </c>
      <c r="N672">
        <v>2020</v>
      </c>
      <c r="O672">
        <v>5</v>
      </c>
    </row>
    <row r="673" spans="1:15" x14ac:dyDescent="0.3">
      <c r="A673" s="1">
        <v>43958</v>
      </c>
      <c r="B673">
        <v>1000000237</v>
      </c>
      <c r="C673" t="s">
        <v>15</v>
      </c>
      <c r="D673">
        <v>1</v>
      </c>
      <c r="E673">
        <v>6000.73</v>
      </c>
      <c r="F673" t="s">
        <v>16</v>
      </c>
      <c r="G673" t="s">
        <v>17</v>
      </c>
      <c r="H673" t="s">
        <v>18</v>
      </c>
      <c r="I673" t="s">
        <v>40</v>
      </c>
      <c r="J673" t="s">
        <v>26</v>
      </c>
      <c r="K673" t="s">
        <v>41</v>
      </c>
      <c r="L673" t="s">
        <v>22</v>
      </c>
      <c r="M673">
        <v>6000.73</v>
      </c>
      <c r="N673">
        <v>2020</v>
      </c>
      <c r="O673">
        <v>5</v>
      </c>
    </row>
    <row r="674" spans="1:15" x14ac:dyDescent="0.3">
      <c r="A674" s="1">
        <v>43958</v>
      </c>
      <c r="B674">
        <v>1000000032</v>
      </c>
      <c r="C674" t="s">
        <v>23</v>
      </c>
      <c r="D674">
        <v>1</v>
      </c>
      <c r="E674">
        <v>6000.51</v>
      </c>
      <c r="F674" t="s">
        <v>16</v>
      </c>
      <c r="G674" t="s">
        <v>24</v>
      </c>
      <c r="H674" t="s">
        <v>18</v>
      </c>
      <c r="I674" t="s">
        <v>25</v>
      </c>
      <c r="J674" t="s">
        <v>26</v>
      </c>
      <c r="K674" t="s">
        <v>27</v>
      </c>
      <c r="L674" t="s">
        <v>28</v>
      </c>
      <c r="M674">
        <v>6000.51</v>
      </c>
      <c r="N674">
        <v>2020</v>
      </c>
      <c r="O674">
        <v>5</v>
      </c>
    </row>
    <row r="675" spans="1:15" x14ac:dyDescent="0.3">
      <c r="A675" s="1">
        <v>43958</v>
      </c>
      <c r="B675">
        <v>1000001513</v>
      </c>
      <c r="C675" t="s">
        <v>23</v>
      </c>
      <c r="D675">
        <v>1</v>
      </c>
      <c r="E675">
        <v>5000.13</v>
      </c>
      <c r="F675" t="s">
        <v>16</v>
      </c>
      <c r="G675" t="s">
        <v>24</v>
      </c>
      <c r="H675" t="s">
        <v>18</v>
      </c>
      <c r="I675" t="s">
        <v>34</v>
      </c>
      <c r="J675" t="s">
        <v>20</v>
      </c>
      <c r="K675" t="s">
        <v>44</v>
      </c>
      <c r="L675" t="s">
        <v>22</v>
      </c>
      <c r="M675">
        <v>5000.13</v>
      </c>
      <c r="N675">
        <v>2020</v>
      </c>
      <c r="O675">
        <v>5</v>
      </c>
    </row>
    <row r="676" spans="1:15" x14ac:dyDescent="0.3">
      <c r="A676" s="1">
        <v>43958</v>
      </c>
      <c r="B676">
        <v>1000000052</v>
      </c>
      <c r="C676" t="s">
        <v>23</v>
      </c>
      <c r="D676">
        <v>1</v>
      </c>
      <c r="E676">
        <v>5000.08</v>
      </c>
      <c r="F676" t="s">
        <v>16</v>
      </c>
      <c r="G676" t="s">
        <v>24</v>
      </c>
      <c r="H676" t="s">
        <v>18</v>
      </c>
      <c r="I676" t="s">
        <v>34</v>
      </c>
      <c r="J676" t="s">
        <v>20</v>
      </c>
      <c r="K676" t="s">
        <v>44</v>
      </c>
      <c r="L676" t="s">
        <v>22</v>
      </c>
      <c r="M676">
        <v>5000.08</v>
      </c>
      <c r="N676">
        <v>2020</v>
      </c>
      <c r="O676">
        <v>5</v>
      </c>
    </row>
    <row r="677" spans="1:15" x14ac:dyDescent="0.3">
      <c r="A677" s="1">
        <v>43958</v>
      </c>
      <c r="B677">
        <v>1000000034</v>
      </c>
      <c r="C677" t="s">
        <v>23</v>
      </c>
      <c r="D677">
        <v>1</v>
      </c>
      <c r="E677">
        <v>2000.23</v>
      </c>
      <c r="F677" t="s">
        <v>16</v>
      </c>
      <c r="G677" t="s">
        <v>24</v>
      </c>
      <c r="H677" t="s">
        <v>18</v>
      </c>
      <c r="I677" t="s">
        <v>25</v>
      </c>
      <c r="J677" t="s">
        <v>26</v>
      </c>
      <c r="K677" t="s">
        <v>27</v>
      </c>
      <c r="L677" t="s">
        <v>22</v>
      </c>
      <c r="M677">
        <v>2000.23</v>
      </c>
      <c r="N677">
        <v>2020</v>
      </c>
      <c r="O677">
        <v>5</v>
      </c>
    </row>
    <row r="678" spans="1:15" x14ac:dyDescent="0.3">
      <c r="A678" s="1">
        <v>43958</v>
      </c>
      <c r="B678">
        <v>1000000035</v>
      </c>
      <c r="C678" t="s">
        <v>23</v>
      </c>
      <c r="D678">
        <v>1</v>
      </c>
      <c r="E678">
        <v>1507.43</v>
      </c>
      <c r="F678" t="s">
        <v>16</v>
      </c>
      <c r="G678" t="s">
        <v>24</v>
      </c>
      <c r="H678" t="s">
        <v>18</v>
      </c>
      <c r="I678" t="s">
        <v>25</v>
      </c>
      <c r="J678" t="s">
        <v>36</v>
      </c>
      <c r="K678" t="s">
        <v>37</v>
      </c>
      <c r="L678" t="s">
        <v>22</v>
      </c>
      <c r="M678">
        <v>1507.43</v>
      </c>
      <c r="N678">
        <v>2020</v>
      </c>
      <c r="O678">
        <v>5</v>
      </c>
    </row>
    <row r="679" spans="1:15" x14ac:dyDescent="0.3">
      <c r="A679" s="1">
        <v>43959</v>
      </c>
      <c r="B679">
        <v>1000003926</v>
      </c>
      <c r="C679" t="s">
        <v>23</v>
      </c>
      <c r="D679">
        <v>2</v>
      </c>
      <c r="E679">
        <v>31500.329999999998</v>
      </c>
      <c r="F679" t="s">
        <v>16</v>
      </c>
      <c r="G679" t="s">
        <v>24</v>
      </c>
      <c r="H679" t="s">
        <v>47</v>
      </c>
      <c r="I679" t="s">
        <v>48</v>
      </c>
      <c r="J679" t="s">
        <v>26</v>
      </c>
      <c r="K679" t="s">
        <v>50</v>
      </c>
      <c r="L679" t="s">
        <v>28</v>
      </c>
      <c r="M679">
        <v>15750.165000000001</v>
      </c>
      <c r="N679">
        <v>2020</v>
      </c>
      <c r="O679">
        <v>5</v>
      </c>
    </row>
    <row r="680" spans="1:15" x14ac:dyDescent="0.3">
      <c r="A680" s="1">
        <v>43959</v>
      </c>
      <c r="B680">
        <v>1000004170</v>
      </c>
      <c r="C680" t="s">
        <v>15</v>
      </c>
      <c r="D680">
        <v>2</v>
      </c>
      <c r="E680">
        <v>29000.61</v>
      </c>
      <c r="F680" t="s">
        <v>16</v>
      </c>
      <c r="G680" t="s">
        <v>17</v>
      </c>
      <c r="H680" t="s">
        <v>18</v>
      </c>
      <c r="I680" t="s">
        <v>34</v>
      </c>
      <c r="J680" t="s">
        <v>20</v>
      </c>
      <c r="K680" t="s">
        <v>44</v>
      </c>
      <c r="L680" t="s">
        <v>28</v>
      </c>
      <c r="M680">
        <v>14500.305</v>
      </c>
      <c r="N680">
        <v>2020</v>
      </c>
      <c r="O680">
        <v>5</v>
      </c>
    </row>
    <row r="681" spans="1:15" x14ac:dyDescent="0.3">
      <c r="A681" s="1">
        <v>43959</v>
      </c>
      <c r="B681">
        <v>1000000031</v>
      </c>
      <c r="C681" t="s">
        <v>42</v>
      </c>
      <c r="D681">
        <v>2</v>
      </c>
      <c r="E681">
        <v>28292.559999999998</v>
      </c>
      <c r="F681" t="s">
        <v>16</v>
      </c>
      <c r="G681" t="s">
        <v>43</v>
      </c>
      <c r="H681" t="s">
        <v>18</v>
      </c>
      <c r="I681" t="s">
        <v>19</v>
      </c>
      <c r="J681" t="s">
        <v>26</v>
      </c>
      <c r="K681" t="s">
        <v>29</v>
      </c>
      <c r="L681" t="s">
        <v>28</v>
      </c>
      <c r="M681">
        <v>14146.28</v>
      </c>
      <c r="N681">
        <v>2020</v>
      </c>
      <c r="O681">
        <v>5</v>
      </c>
    </row>
    <row r="682" spans="1:15" x14ac:dyDescent="0.3">
      <c r="A682" s="1">
        <v>43959</v>
      </c>
      <c r="B682">
        <v>1000000034</v>
      </c>
      <c r="C682" t="s">
        <v>42</v>
      </c>
      <c r="D682">
        <v>1</v>
      </c>
      <c r="E682">
        <v>25000.26</v>
      </c>
      <c r="F682" t="s">
        <v>16</v>
      </c>
      <c r="G682" t="s">
        <v>43</v>
      </c>
      <c r="H682" t="s">
        <v>18</v>
      </c>
      <c r="I682" t="s">
        <v>25</v>
      </c>
      <c r="J682" t="s">
        <v>26</v>
      </c>
      <c r="K682" t="s">
        <v>27</v>
      </c>
      <c r="L682" t="s">
        <v>22</v>
      </c>
      <c r="M682">
        <v>25000.26</v>
      </c>
      <c r="N682">
        <v>2020</v>
      </c>
      <c r="O682">
        <v>5</v>
      </c>
    </row>
    <row r="683" spans="1:15" x14ac:dyDescent="0.3">
      <c r="A683" s="1">
        <v>43959</v>
      </c>
      <c r="B683">
        <v>1000000068</v>
      </c>
      <c r="C683" t="s">
        <v>15</v>
      </c>
      <c r="D683">
        <v>2</v>
      </c>
      <c r="E683">
        <v>22001.08</v>
      </c>
      <c r="F683" t="s">
        <v>16</v>
      </c>
      <c r="G683" t="s">
        <v>17</v>
      </c>
      <c r="H683" t="s">
        <v>30</v>
      </c>
      <c r="I683" t="s">
        <v>55</v>
      </c>
      <c r="J683" t="s">
        <v>26</v>
      </c>
      <c r="K683" t="s">
        <v>56</v>
      </c>
      <c r="L683" t="s">
        <v>28</v>
      </c>
      <c r="M683">
        <v>11000.54</v>
      </c>
      <c r="N683">
        <v>2020</v>
      </c>
      <c r="O683">
        <v>5</v>
      </c>
    </row>
    <row r="684" spans="1:15" x14ac:dyDescent="0.3">
      <c r="A684" s="1">
        <v>43959</v>
      </c>
      <c r="B684">
        <v>1000000033</v>
      </c>
      <c r="C684" t="s">
        <v>23</v>
      </c>
      <c r="D684">
        <v>2</v>
      </c>
      <c r="E684">
        <v>21300.82</v>
      </c>
      <c r="F684" t="s">
        <v>16</v>
      </c>
      <c r="G684" t="s">
        <v>24</v>
      </c>
      <c r="H684" t="s">
        <v>18</v>
      </c>
      <c r="I684" t="s">
        <v>25</v>
      </c>
      <c r="J684" t="s">
        <v>26</v>
      </c>
      <c r="K684" t="s">
        <v>27</v>
      </c>
      <c r="L684" t="s">
        <v>22</v>
      </c>
      <c r="M684">
        <v>10650.41</v>
      </c>
      <c r="N684">
        <v>2020</v>
      </c>
      <c r="O684">
        <v>5</v>
      </c>
    </row>
    <row r="685" spans="1:15" x14ac:dyDescent="0.3">
      <c r="A685" s="1">
        <v>43959</v>
      </c>
      <c r="B685">
        <v>1000000054</v>
      </c>
      <c r="C685" t="s">
        <v>42</v>
      </c>
      <c r="D685">
        <v>1</v>
      </c>
      <c r="E685">
        <v>20000.09</v>
      </c>
      <c r="F685" t="s">
        <v>16</v>
      </c>
      <c r="G685" t="s">
        <v>43</v>
      </c>
      <c r="H685" t="s">
        <v>18</v>
      </c>
      <c r="I685" t="s">
        <v>34</v>
      </c>
      <c r="J685" t="s">
        <v>26</v>
      </c>
      <c r="K685" t="s">
        <v>35</v>
      </c>
      <c r="L685" t="s">
        <v>22</v>
      </c>
      <c r="M685">
        <v>20000.09</v>
      </c>
      <c r="N685">
        <v>2020</v>
      </c>
      <c r="O685">
        <v>5</v>
      </c>
    </row>
    <row r="686" spans="1:15" x14ac:dyDescent="0.3">
      <c r="A686" s="1">
        <v>43959</v>
      </c>
      <c r="B686">
        <v>1000000040</v>
      </c>
      <c r="C686" t="s">
        <v>23</v>
      </c>
      <c r="D686">
        <v>1</v>
      </c>
      <c r="E686">
        <v>20000.05</v>
      </c>
      <c r="F686" t="s">
        <v>16</v>
      </c>
      <c r="G686" t="s">
        <v>24</v>
      </c>
      <c r="H686" t="s">
        <v>30</v>
      </c>
      <c r="I686" t="s">
        <v>31</v>
      </c>
      <c r="J686" t="s">
        <v>32</v>
      </c>
      <c r="K686" t="s">
        <v>33</v>
      </c>
      <c r="L686" t="s">
        <v>28</v>
      </c>
      <c r="M686">
        <v>20000.05</v>
      </c>
      <c r="N686">
        <v>2020</v>
      </c>
      <c r="O686">
        <v>5</v>
      </c>
    </row>
    <row r="687" spans="1:15" x14ac:dyDescent="0.3">
      <c r="A687" s="1">
        <v>43959</v>
      </c>
      <c r="B687">
        <v>1000000030</v>
      </c>
      <c r="C687" t="s">
        <v>23</v>
      </c>
      <c r="D687">
        <v>1</v>
      </c>
      <c r="E687">
        <v>20000.03</v>
      </c>
      <c r="F687" t="s">
        <v>16</v>
      </c>
      <c r="G687" t="s">
        <v>24</v>
      </c>
      <c r="H687" t="s">
        <v>47</v>
      </c>
      <c r="I687" t="s">
        <v>48</v>
      </c>
      <c r="J687" t="s">
        <v>36</v>
      </c>
      <c r="K687" t="s">
        <v>49</v>
      </c>
      <c r="L687" t="s">
        <v>22</v>
      </c>
      <c r="M687">
        <v>20000.03</v>
      </c>
      <c r="N687">
        <v>2020</v>
      </c>
      <c r="O687">
        <v>5</v>
      </c>
    </row>
    <row r="688" spans="1:15" x14ac:dyDescent="0.3">
      <c r="A688" s="1">
        <v>43959</v>
      </c>
      <c r="B688">
        <v>1000000045</v>
      </c>
      <c r="C688" t="s">
        <v>42</v>
      </c>
      <c r="D688">
        <v>1</v>
      </c>
      <c r="E688">
        <v>19999.98</v>
      </c>
      <c r="F688" t="s">
        <v>16</v>
      </c>
      <c r="G688" t="s">
        <v>43</v>
      </c>
      <c r="H688" t="s">
        <v>47</v>
      </c>
      <c r="I688" t="s">
        <v>59</v>
      </c>
      <c r="J688" t="s">
        <v>26</v>
      </c>
      <c r="K688" t="s">
        <v>60</v>
      </c>
      <c r="L688" t="s">
        <v>22</v>
      </c>
      <c r="M688">
        <v>19999.98</v>
      </c>
      <c r="N688">
        <v>2020</v>
      </c>
      <c r="O688">
        <v>5</v>
      </c>
    </row>
    <row r="689" spans="1:15" x14ac:dyDescent="0.3">
      <c r="A689" s="1">
        <v>43959</v>
      </c>
      <c r="B689">
        <v>1000004256</v>
      </c>
      <c r="C689" t="s">
        <v>42</v>
      </c>
      <c r="D689">
        <v>1</v>
      </c>
      <c r="E689">
        <v>18000.099999999999</v>
      </c>
      <c r="F689" t="s">
        <v>16</v>
      </c>
      <c r="G689" t="s">
        <v>43</v>
      </c>
      <c r="H689" t="s">
        <v>18</v>
      </c>
      <c r="I689" t="s">
        <v>40</v>
      </c>
      <c r="J689" t="s">
        <v>26</v>
      </c>
      <c r="K689" t="s">
        <v>41</v>
      </c>
      <c r="L689" t="s">
        <v>22</v>
      </c>
      <c r="M689">
        <v>18000.099999999999</v>
      </c>
      <c r="N689">
        <v>2020</v>
      </c>
      <c r="O689">
        <v>5</v>
      </c>
    </row>
    <row r="690" spans="1:15" x14ac:dyDescent="0.3">
      <c r="A690" s="1">
        <v>43959</v>
      </c>
      <c r="B690">
        <v>1000000928</v>
      </c>
      <c r="C690" t="s">
        <v>23</v>
      </c>
      <c r="D690">
        <v>1</v>
      </c>
      <c r="E690">
        <v>16000.74</v>
      </c>
      <c r="F690" t="s">
        <v>16</v>
      </c>
      <c r="G690" t="s">
        <v>24</v>
      </c>
      <c r="H690" t="s">
        <v>30</v>
      </c>
      <c r="I690" t="s">
        <v>57</v>
      </c>
      <c r="J690" t="s">
        <v>26</v>
      </c>
      <c r="K690" t="s">
        <v>58</v>
      </c>
      <c r="L690" t="s">
        <v>22</v>
      </c>
      <c r="M690">
        <v>16000.74</v>
      </c>
      <c r="N690">
        <v>2020</v>
      </c>
      <c r="O690">
        <v>5</v>
      </c>
    </row>
    <row r="691" spans="1:15" x14ac:dyDescent="0.3">
      <c r="A691" s="1">
        <v>43959</v>
      </c>
      <c r="B691">
        <v>1000000039</v>
      </c>
      <c r="C691" t="s">
        <v>15</v>
      </c>
      <c r="D691">
        <v>1</v>
      </c>
      <c r="E691">
        <v>16000.66</v>
      </c>
      <c r="F691" t="s">
        <v>16</v>
      </c>
      <c r="G691" t="s">
        <v>17</v>
      </c>
      <c r="H691" t="s">
        <v>18</v>
      </c>
      <c r="I691" t="s">
        <v>25</v>
      </c>
      <c r="J691" t="s">
        <v>20</v>
      </c>
      <c r="K691" t="s">
        <v>51</v>
      </c>
      <c r="L691" t="s">
        <v>28</v>
      </c>
      <c r="M691">
        <v>16000.66</v>
      </c>
      <c r="N691">
        <v>2020</v>
      </c>
      <c r="O691">
        <v>5</v>
      </c>
    </row>
    <row r="692" spans="1:15" x14ac:dyDescent="0.3">
      <c r="A692" s="1">
        <v>43959</v>
      </c>
      <c r="B692">
        <v>1000000036</v>
      </c>
      <c r="C692" t="s">
        <v>15</v>
      </c>
      <c r="D692">
        <v>1</v>
      </c>
      <c r="E692">
        <v>15000.6</v>
      </c>
      <c r="F692" t="s">
        <v>16</v>
      </c>
      <c r="G692" t="s">
        <v>17</v>
      </c>
      <c r="H692" t="s">
        <v>47</v>
      </c>
      <c r="I692" t="s">
        <v>48</v>
      </c>
      <c r="J692" t="s">
        <v>36</v>
      </c>
      <c r="K692" t="s">
        <v>49</v>
      </c>
      <c r="L692" t="s">
        <v>28</v>
      </c>
      <c r="M692">
        <v>15000.6</v>
      </c>
      <c r="N692">
        <v>2020</v>
      </c>
      <c r="O692">
        <v>5</v>
      </c>
    </row>
    <row r="693" spans="1:15" x14ac:dyDescent="0.3">
      <c r="A693" s="1">
        <v>43959</v>
      </c>
      <c r="B693">
        <v>1000000035</v>
      </c>
      <c r="C693" t="s">
        <v>15</v>
      </c>
      <c r="D693">
        <v>1</v>
      </c>
      <c r="E693">
        <v>15000.44</v>
      </c>
      <c r="F693" t="s">
        <v>16</v>
      </c>
      <c r="G693" t="s">
        <v>17</v>
      </c>
      <c r="H693" t="s">
        <v>18</v>
      </c>
      <c r="I693" t="s">
        <v>25</v>
      </c>
      <c r="J693" t="s">
        <v>36</v>
      </c>
      <c r="K693" t="s">
        <v>37</v>
      </c>
      <c r="L693" t="s">
        <v>22</v>
      </c>
      <c r="M693">
        <v>15000.44</v>
      </c>
      <c r="N693">
        <v>2020</v>
      </c>
      <c r="O693">
        <v>5</v>
      </c>
    </row>
    <row r="694" spans="1:15" x14ac:dyDescent="0.3">
      <c r="A694" s="1">
        <v>43959</v>
      </c>
      <c r="B694">
        <v>1000000050</v>
      </c>
      <c r="C694" t="s">
        <v>15</v>
      </c>
      <c r="D694">
        <v>1</v>
      </c>
      <c r="E694">
        <v>13000.65</v>
      </c>
      <c r="F694" t="s">
        <v>16</v>
      </c>
      <c r="G694" t="s">
        <v>17</v>
      </c>
      <c r="H694" t="s">
        <v>18</v>
      </c>
      <c r="I694" t="s">
        <v>40</v>
      </c>
      <c r="J694" t="s">
        <v>26</v>
      </c>
      <c r="K694" t="s">
        <v>41</v>
      </c>
      <c r="L694" t="s">
        <v>22</v>
      </c>
      <c r="M694">
        <v>13000.65</v>
      </c>
      <c r="N694">
        <v>2020</v>
      </c>
      <c r="O694">
        <v>5</v>
      </c>
    </row>
    <row r="695" spans="1:15" x14ac:dyDescent="0.3">
      <c r="A695" s="1">
        <v>43959</v>
      </c>
      <c r="B695">
        <v>1000000052</v>
      </c>
      <c r="C695" t="s">
        <v>23</v>
      </c>
      <c r="D695">
        <v>1</v>
      </c>
      <c r="E695">
        <v>13000.57</v>
      </c>
      <c r="F695" t="s">
        <v>16</v>
      </c>
      <c r="G695" t="s">
        <v>24</v>
      </c>
      <c r="H695" t="s">
        <v>18</v>
      </c>
      <c r="I695" t="s">
        <v>34</v>
      </c>
      <c r="J695" t="s">
        <v>20</v>
      </c>
      <c r="K695" t="s">
        <v>44</v>
      </c>
      <c r="L695" t="s">
        <v>22</v>
      </c>
      <c r="M695">
        <v>13000.57</v>
      </c>
      <c r="N695">
        <v>2020</v>
      </c>
      <c r="O695">
        <v>5</v>
      </c>
    </row>
    <row r="696" spans="1:15" x14ac:dyDescent="0.3">
      <c r="A696" s="1">
        <v>43959</v>
      </c>
      <c r="B696">
        <v>1000000028</v>
      </c>
      <c r="C696" t="s">
        <v>15</v>
      </c>
      <c r="D696">
        <v>1</v>
      </c>
      <c r="E696">
        <v>12000.29</v>
      </c>
      <c r="F696" t="s">
        <v>16</v>
      </c>
      <c r="G696" t="s">
        <v>17</v>
      </c>
      <c r="H696" t="s">
        <v>18</v>
      </c>
      <c r="I696" t="s">
        <v>19</v>
      </c>
      <c r="J696" t="s">
        <v>20</v>
      </c>
      <c r="K696" t="s">
        <v>21</v>
      </c>
      <c r="L696" t="s">
        <v>22</v>
      </c>
      <c r="M696">
        <v>12000.29</v>
      </c>
      <c r="N696">
        <v>2020</v>
      </c>
      <c r="O696">
        <v>5</v>
      </c>
    </row>
    <row r="697" spans="1:15" x14ac:dyDescent="0.3">
      <c r="A697" s="1">
        <v>43959</v>
      </c>
      <c r="B697">
        <v>1000000056</v>
      </c>
      <c r="C697" t="s">
        <v>15</v>
      </c>
      <c r="D697">
        <v>1</v>
      </c>
      <c r="E697">
        <v>12000.05</v>
      </c>
      <c r="F697" t="s">
        <v>16</v>
      </c>
      <c r="G697" t="s">
        <v>17</v>
      </c>
      <c r="H697" t="s">
        <v>18</v>
      </c>
      <c r="I697" t="s">
        <v>34</v>
      </c>
      <c r="J697" t="s">
        <v>26</v>
      </c>
      <c r="K697" t="s">
        <v>35</v>
      </c>
      <c r="L697" t="s">
        <v>28</v>
      </c>
      <c r="M697">
        <v>12000.05</v>
      </c>
      <c r="N697">
        <v>2020</v>
      </c>
      <c r="O697">
        <v>5</v>
      </c>
    </row>
    <row r="698" spans="1:15" x14ac:dyDescent="0.3">
      <c r="A698" s="1">
        <v>43959</v>
      </c>
      <c r="B698">
        <v>1000000566</v>
      </c>
      <c r="C698" t="s">
        <v>23</v>
      </c>
      <c r="D698">
        <v>1</v>
      </c>
      <c r="E698">
        <v>10000.48</v>
      </c>
      <c r="F698" t="s">
        <v>16</v>
      </c>
      <c r="G698" t="s">
        <v>24</v>
      </c>
      <c r="H698" t="s">
        <v>47</v>
      </c>
      <c r="I698" t="s">
        <v>48</v>
      </c>
      <c r="J698" t="s">
        <v>36</v>
      </c>
      <c r="K698" t="s">
        <v>49</v>
      </c>
      <c r="L698" t="s">
        <v>22</v>
      </c>
      <c r="M698">
        <v>10000.48</v>
      </c>
      <c r="N698">
        <v>2020</v>
      </c>
      <c r="O698">
        <v>5</v>
      </c>
    </row>
    <row r="699" spans="1:15" x14ac:dyDescent="0.3">
      <c r="A699" s="1">
        <v>43959</v>
      </c>
      <c r="B699">
        <v>1000000044</v>
      </c>
      <c r="C699" t="s">
        <v>23</v>
      </c>
      <c r="D699">
        <v>1</v>
      </c>
      <c r="E699">
        <v>10000.450000000001</v>
      </c>
      <c r="F699" t="s">
        <v>16</v>
      </c>
      <c r="G699" t="s">
        <v>24</v>
      </c>
      <c r="H699" t="s">
        <v>30</v>
      </c>
      <c r="I699" t="s">
        <v>31</v>
      </c>
      <c r="J699" t="s">
        <v>36</v>
      </c>
      <c r="K699" t="s">
        <v>52</v>
      </c>
      <c r="L699" t="s">
        <v>28</v>
      </c>
      <c r="M699">
        <v>10000.450000000001</v>
      </c>
      <c r="N699">
        <v>2020</v>
      </c>
      <c r="O699">
        <v>5</v>
      </c>
    </row>
    <row r="700" spans="1:15" x14ac:dyDescent="0.3">
      <c r="A700" s="1">
        <v>43959</v>
      </c>
      <c r="B700">
        <v>1000003926</v>
      </c>
      <c r="C700" t="s">
        <v>15</v>
      </c>
      <c r="D700">
        <v>1</v>
      </c>
      <c r="E700">
        <v>9999.94</v>
      </c>
      <c r="F700" t="s">
        <v>16</v>
      </c>
      <c r="G700" t="s">
        <v>17</v>
      </c>
      <c r="H700" t="s">
        <v>47</v>
      </c>
      <c r="I700" t="s">
        <v>48</v>
      </c>
      <c r="J700" t="s">
        <v>26</v>
      </c>
      <c r="K700" t="s">
        <v>50</v>
      </c>
      <c r="L700" t="s">
        <v>28</v>
      </c>
      <c r="M700">
        <v>9999.94</v>
      </c>
      <c r="N700">
        <v>2020</v>
      </c>
      <c r="O700">
        <v>5</v>
      </c>
    </row>
    <row r="701" spans="1:15" x14ac:dyDescent="0.3">
      <c r="A701" s="1">
        <v>43959</v>
      </c>
      <c r="B701">
        <v>1000000237</v>
      </c>
      <c r="C701" t="s">
        <v>42</v>
      </c>
      <c r="D701">
        <v>1</v>
      </c>
      <c r="E701">
        <v>9500.02</v>
      </c>
      <c r="F701" t="s">
        <v>16</v>
      </c>
      <c r="G701" t="s">
        <v>43</v>
      </c>
      <c r="H701" t="s">
        <v>18</v>
      </c>
      <c r="I701" t="s">
        <v>40</v>
      </c>
      <c r="J701" t="s">
        <v>26</v>
      </c>
      <c r="K701" t="s">
        <v>41</v>
      </c>
      <c r="L701" t="s">
        <v>22</v>
      </c>
      <c r="M701">
        <v>9500.02</v>
      </c>
      <c r="N701">
        <v>2020</v>
      </c>
      <c r="O701">
        <v>5</v>
      </c>
    </row>
    <row r="702" spans="1:15" x14ac:dyDescent="0.3">
      <c r="A702" s="1">
        <v>43959</v>
      </c>
      <c r="B702">
        <v>1000000029</v>
      </c>
      <c r="C702" t="s">
        <v>42</v>
      </c>
      <c r="D702">
        <v>2</v>
      </c>
      <c r="E702">
        <v>9484.26</v>
      </c>
      <c r="F702" t="s">
        <v>16</v>
      </c>
      <c r="G702" t="s">
        <v>43</v>
      </c>
      <c r="H702" t="s">
        <v>18</v>
      </c>
      <c r="I702" t="s">
        <v>19</v>
      </c>
      <c r="J702" t="s">
        <v>20</v>
      </c>
      <c r="K702" t="s">
        <v>21</v>
      </c>
      <c r="L702" t="s">
        <v>22</v>
      </c>
      <c r="M702">
        <v>4742.13</v>
      </c>
      <c r="N702">
        <v>2020</v>
      </c>
      <c r="O702">
        <v>5</v>
      </c>
    </row>
    <row r="703" spans="1:15" x14ac:dyDescent="0.3">
      <c r="A703" s="1">
        <v>43959</v>
      </c>
      <c r="B703">
        <v>1000000044</v>
      </c>
      <c r="C703" t="s">
        <v>15</v>
      </c>
      <c r="D703">
        <v>1</v>
      </c>
      <c r="E703">
        <v>8000.76</v>
      </c>
      <c r="F703" t="s">
        <v>16</v>
      </c>
      <c r="G703" t="s">
        <v>17</v>
      </c>
      <c r="H703" t="s">
        <v>30</v>
      </c>
      <c r="I703" t="s">
        <v>31</v>
      </c>
      <c r="J703" t="s">
        <v>36</v>
      </c>
      <c r="K703" t="s">
        <v>52</v>
      </c>
      <c r="L703" t="s">
        <v>28</v>
      </c>
      <c r="M703">
        <v>8000.76</v>
      </c>
      <c r="N703">
        <v>2020</v>
      </c>
      <c r="O703">
        <v>5</v>
      </c>
    </row>
    <row r="704" spans="1:15" x14ac:dyDescent="0.3">
      <c r="A704" s="1">
        <v>43959</v>
      </c>
      <c r="B704">
        <v>1000000576</v>
      </c>
      <c r="C704" t="s">
        <v>15</v>
      </c>
      <c r="D704">
        <v>1</v>
      </c>
      <c r="E704">
        <v>8000.52</v>
      </c>
      <c r="F704" t="s">
        <v>16</v>
      </c>
      <c r="G704" t="s">
        <v>17</v>
      </c>
      <c r="H704" t="s">
        <v>18</v>
      </c>
      <c r="I704" t="s">
        <v>25</v>
      </c>
      <c r="J704" t="s">
        <v>36</v>
      </c>
      <c r="K704" t="s">
        <v>37</v>
      </c>
      <c r="L704" t="s">
        <v>22</v>
      </c>
      <c r="M704">
        <v>8000.52</v>
      </c>
      <c r="N704">
        <v>2020</v>
      </c>
      <c r="O704">
        <v>5</v>
      </c>
    </row>
    <row r="705" spans="1:15" x14ac:dyDescent="0.3">
      <c r="A705" s="1">
        <v>43959</v>
      </c>
      <c r="B705">
        <v>1000000056</v>
      </c>
      <c r="C705" t="s">
        <v>23</v>
      </c>
      <c r="D705">
        <v>1</v>
      </c>
      <c r="E705">
        <v>8000.43</v>
      </c>
      <c r="F705" t="s">
        <v>16</v>
      </c>
      <c r="G705" t="s">
        <v>24</v>
      </c>
      <c r="H705" t="s">
        <v>18</v>
      </c>
      <c r="I705" t="s">
        <v>34</v>
      </c>
      <c r="J705" t="s">
        <v>26</v>
      </c>
      <c r="K705" t="s">
        <v>35</v>
      </c>
      <c r="L705" t="s">
        <v>28</v>
      </c>
      <c r="M705">
        <v>8000.43</v>
      </c>
      <c r="N705">
        <v>2020</v>
      </c>
      <c r="O705">
        <v>5</v>
      </c>
    </row>
    <row r="706" spans="1:15" x14ac:dyDescent="0.3">
      <c r="A706" s="1">
        <v>43959</v>
      </c>
      <c r="B706">
        <v>1000000036</v>
      </c>
      <c r="C706" t="s">
        <v>23</v>
      </c>
      <c r="D706">
        <v>2</v>
      </c>
      <c r="E706">
        <v>7200.87</v>
      </c>
      <c r="F706" t="s">
        <v>16</v>
      </c>
      <c r="G706" t="s">
        <v>24</v>
      </c>
      <c r="H706" t="s">
        <v>47</v>
      </c>
      <c r="I706" t="s">
        <v>48</v>
      </c>
      <c r="J706" t="s">
        <v>36</v>
      </c>
      <c r="K706" t="s">
        <v>49</v>
      </c>
      <c r="L706" t="s">
        <v>28</v>
      </c>
      <c r="M706">
        <v>3600.4349999999999</v>
      </c>
      <c r="N706">
        <v>2020</v>
      </c>
      <c r="O706">
        <v>5</v>
      </c>
    </row>
    <row r="707" spans="1:15" x14ac:dyDescent="0.3">
      <c r="A707" s="1">
        <v>43959</v>
      </c>
      <c r="B707">
        <v>1000000068</v>
      </c>
      <c r="C707" t="s">
        <v>42</v>
      </c>
      <c r="D707">
        <v>1</v>
      </c>
      <c r="E707">
        <v>6000.49</v>
      </c>
      <c r="F707" t="s">
        <v>16</v>
      </c>
      <c r="G707" t="s">
        <v>43</v>
      </c>
      <c r="H707" t="s">
        <v>30</v>
      </c>
      <c r="I707" t="s">
        <v>55</v>
      </c>
      <c r="J707" t="s">
        <v>26</v>
      </c>
      <c r="K707" t="s">
        <v>56</v>
      </c>
      <c r="L707" t="s">
        <v>28</v>
      </c>
      <c r="M707">
        <v>6000.49</v>
      </c>
      <c r="N707">
        <v>2020</v>
      </c>
      <c r="O707">
        <v>5</v>
      </c>
    </row>
    <row r="708" spans="1:15" x14ac:dyDescent="0.3">
      <c r="A708" s="1">
        <v>43959</v>
      </c>
      <c r="B708">
        <v>1000000041</v>
      </c>
      <c r="C708" t="s">
        <v>15</v>
      </c>
      <c r="D708">
        <v>1</v>
      </c>
      <c r="E708">
        <v>6000.46</v>
      </c>
      <c r="F708" t="s">
        <v>16</v>
      </c>
      <c r="G708" t="s">
        <v>17</v>
      </c>
      <c r="H708" t="s">
        <v>30</v>
      </c>
      <c r="I708" t="s">
        <v>31</v>
      </c>
      <c r="J708" t="s">
        <v>32</v>
      </c>
      <c r="K708" t="s">
        <v>33</v>
      </c>
      <c r="L708" t="s">
        <v>22</v>
      </c>
      <c r="M708">
        <v>6000.46</v>
      </c>
      <c r="N708">
        <v>2020</v>
      </c>
      <c r="O708">
        <v>5</v>
      </c>
    </row>
    <row r="709" spans="1:15" x14ac:dyDescent="0.3">
      <c r="A709" s="1">
        <v>43959</v>
      </c>
      <c r="B709">
        <v>1000001513</v>
      </c>
      <c r="C709" t="s">
        <v>15</v>
      </c>
      <c r="D709">
        <v>1</v>
      </c>
      <c r="E709">
        <v>5500.43</v>
      </c>
      <c r="F709" t="s">
        <v>16</v>
      </c>
      <c r="G709" t="s">
        <v>17</v>
      </c>
      <c r="H709" t="s">
        <v>18</v>
      </c>
      <c r="I709" t="s">
        <v>34</v>
      </c>
      <c r="J709" t="s">
        <v>20</v>
      </c>
      <c r="K709" t="s">
        <v>44</v>
      </c>
      <c r="L709" t="s">
        <v>22</v>
      </c>
      <c r="M709">
        <v>5500.43</v>
      </c>
      <c r="N709">
        <v>2020</v>
      </c>
      <c r="O709">
        <v>5</v>
      </c>
    </row>
    <row r="710" spans="1:15" x14ac:dyDescent="0.3">
      <c r="A710" s="1">
        <v>43959</v>
      </c>
      <c r="B710">
        <v>1000000566</v>
      </c>
      <c r="C710" t="s">
        <v>42</v>
      </c>
      <c r="D710">
        <v>1</v>
      </c>
      <c r="E710">
        <v>4670.46</v>
      </c>
      <c r="F710" t="s">
        <v>16</v>
      </c>
      <c r="G710" t="s">
        <v>43</v>
      </c>
      <c r="H710" t="s">
        <v>47</v>
      </c>
      <c r="I710" t="s">
        <v>48</v>
      </c>
      <c r="J710" t="s">
        <v>36</v>
      </c>
      <c r="K710" t="s">
        <v>49</v>
      </c>
      <c r="L710" t="s">
        <v>22</v>
      </c>
      <c r="M710">
        <v>4670.46</v>
      </c>
      <c r="N710">
        <v>2020</v>
      </c>
      <c r="O710">
        <v>5</v>
      </c>
    </row>
    <row r="711" spans="1:15" x14ac:dyDescent="0.3">
      <c r="A711" s="1">
        <v>43959</v>
      </c>
      <c r="B711">
        <v>1000000039</v>
      </c>
      <c r="C711" t="s">
        <v>23</v>
      </c>
      <c r="D711">
        <v>1</v>
      </c>
      <c r="E711">
        <v>3163.57</v>
      </c>
      <c r="F711" t="s">
        <v>16</v>
      </c>
      <c r="G711" t="s">
        <v>24</v>
      </c>
      <c r="H711" t="s">
        <v>18</v>
      </c>
      <c r="I711" t="s">
        <v>25</v>
      </c>
      <c r="J711" t="s">
        <v>20</v>
      </c>
      <c r="K711" t="s">
        <v>51</v>
      </c>
      <c r="L711" t="s">
        <v>28</v>
      </c>
      <c r="M711">
        <v>3163.57</v>
      </c>
      <c r="N711">
        <v>2020</v>
      </c>
      <c r="O711">
        <v>5</v>
      </c>
    </row>
    <row r="712" spans="1:15" x14ac:dyDescent="0.3">
      <c r="A712" s="1">
        <v>43959</v>
      </c>
      <c r="B712">
        <v>1000000057</v>
      </c>
      <c r="C712" t="s">
        <v>42</v>
      </c>
      <c r="D712">
        <v>1</v>
      </c>
      <c r="E712">
        <v>3000.13</v>
      </c>
      <c r="F712" t="s">
        <v>16</v>
      </c>
      <c r="G712" t="s">
        <v>43</v>
      </c>
      <c r="H712" t="s">
        <v>18</v>
      </c>
      <c r="I712" t="s">
        <v>34</v>
      </c>
      <c r="J712" t="s">
        <v>20</v>
      </c>
      <c r="K712" t="s">
        <v>44</v>
      </c>
      <c r="L712" t="s">
        <v>22</v>
      </c>
      <c r="M712">
        <v>3000.13</v>
      </c>
      <c r="N712">
        <v>2020</v>
      </c>
      <c r="O712">
        <v>5</v>
      </c>
    </row>
    <row r="713" spans="1:15" x14ac:dyDescent="0.3">
      <c r="A713" s="1">
        <v>43959</v>
      </c>
      <c r="B713">
        <v>1000000067</v>
      </c>
      <c r="C713" t="s">
        <v>23</v>
      </c>
      <c r="D713">
        <v>1</v>
      </c>
      <c r="E713">
        <v>2400.69</v>
      </c>
      <c r="F713" t="s">
        <v>16</v>
      </c>
      <c r="G713" t="s">
        <v>24</v>
      </c>
      <c r="H713" t="s">
        <v>18</v>
      </c>
      <c r="I713" t="s">
        <v>25</v>
      </c>
      <c r="J713" t="s">
        <v>20</v>
      </c>
      <c r="K713" t="s">
        <v>51</v>
      </c>
      <c r="L713" t="s">
        <v>22</v>
      </c>
      <c r="M713">
        <v>2400.69</v>
      </c>
      <c r="N713">
        <v>2020</v>
      </c>
      <c r="O713">
        <v>5</v>
      </c>
    </row>
    <row r="714" spans="1:15" x14ac:dyDescent="0.3">
      <c r="A714" s="1">
        <v>43959</v>
      </c>
      <c r="B714">
        <v>1000000576</v>
      </c>
      <c r="C714" t="s">
        <v>23</v>
      </c>
      <c r="D714">
        <v>2</v>
      </c>
      <c r="E714">
        <v>2217.38</v>
      </c>
      <c r="F714" t="s">
        <v>16</v>
      </c>
      <c r="G714" t="s">
        <v>24</v>
      </c>
      <c r="H714" t="s">
        <v>18</v>
      </c>
      <c r="I714" t="s">
        <v>25</v>
      </c>
      <c r="J714" t="s">
        <v>36</v>
      </c>
      <c r="K714" t="s">
        <v>37</v>
      </c>
      <c r="L714" t="s">
        <v>22</v>
      </c>
      <c r="M714">
        <v>1108.69</v>
      </c>
      <c r="N714">
        <v>2020</v>
      </c>
      <c r="O714">
        <v>5</v>
      </c>
    </row>
    <row r="715" spans="1:15" x14ac:dyDescent="0.3">
      <c r="A715" s="1">
        <v>43959</v>
      </c>
      <c r="B715">
        <v>1000000043</v>
      </c>
      <c r="C715" t="s">
        <v>23</v>
      </c>
      <c r="D715">
        <v>1</v>
      </c>
      <c r="E715">
        <v>1185.98</v>
      </c>
      <c r="F715" t="s">
        <v>16</v>
      </c>
      <c r="G715" t="s">
        <v>24</v>
      </c>
      <c r="H715" t="s">
        <v>30</v>
      </c>
      <c r="I715" t="s">
        <v>38</v>
      </c>
      <c r="J715" t="s">
        <v>26</v>
      </c>
      <c r="K715" t="s">
        <v>39</v>
      </c>
      <c r="L715" t="s">
        <v>22</v>
      </c>
      <c r="M715">
        <v>1185.98</v>
      </c>
      <c r="N715">
        <v>2020</v>
      </c>
      <c r="O715">
        <v>5</v>
      </c>
    </row>
    <row r="716" spans="1:15" x14ac:dyDescent="0.3">
      <c r="A716" s="1">
        <v>43959</v>
      </c>
      <c r="B716">
        <v>1000000029</v>
      </c>
      <c r="C716" t="s">
        <v>23</v>
      </c>
      <c r="D716">
        <v>1</v>
      </c>
      <c r="E716">
        <v>782.52</v>
      </c>
      <c r="F716" t="s">
        <v>16</v>
      </c>
      <c r="G716" t="s">
        <v>24</v>
      </c>
      <c r="H716" t="s">
        <v>18</v>
      </c>
      <c r="I716" t="s">
        <v>19</v>
      </c>
      <c r="J716" t="s">
        <v>20</v>
      </c>
      <c r="K716" t="s">
        <v>21</v>
      </c>
      <c r="L716" t="s">
        <v>22</v>
      </c>
      <c r="M716">
        <v>782.52</v>
      </c>
      <c r="N716">
        <v>2020</v>
      </c>
      <c r="O716">
        <v>5</v>
      </c>
    </row>
    <row r="717" spans="1:15" x14ac:dyDescent="0.3">
      <c r="A717" s="1">
        <v>43959</v>
      </c>
      <c r="B717">
        <v>1000000041</v>
      </c>
      <c r="C717" t="s">
        <v>23</v>
      </c>
      <c r="D717">
        <v>1</v>
      </c>
      <c r="E717">
        <v>600.15</v>
      </c>
      <c r="F717" t="s">
        <v>16</v>
      </c>
      <c r="G717" t="s">
        <v>24</v>
      </c>
      <c r="H717" t="s">
        <v>30</v>
      </c>
      <c r="I717" t="s">
        <v>31</v>
      </c>
      <c r="J717" t="s">
        <v>32</v>
      </c>
      <c r="K717" t="s">
        <v>33</v>
      </c>
      <c r="L717" t="s">
        <v>22</v>
      </c>
      <c r="M717">
        <v>600.15</v>
      </c>
      <c r="N717">
        <v>2020</v>
      </c>
      <c r="O717">
        <v>5</v>
      </c>
    </row>
    <row r="718" spans="1:15" x14ac:dyDescent="0.3">
      <c r="A718" s="1">
        <v>43959</v>
      </c>
      <c r="B718">
        <v>1000000032</v>
      </c>
      <c r="C718" t="s">
        <v>23</v>
      </c>
      <c r="D718">
        <v>1</v>
      </c>
      <c r="E718">
        <v>500.72</v>
      </c>
      <c r="F718" t="s">
        <v>16</v>
      </c>
      <c r="G718" t="s">
        <v>24</v>
      </c>
      <c r="H718" t="s">
        <v>18</v>
      </c>
      <c r="I718" t="s">
        <v>25</v>
      </c>
      <c r="J718" t="s">
        <v>26</v>
      </c>
      <c r="K718" t="s">
        <v>27</v>
      </c>
      <c r="L718" t="s">
        <v>28</v>
      </c>
      <c r="M718">
        <v>500.72</v>
      </c>
      <c r="N718">
        <v>2020</v>
      </c>
      <c r="O718">
        <v>5</v>
      </c>
    </row>
    <row r="719" spans="1:15" x14ac:dyDescent="0.3">
      <c r="A719" s="1">
        <v>43960</v>
      </c>
      <c r="B719">
        <v>1000000031</v>
      </c>
      <c r="C719" t="s">
        <v>23</v>
      </c>
      <c r="D719">
        <v>4</v>
      </c>
      <c r="E719">
        <v>42001.41</v>
      </c>
      <c r="F719" t="s">
        <v>16</v>
      </c>
      <c r="G719" t="s">
        <v>24</v>
      </c>
      <c r="H719" t="s">
        <v>18</v>
      </c>
      <c r="I719" t="s">
        <v>19</v>
      </c>
      <c r="J719" t="s">
        <v>26</v>
      </c>
      <c r="K719" t="s">
        <v>29</v>
      </c>
      <c r="L719" t="s">
        <v>28</v>
      </c>
      <c r="M719">
        <v>10500.352500000001</v>
      </c>
      <c r="N719">
        <v>2020</v>
      </c>
      <c r="O719">
        <v>5</v>
      </c>
    </row>
    <row r="720" spans="1:15" x14ac:dyDescent="0.3">
      <c r="A720" s="1">
        <v>43960</v>
      </c>
      <c r="B720">
        <v>1000000237</v>
      </c>
      <c r="C720" t="s">
        <v>42</v>
      </c>
      <c r="D720">
        <v>3</v>
      </c>
      <c r="E720">
        <v>40001.1</v>
      </c>
      <c r="F720" t="s">
        <v>16</v>
      </c>
      <c r="G720" t="s">
        <v>43</v>
      </c>
      <c r="H720" t="s">
        <v>18</v>
      </c>
      <c r="I720" t="s">
        <v>40</v>
      </c>
      <c r="J720" t="s">
        <v>26</v>
      </c>
      <c r="K720" t="s">
        <v>41</v>
      </c>
      <c r="L720" t="s">
        <v>22</v>
      </c>
      <c r="M720">
        <v>13333.7</v>
      </c>
      <c r="N720">
        <v>2020</v>
      </c>
      <c r="O720">
        <v>5</v>
      </c>
    </row>
    <row r="721" spans="1:15" x14ac:dyDescent="0.3">
      <c r="A721" s="1">
        <v>43960</v>
      </c>
      <c r="B721">
        <v>1000000045</v>
      </c>
      <c r="C721" t="s">
        <v>23</v>
      </c>
      <c r="D721">
        <v>2</v>
      </c>
      <c r="E721">
        <v>40000.78</v>
      </c>
      <c r="F721" t="s">
        <v>16</v>
      </c>
      <c r="G721" t="s">
        <v>24</v>
      </c>
      <c r="H721" t="s">
        <v>47</v>
      </c>
      <c r="I721" t="s">
        <v>59</v>
      </c>
      <c r="J721" t="s">
        <v>26</v>
      </c>
      <c r="K721" t="s">
        <v>60</v>
      </c>
      <c r="L721" t="s">
        <v>22</v>
      </c>
      <c r="M721">
        <v>20000.39</v>
      </c>
      <c r="N721">
        <v>2020</v>
      </c>
      <c r="O721">
        <v>5</v>
      </c>
    </row>
    <row r="722" spans="1:15" x14ac:dyDescent="0.3">
      <c r="A722" s="1">
        <v>43960</v>
      </c>
      <c r="B722">
        <v>1000000028</v>
      </c>
      <c r="C722" t="s">
        <v>15</v>
      </c>
      <c r="D722">
        <v>2</v>
      </c>
      <c r="E722">
        <v>38000.759999999995</v>
      </c>
      <c r="F722" t="s">
        <v>16</v>
      </c>
      <c r="G722" t="s">
        <v>17</v>
      </c>
      <c r="H722" t="s">
        <v>18</v>
      </c>
      <c r="I722" t="s">
        <v>19</v>
      </c>
      <c r="J722" t="s">
        <v>20</v>
      </c>
      <c r="K722" t="s">
        <v>21</v>
      </c>
      <c r="L722" t="s">
        <v>22</v>
      </c>
      <c r="M722">
        <v>19000.379999999997</v>
      </c>
      <c r="N722">
        <v>2020</v>
      </c>
      <c r="O722">
        <v>5</v>
      </c>
    </row>
    <row r="723" spans="1:15" x14ac:dyDescent="0.3">
      <c r="A723" s="1">
        <v>43960</v>
      </c>
      <c r="B723">
        <v>1000003926</v>
      </c>
      <c r="C723" t="s">
        <v>23</v>
      </c>
      <c r="D723">
        <v>2</v>
      </c>
      <c r="E723">
        <v>35001.07</v>
      </c>
      <c r="F723" t="s">
        <v>16</v>
      </c>
      <c r="G723" t="s">
        <v>24</v>
      </c>
      <c r="H723" t="s">
        <v>47</v>
      </c>
      <c r="I723" t="s">
        <v>48</v>
      </c>
      <c r="J723" t="s">
        <v>26</v>
      </c>
      <c r="K723" t="s">
        <v>50</v>
      </c>
      <c r="L723" t="s">
        <v>28</v>
      </c>
      <c r="M723">
        <v>17500.535</v>
      </c>
      <c r="N723">
        <v>2020</v>
      </c>
      <c r="O723">
        <v>5</v>
      </c>
    </row>
    <row r="724" spans="1:15" x14ac:dyDescent="0.3">
      <c r="A724" s="1">
        <v>43960</v>
      </c>
      <c r="B724">
        <v>1000000928</v>
      </c>
      <c r="C724" t="s">
        <v>15</v>
      </c>
      <c r="D724">
        <v>3</v>
      </c>
      <c r="E724">
        <v>33500.81</v>
      </c>
      <c r="F724" t="s">
        <v>16</v>
      </c>
      <c r="G724" t="s">
        <v>17</v>
      </c>
      <c r="H724" t="s">
        <v>30</v>
      </c>
      <c r="I724" t="s">
        <v>57</v>
      </c>
      <c r="J724" t="s">
        <v>26</v>
      </c>
      <c r="K724" t="s">
        <v>58</v>
      </c>
      <c r="L724" t="s">
        <v>22</v>
      </c>
      <c r="M724">
        <v>11166.936666666666</v>
      </c>
      <c r="N724">
        <v>2020</v>
      </c>
      <c r="O724">
        <v>5</v>
      </c>
    </row>
    <row r="725" spans="1:15" x14ac:dyDescent="0.3">
      <c r="A725" s="1">
        <v>43960</v>
      </c>
      <c r="B725">
        <v>1000000030</v>
      </c>
      <c r="C725" t="s">
        <v>15</v>
      </c>
      <c r="D725">
        <v>3</v>
      </c>
      <c r="E725">
        <v>31001.83</v>
      </c>
      <c r="F725" t="s">
        <v>16</v>
      </c>
      <c r="G725" t="s">
        <v>17</v>
      </c>
      <c r="H725" t="s">
        <v>47</v>
      </c>
      <c r="I725" t="s">
        <v>48</v>
      </c>
      <c r="J725" t="s">
        <v>36</v>
      </c>
      <c r="K725" t="s">
        <v>49</v>
      </c>
      <c r="L725" t="s">
        <v>22</v>
      </c>
      <c r="M725">
        <v>10333.943333333336</v>
      </c>
      <c r="N725">
        <v>2020</v>
      </c>
      <c r="O725">
        <v>5</v>
      </c>
    </row>
    <row r="726" spans="1:15" x14ac:dyDescent="0.3">
      <c r="A726" s="1">
        <v>43960</v>
      </c>
      <c r="B726">
        <v>1000001513</v>
      </c>
      <c r="C726" t="s">
        <v>15</v>
      </c>
      <c r="D726">
        <v>2</v>
      </c>
      <c r="E726">
        <v>30000.83</v>
      </c>
      <c r="F726" t="s">
        <v>16</v>
      </c>
      <c r="G726" t="s">
        <v>17</v>
      </c>
      <c r="H726" t="s">
        <v>18</v>
      </c>
      <c r="I726" t="s">
        <v>34</v>
      </c>
      <c r="J726" t="s">
        <v>20</v>
      </c>
      <c r="K726" t="s">
        <v>44</v>
      </c>
      <c r="L726" t="s">
        <v>22</v>
      </c>
      <c r="M726">
        <v>15000.415000000001</v>
      </c>
      <c r="N726">
        <v>2020</v>
      </c>
      <c r="O726">
        <v>5</v>
      </c>
    </row>
    <row r="727" spans="1:15" x14ac:dyDescent="0.3">
      <c r="A727" s="1">
        <v>43960</v>
      </c>
      <c r="B727">
        <v>1000000036</v>
      </c>
      <c r="C727" t="s">
        <v>23</v>
      </c>
      <c r="D727">
        <v>4</v>
      </c>
      <c r="E727">
        <v>29135.489999999998</v>
      </c>
      <c r="F727" t="s">
        <v>16</v>
      </c>
      <c r="G727" t="s">
        <v>24</v>
      </c>
      <c r="H727" t="s">
        <v>47</v>
      </c>
      <c r="I727" t="s">
        <v>48</v>
      </c>
      <c r="J727" t="s">
        <v>36</v>
      </c>
      <c r="K727" t="s">
        <v>49</v>
      </c>
      <c r="L727" t="s">
        <v>28</v>
      </c>
      <c r="M727">
        <v>7283.8725000000004</v>
      </c>
      <c r="N727">
        <v>2020</v>
      </c>
      <c r="O727">
        <v>5</v>
      </c>
    </row>
    <row r="728" spans="1:15" x14ac:dyDescent="0.3">
      <c r="A728" s="1">
        <v>43960</v>
      </c>
      <c r="B728">
        <v>1000003926</v>
      </c>
      <c r="C728" t="s">
        <v>15</v>
      </c>
      <c r="D728">
        <v>3</v>
      </c>
      <c r="E728">
        <v>26500.250000000004</v>
      </c>
      <c r="F728" t="s">
        <v>16</v>
      </c>
      <c r="G728" t="s">
        <v>17</v>
      </c>
      <c r="H728" t="s">
        <v>47</v>
      </c>
      <c r="I728" t="s">
        <v>48</v>
      </c>
      <c r="J728" t="s">
        <v>26</v>
      </c>
      <c r="K728" t="s">
        <v>50</v>
      </c>
      <c r="L728" t="s">
        <v>28</v>
      </c>
      <c r="M728">
        <v>8833.4166666666679</v>
      </c>
      <c r="N728">
        <v>2020</v>
      </c>
      <c r="O728">
        <v>5</v>
      </c>
    </row>
    <row r="729" spans="1:15" x14ac:dyDescent="0.3">
      <c r="A729" s="1">
        <v>43960</v>
      </c>
      <c r="B729">
        <v>1000004170</v>
      </c>
      <c r="C729" t="s">
        <v>15</v>
      </c>
      <c r="D729">
        <v>1</v>
      </c>
      <c r="E729">
        <v>25000.67</v>
      </c>
      <c r="F729" t="s">
        <v>16</v>
      </c>
      <c r="G729" t="s">
        <v>17</v>
      </c>
      <c r="H729" t="s">
        <v>18</v>
      </c>
      <c r="I729" t="s">
        <v>34</v>
      </c>
      <c r="J729" t="s">
        <v>20</v>
      </c>
      <c r="K729" t="s">
        <v>44</v>
      </c>
      <c r="L729" t="s">
        <v>28</v>
      </c>
      <c r="M729">
        <v>25000.67</v>
      </c>
      <c r="N729">
        <v>2020</v>
      </c>
      <c r="O729">
        <v>5</v>
      </c>
    </row>
    <row r="730" spans="1:15" x14ac:dyDescent="0.3">
      <c r="A730" s="1">
        <v>43960</v>
      </c>
      <c r="B730">
        <v>1000000036</v>
      </c>
      <c r="C730" t="s">
        <v>15</v>
      </c>
      <c r="D730">
        <v>2</v>
      </c>
      <c r="E730">
        <v>20001.059999999998</v>
      </c>
      <c r="F730" t="s">
        <v>16</v>
      </c>
      <c r="G730" t="s">
        <v>17</v>
      </c>
      <c r="H730" t="s">
        <v>47</v>
      </c>
      <c r="I730" t="s">
        <v>48</v>
      </c>
      <c r="J730" t="s">
        <v>36</v>
      </c>
      <c r="K730" t="s">
        <v>49</v>
      </c>
      <c r="L730" t="s">
        <v>28</v>
      </c>
      <c r="M730">
        <v>10000.530000000001</v>
      </c>
      <c r="N730">
        <v>2020</v>
      </c>
      <c r="O730">
        <v>5</v>
      </c>
    </row>
    <row r="731" spans="1:15" x14ac:dyDescent="0.3">
      <c r="A731" s="1">
        <v>43960</v>
      </c>
      <c r="B731">
        <v>1000000054</v>
      </c>
      <c r="C731" t="s">
        <v>42</v>
      </c>
      <c r="D731">
        <v>1</v>
      </c>
      <c r="E731">
        <v>20000.21</v>
      </c>
      <c r="F731" t="s">
        <v>16</v>
      </c>
      <c r="G731" t="s">
        <v>43</v>
      </c>
      <c r="H731" t="s">
        <v>18</v>
      </c>
      <c r="I731" t="s">
        <v>34</v>
      </c>
      <c r="J731" t="s">
        <v>26</v>
      </c>
      <c r="K731" t="s">
        <v>35</v>
      </c>
      <c r="L731" t="s">
        <v>22</v>
      </c>
      <c r="M731">
        <v>20000.21</v>
      </c>
      <c r="N731">
        <v>2020</v>
      </c>
      <c r="O731">
        <v>5</v>
      </c>
    </row>
    <row r="732" spans="1:15" x14ac:dyDescent="0.3">
      <c r="A732" s="1">
        <v>43960</v>
      </c>
      <c r="B732">
        <v>1000000068</v>
      </c>
      <c r="C732" t="s">
        <v>42</v>
      </c>
      <c r="D732">
        <v>1</v>
      </c>
      <c r="E732">
        <v>20000.060000000001</v>
      </c>
      <c r="F732" t="s">
        <v>16</v>
      </c>
      <c r="G732" t="s">
        <v>43</v>
      </c>
      <c r="H732" t="s">
        <v>30</v>
      </c>
      <c r="I732" t="s">
        <v>55</v>
      </c>
      <c r="J732" t="s">
        <v>26</v>
      </c>
      <c r="K732" t="s">
        <v>56</v>
      </c>
      <c r="L732" t="s">
        <v>28</v>
      </c>
      <c r="M732">
        <v>20000.060000000001</v>
      </c>
      <c r="N732">
        <v>2020</v>
      </c>
      <c r="O732">
        <v>5</v>
      </c>
    </row>
    <row r="733" spans="1:15" x14ac:dyDescent="0.3">
      <c r="A733" s="1">
        <v>43960</v>
      </c>
      <c r="B733">
        <v>1000000029</v>
      </c>
      <c r="C733" t="s">
        <v>23</v>
      </c>
      <c r="D733">
        <v>2</v>
      </c>
      <c r="E733">
        <v>19200.740000000002</v>
      </c>
      <c r="F733" t="s">
        <v>16</v>
      </c>
      <c r="G733" t="s">
        <v>24</v>
      </c>
      <c r="H733" t="s">
        <v>18</v>
      </c>
      <c r="I733" t="s">
        <v>19</v>
      </c>
      <c r="J733" t="s">
        <v>20</v>
      </c>
      <c r="K733" t="s">
        <v>21</v>
      </c>
      <c r="L733" t="s">
        <v>22</v>
      </c>
      <c r="M733">
        <v>9600.3700000000008</v>
      </c>
      <c r="N733">
        <v>2020</v>
      </c>
      <c r="O733">
        <v>5</v>
      </c>
    </row>
    <row r="734" spans="1:15" x14ac:dyDescent="0.3">
      <c r="A734" s="1">
        <v>43960</v>
      </c>
      <c r="B734">
        <v>1000000040</v>
      </c>
      <c r="C734" t="s">
        <v>15</v>
      </c>
      <c r="D734">
        <v>1</v>
      </c>
      <c r="E734">
        <v>17000.240000000002</v>
      </c>
      <c r="F734" t="s">
        <v>16</v>
      </c>
      <c r="G734" t="s">
        <v>17</v>
      </c>
      <c r="H734" t="s">
        <v>30</v>
      </c>
      <c r="I734" t="s">
        <v>31</v>
      </c>
      <c r="J734" t="s">
        <v>32</v>
      </c>
      <c r="K734" t="s">
        <v>33</v>
      </c>
      <c r="L734" t="s">
        <v>28</v>
      </c>
      <c r="M734">
        <v>17000.240000000002</v>
      </c>
      <c r="N734">
        <v>2020</v>
      </c>
      <c r="O734">
        <v>5</v>
      </c>
    </row>
    <row r="735" spans="1:15" x14ac:dyDescent="0.3">
      <c r="A735" s="1">
        <v>43960</v>
      </c>
      <c r="B735">
        <v>1000000067</v>
      </c>
      <c r="C735" t="s">
        <v>15</v>
      </c>
      <c r="D735">
        <v>1</v>
      </c>
      <c r="E735">
        <v>15000.11</v>
      </c>
      <c r="F735" t="s">
        <v>16</v>
      </c>
      <c r="G735" t="s">
        <v>17</v>
      </c>
      <c r="H735" t="s">
        <v>18</v>
      </c>
      <c r="I735" t="s">
        <v>25</v>
      </c>
      <c r="J735" t="s">
        <v>20</v>
      </c>
      <c r="K735" t="s">
        <v>51</v>
      </c>
      <c r="L735" t="s">
        <v>22</v>
      </c>
      <c r="M735">
        <v>15000.11</v>
      </c>
      <c r="N735">
        <v>2020</v>
      </c>
      <c r="O735">
        <v>5</v>
      </c>
    </row>
    <row r="736" spans="1:15" x14ac:dyDescent="0.3">
      <c r="A736" s="1">
        <v>43960</v>
      </c>
      <c r="B736">
        <v>1000000056</v>
      </c>
      <c r="C736" t="s">
        <v>23</v>
      </c>
      <c r="D736">
        <v>2</v>
      </c>
      <c r="E736">
        <v>12001.19</v>
      </c>
      <c r="F736" t="s">
        <v>16</v>
      </c>
      <c r="G736" t="s">
        <v>24</v>
      </c>
      <c r="H736" t="s">
        <v>18</v>
      </c>
      <c r="I736" t="s">
        <v>34</v>
      </c>
      <c r="J736" t="s">
        <v>26</v>
      </c>
      <c r="K736" t="s">
        <v>35</v>
      </c>
      <c r="L736" t="s">
        <v>28</v>
      </c>
      <c r="M736">
        <v>6000.5950000000003</v>
      </c>
      <c r="N736">
        <v>2020</v>
      </c>
      <c r="O736">
        <v>5</v>
      </c>
    </row>
    <row r="737" spans="1:15" x14ac:dyDescent="0.3">
      <c r="A737" s="1">
        <v>43960</v>
      </c>
      <c r="B737">
        <v>1000000928</v>
      </c>
      <c r="C737" t="s">
        <v>23</v>
      </c>
      <c r="D737">
        <v>1</v>
      </c>
      <c r="E737">
        <v>10000.549999999999</v>
      </c>
      <c r="F737" t="s">
        <v>16</v>
      </c>
      <c r="G737" t="s">
        <v>24</v>
      </c>
      <c r="H737" t="s">
        <v>30</v>
      </c>
      <c r="I737" t="s">
        <v>57</v>
      </c>
      <c r="J737" t="s">
        <v>26</v>
      </c>
      <c r="K737" t="s">
        <v>58</v>
      </c>
      <c r="L737" t="s">
        <v>22</v>
      </c>
      <c r="M737">
        <v>10000.549999999999</v>
      </c>
      <c r="N737">
        <v>2020</v>
      </c>
      <c r="O737">
        <v>5</v>
      </c>
    </row>
    <row r="738" spans="1:15" x14ac:dyDescent="0.3">
      <c r="A738" s="1">
        <v>43960</v>
      </c>
      <c r="B738">
        <v>1000000039</v>
      </c>
      <c r="C738" t="s">
        <v>15</v>
      </c>
      <c r="D738">
        <v>1</v>
      </c>
      <c r="E738">
        <v>10000.42</v>
      </c>
      <c r="F738" t="s">
        <v>16</v>
      </c>
      <c r="G738" t="s">
        <v>17</v>
      </c>
      <c r="H738" t="s">
        <v>18</v>
      </c>
      <c r="I738" t="s">
        <v>25</v>
      </c>
      <c r="J738" t="s">
        <v>20</v>
      </c>
      <c r="K738" t="s">
        <v>51</v>
      </c>
      <c r="L738" t="s">
        <v>28</v>
      </c>
      <c r="M738">
        <v>10000.42</v>
      </c>
      <c r="N738">
        <v>2020</v>
      </c>
      <c r="O738">
        <v>5</v>
      </c>
    </row>
    <row r="739" spans="1:15" x14ac:dyDescent="0.3">
      <c r="A739" s="1">
        <v>43960</v>
      </c>
      <c r="B739">
        <v>1000000045</v>
      </c>
      <c r="C739" t="s">
        <v>15</v>
      </c>
      <c r="D739">
        <v>1</v>
      </c>
      <c r="E739">
        <v>7500.63</v>
      </c>
      <c r="F739" t="s">
        <v>16</v>
      </c>
      <c r="G739" t="s">
        <v>17</v>
      </c>
      <c r="H739" t="s">
        <v>47</v>
      </c>
      <c r="I739" t="s">
        <v>59</v>
      </c>
      <c r="J739" t="s">
        <v>26</v>
      </c>
      <c r="K739" t="s">
        <v>60</v>
      </c>
      <c r="L739" t="s">
        <v>22</v>
      </c>
      <c r="M739">
        <v>7500.63</v>
      </c>
      <c r="N739">
        <v>2020</v>
      </c>
      <c r="O739">
        <v>5</v>
      </c>
    </row>
    <row r="740" spans="1:15" x14ac:dyDescent="0.3">
      <c r="A740" s="1">
        <v>43960</v>
      </c>
      <c r="B740">
        <v>1000000044</v>
      </c>
      <c r="C740" t="s">
        <v>23</v>
      </c>
      <c r="D740">
        <v>1</v>
      </c>
      <c r="E740">
        <v>7000.66</v>
      </c>
      <c r="F740" t="s">
        <v>16</v>
      </c>
      <c r="G740" t="s">
        <v>24</v>
      </c>
      <c r="H740" t="s">
        <v>30</v>
      </c>
      <c r="I740" t="s">
        <v>31</v>
      </c>
      <c r="J740" t="s">
        <v>36</v>
      </c>
      <c r="K740" t="s">
        <v>52</v>
      </c>
      <c r="L740" t="s">
        <v>28</v>
      </c>
      <c r="M740">
        <v>7000.66</v>
      </c>
      <c r="N740">
        <v>2020</v>
      </c>
      <c r="O740">
        <v>5</v>
      </c>
    </row>
    <row r="741" spans="1:15" x14ac:dyDescent="0.3">
      <c r="A741" s="1">
        <v>43960</v>
      </c>
      <c r="B741">
        <v>1000000041</v>
      </c>
      <c r="C741" t="s">
        <v>23</v>
      </c>
      <c r="D741">
        <v>1</v>
      </c>
      <c r="E741">
        <v>7000.33</v>
      </c>
      <c r="F741" t="s">
        <v>16</v>
      </c>
      <c r="G741" t="s">
        <v>24</v>
      </c>
      <c r="H741" t="s">
        <v>30</v>
      </c>
      <c r="I741" t="s">
        <v>31</v>
      </c>
      <c r="J741" t="s">
        <v>32</v>
      </c>
      <c r="K741" t="s">
        <v>33</v>
      </c>
      <c r="L741" t="s">
        <v>22</v>
      </c>
      <c r="M741">
        <v>7000.33</v>
      </c>
      <c r="N741">
        <v>2020</v>
      </c>
      <c r="O741">
        <v>5</v>
      </c>
    </row>
    <row r="742" spans="1:15" x14ac:dyDescent="0.3">
      <c r="A742" s="1">
        <v>43960</v>
      </c>
      <c r="B742">
        <v>1000000566</v>
      </c>
      <c r="C742" t="s">
        <v>15</v>
      </c>
      <c r="D742">
        <v>1</v>
      </c>
      <c r="E742">
        <v>7000.16</v>
      </c>
      <c r="F742" t="s">
        <v>16</v>
      </c>
      <c r="G742" t="s">
        <v>17</v>
      </c>
      <c r="H742" t="s">
        <v>47</v>
      </c>
      <c r="I742" t="s">
        <v>48</v>
      </c>
      <c r="J742" t="s">
        <v>36</v>
      </c>
      <c r="K742" t="s">
        <v>49</v>
      </c>
      <c r="L742" t="s">
        <v>22</v>
      </c>
      <c r="M742">
        <v>7000.16</v>
      </c>
      <c r="N742">
        <v>2020</v>
      </c>
      <c r="O742">
        <v>5</v>
      </c>
    </row>
    <row r="743" spans="1:15" x14ac:dyDescent="0.3">
      <c r="A743" s="1">
        <v>43960</v>
      </c>
      <c r="B743">
        <v>1000000032</v>
      </c>
      <c r="C743" t="s">
        <v>15</v>
      </c>
      <c r="D743">
        <v>1</v>
      </c>
      <c r="E743">
        <v>6500.66</v>
      </c>
      <c r="F743" t="s">
        <v>16</v>
      </c>
      <c r="G743" t="s">
        <v>17</v>
      </c>
      <c r="H743" t="s">
        <v>18</v>
      </c>
      <c r="I743" t="s">
        <v>25</v>
      </c>
      <c r="J743" t="s">
        <v>26</v>
      </c>
      <c r="K743" t="s">
        <v>27</v>
      </c>
      <c r="L743" t="s">
        <v>28</v>
      </c>
      <c r="M743">
        <v>6500.66</v>
      </c>
      <c r="N743">
        <v>2020</v>
      </c>
      <c r="O743">
        <v>5</v>
      </c>
    </row>
    <row r="744" spans="1:15" x14ac:dyDescent="0.3">
      <c r="A744" s="1">
        <v>43960</v>
      </c>
      <c r="B744">
        <v>1000000031</v>
      </c>
      <c r="C744" t="s">
        <v>15</v>
      </c>
      <c r="D744">
        <v>1</v>
      </c>
      <c r="E744">
        <v>6000.66</v>
      </c>
      <c r="F744" t="s">
        <v>16</v>
      </c>
      <c r="G744" t="s">
        <v>17</v>
      </c>
      <c r="H744" t="s">
        <v>18</v>
      </c>
      <c r="I744" t="s">
        <v>19</v>
      </c>
      <c r="J744" t="s">
        <v>26</v>
      </c>
      <c r="K744" t="s">
        <v>29</v>
      </c>
      <c r="L744" t="s">
        <v>28</v>
      </c>
      <c r="M744">
        <v>6000.66</v>
      </c>
      <c r="N744">
        <v>2020</v>
      </c>
      <c r="O744">
        <v>5</v>
      </c>
    </row>
    <row r="745" spans="1:15" x14ac:dyDescent="0.3">
      <c r="A745" s="1">
        <v>43960</v>
      </c>
      <c r="B745">
        <v>1000000046</v>
      </c>
      <c r="C745" t="s">
        <v>23</v>
      </c>
      <c r="D745">
        <v>1</v>
      </c>
      <c r="E745">
        <v>6000.5</v>
      </c>
      <c r="F745" t="s">
        <v>16</v>
      </c>
      <c r="G745" t="s">
        <v>24</v>
      </c>
      <c r="H745" t="s">
        <v>30</v>
      </c>
      <c r="I745" t="s">
        <v>38</v>
      </c>
      <c r="J745" t="s">
        <v>26</v>
      </c>
      <c r="K745" t="s">
        <v>39</v>
      </c>
      <c r="L745" t="s">
        <v>22</v>
      </c>
      <c r="M745">
        <v>6000.5</v>
      </c>
      <c r="N745">
        <v>2020</v>
      </c>
      <c r="O745">
        <v>5</v>
      </c>
    </row>
    <row r="746" spans="1:15" x14ac:dyDescent="0.3">
      <c r="A746" s="1">
        <v>43960</v>
      </c>
      <c r="B746">
        <v>1000000050</v>
      </c>
      <c r="C746" t="s">
        <v>42</v>
      </c>
      <c r="D746">
        <v>1</v>
      </c>
      <c r="E746">
        <v>5000.71</v>
      </c>
      <c r="F746" t="s">
        <v>16</v>
      </c>
      <c r="G746" t="s">
        <v>43</v>
      </c>
      <c r="H746" t="s">
        <v>18</v>
      </c>
      <c r="I746" t="s">
        <v>40</v>
      </c>
      <c r="J746" t="s">
        <v>26</v>
      </c>
      <c r="K746" t="s">
        <v>41</v>
      </c>
      <c r="L746" t="s">
        <v>22</v>
      </c>
      <c r="M746">
        <v>5000.71</v>
      </c>
      <c r="N746">
        <v>2020</v>
      </c>
      <c r="O746">
        <v>5</v>
      </c>
    </row>
    <row r="747" spans="1:15" x14ac:dyDescent="0.3">
      <c r="A747" s="1">
        <v>43960</v>
      </c>
      <c r="B747">
        <v>1000000054</v>
      </c>
      <c r="C747" t="s">
        <v>15</v>
      </c>
      <c r="D747">
        <v>1</v>
      </c>
      <c r="E747">
        <v>5000.5600000000004</v>
      </c>
      <c r="F747" t="s">
        <v>16</v>
      </c>
      <c r="G747" t="s">
        <v>17</v>
      </c>
      <c r="H747" t="s">
        <v>18</v>
      </c>
      <c r="I747" t="s">
        <v>34</v>
      </c>
      <c r="J747" t="s">
        <v>26</v>
      </c>
      <c r="K747" t="s">
        <v>35</v>
      </c>
      <c r="L747" t="s">
        <v>22</v>
      </c>
      <c r="M747">
        <v>5000.5600000000004</v>
      </c>
      <c r="N747">
        <v>2020</v>
      </c>
      <c r="O747">
        <v>5</v>
      </c>
    </row>
    <row r="748" spans="1:15" x14ac:dyDescent="0.3">
      <c r="A748" s="1">
        <v>43960</v>
      </c>
      <c r="B748">
        <v>1000000034</v>
      </c>
      <c r="C748" t="s">
        <v>15</v>
      </c>
      <c r="D748">
        <v>1</v>
      </c>
      <c r="E748">
        <v>5000.43</v>
      </c>
      <c r="F748" t="s">
        <v>16</v>
      </c>
      <c r="G748" t="s">
        <v>17</v>
      </c>
      <c r="H748" t="s">
        <v>18</v>
      </c>
      <c r="I748" t="s">
        <v>25</v>
      </c>
      <c r="J748" t="s">
        <v>26</v>
      </c>
      <c r="K748" t="s">
        <v>27</v>
      </c>
      <c r="L748" t="s">
        <v>22</v>
      </c>
      <c r="M748">
        <v>5000.43</v>
      </c>
      <c r="N748">
        <v>2020</v>
      </c>
      <c r="O748">
        <v>5</v>
      </c>
    </row>
    <row r="749" spans="1:15" x14ac:dyDescent="0.3">
      <c r="A749" s="1">
        <v>43960</v>
      </c>
      <c r="B749">
        <v>1000000032</v>
      </c>
      <c r="C749" t="s">
        <v>42</v>
      </c>
      <c r="D749">
        <v>1</v>
      </c>
      <c r="E749">
        <v>3500.23</v>
      </c>
      <c r="F749" t="s">
        <v>16</v>
      </c>
      <c r="G749" t="s">
        <v>43</v>
      </c>
      <c r="H749" t="s">
        <v>18</v>
      </c>
      <c r="I749" t="s">
        <v>25</v>
      </c>
      <c r="J749" t="s">
        <v>26</v>
      </c>
      <c r="K749" t="s">
        <v>27</v>
      </c>
      <c r="L749" t="s">
        <v>28</v>
      </c>
      <c r="M749">
        <v>3500.23</v>
      </c>
      <c r="N749">
        <v>2020</v>
      </c>
      <c r="O749">
        <v>5</v>
      </c>
    </row>
    <row r="750" spans="1:15" x14ac:dyDescent="0.3">
      <c r="A750" s="1">
        <v>43960</v>
      </c>
      <c r="B750">
        <v>1000000028</v>
      </c>
      <c r="C750" t="s">
        <v>23</v>
      </c>
      <c r="D750">
        <v>2</v>
      </c>
      <c r="E750">
        <v>2500.15</v>
      </c>
      <c r="F750" t="s">
        <v>16</v>
      </c>
      <c r="G750" t="s">
        <v>24</v>
      </c>
      <c r="H750" t="s">
        <v>18</v>
      </c>
      <c r="I750" t="s">
        <v>19</v>
      </c>
      <c r="J750" t="s">
        <v>20</v>
      </c>
      <c r="K750" t="s">
        <v>21</v>
      </c>
      <c r="L750" t="s">
        <v>22</v>
      </c>
      <c r="M750">
        <v>1250.075</v>
      </c>
      <c r="N750">
        <v>2020</v>
      </c>
      <c r="O750">
        <v>5</v>
      </c>
    </row>
    <row r="751" spans="1:15" x14ac:dyDescent="0.3">
      <c r="A751" s="1">
        <v>43960</v>
      </c>
      <c r="B751">
        <v>1000000049</v>
      </c>
      <c r="C751" t="s">
        <v>23</v>
      </c>
      <c r="D751">
        <v>1</v>
      </c>
      <c r="E751">
        <v>1484.54</v>
      </c>
      <c r="F751" t="s">
        <v>16</v>
      </c>
      <c r="G751" t="s">
        <v>24</v>
      </c>
      <c r="H751" t="s">
        <v>18</v>
      </c>
      <c r="I751" t="s">
        <v>40</v>
      </c>
      <c r="J751" t="s">
        <v>26</v>
      </c>
      <c r="K751" t="s">
        <v>41</v>
      </c>
      <c r="L751" t="s">
        <v>22</v>
      </c>
      <c r="M751">
        <v>1484.54</v>
      </c>
      <c r="N751">
        <v>2020</v>
      </c>
      <c r="O751">
        <v>5</v>
      </c>
    </row>
    <row r="752" spans="1:15" x14ac:dyDescent="0.3">
      <c r="A752" s="1">
        <v>43960</v>
      </c>
      <c r="B752">
        <v>1000000030</v>
      </c>
      <c r="C752" t="s">
        <v>23</v>
      </c>
      <c r="D752">
        <v>1</v>
      </c>
      <c r="E752">
        <v>1000.06</v>
      </c>
      <c r="F752" t="s">
        <v>16</v>
      </c>
      <c r="G752" t="s">
        <v>24</v>
      </c>
      <c r="H752" t="s">
        <v>47</v>
      </c>
      <c r="I752" t="s">
        <v>48</v>
      </c>
      <c r="J752" t="s">
        <v>36</v>
      </c>
      <c r="K752" t="s">
        <v>49</v>
      </c>
      <c r="L752" t="s">
        <v>22</v>
      </c>
      <c r="M752">
        <v>1000.06</v>
      </c>
      <c r="N752">
        <v>2020</v>
      </c>
      <c r="O752">
        <v>5</v>
      </c>
    </row>
    <row r="753" spans="1:15" x14ac:dyDescent="0.3">
      <c r="A753" s="1">
        <v>43961</v>
      </c>
      <c r="B753">
        <v>1000000031</v>
      </c>
      <c r="C753" t="s">
        <v>23</v>
      </c>
      <c r="D753">
        <v>4</v>
      </c>
      <c r="E753">
        <v>30501.7</v>
      </c>
      <c r="F753" t="s">
        <v>16</v>
      </c>
      <c r="G753" t="s">
        <v>24</v>
      </c>
      <c r="H753" t="s">
        <v>18</v>
      </c>
      <c r="I753" t="s">
        <v>19</v>
      </c>
      <c r="J753" t="s">
        <v>26</v>
      </c>
      <c r="K753" t="s">
        <v>29</v>
      </c>
      <c r="L753" t="s">
        <v>28</v>
      </c>
      <c r="M753">
        <v>7625.4250000000002</v>
      </c>
      <c r="N753">
        <v>2020</v>
      </c>
      <c r="O753">
        <v>5</v>
      </c>
    </row>
    <row r="754" spans="1:15" x14ac:dyDescent="0.3">
      <c r="A754" s="1">
        <v>43961</v>
      </c>
      <c r="B754">
        <v>1000004170</v>
      </c>
      <c r="C754" t="s">
        <v>15</v>
      </c>
      <c r="D754">
        <v>2</v>
      </c>
      <c r="E754">
        <v>30000.61</v>
      </c>
      <c r="F754" t="s">
        <v>16</v>
      </c>
      <c r="G754" t="s">
        <v>17</v>
      </c>
      <c r="H754" t="s">
        <v>18</v>
      </c>
      <c r="I754" t="s">
        <v>34</v>
      </c>
      <c r="J754" t="s">
        <v>20</v>
      </c>
      <c r="K754" t="s">
        <v>44</v>
      </c>
      <c r="L754" t="s">
        <v>28</v>
      </c>
      <c r="M754">
        <v>15000.305</v>
      </c>
      <c r="N754">
        <v>2020</v>
      </c>
      <c r="O754">
        <v>5</v>
      </c>
    </row>
    <row r="755" spans="1:15" x14ac:dyDescent="0.3">
      <c r="A755" s="1">
        <v>43961</v>
      </c>
      <c r="B755">
        <v>1000000036</v>
      </c>
      <c r="C755" t="s">
        <v>23</v>
      </c>
      <c r="D755">
        <v>4</v>
      </c>
      <c r="E755">
        <v>28286.68</v>
      </c>
      <c r="F755" t="s">
        <v>16</v>
      </c>
      <c r="G755" t="s">
        <v>24</v>
      </c>
      <c r="H755" t="s">
        <v>47</v>
      </c>
      <c r="I755" t="s">
        <v>48</v>
      </c>
      <c r="J755" t="s">
        <v>36</v>
      </c>
      <c r="K755" t="s">
        <v>49</v>
      </c>
      <c r="L755" t="s">
        <v>28</v>
      </c>
      <c r="M755">
        <v>7071.67</v>
      </c>
      <c r="N755">
        <v>2020</v>
      </c>
      <c r="O755">
        <v>5</v>
      </c>
    </row>
    <row r="756" spans="1:15" x14ac:dyDescent="0.3">
      <c r="A756" s="1">
        <v>43961</v>
      </c>
      <c r="B756">
        <v>1000000028</v>
      </c>
      <c r="C756" t="s">
        <v>15</v>
      </c>
      <c r="D756">
        <v>2</v>
      </c>
      <c r="E756">
        <v>28000.489999999998</v>
      </c>
      <c r="F756" t="s">
        <v>16</v>
      </c>
      <c r="G756" t="s">
        <v>17</v>
      </c>
      <c r="H756" t="s">
        <v>18</v>
      </c>
      <c r="I756" t="s">
        <v>19</v>
      </c>
      <c r="J756" t="s">
        <v>20</v>
      </c>
      <c r="K756" t="s">
        <v>21</v>
      </c>
      <c r="L756" t="s">
        <v>22</v>
      </c>
      <c r="M756">
        <v>14000.245000000001</v>
      </c>
      <c r="N756">
        <v>2020</v>
      </c>
      <c r="O756">
        <v>5</v>
      </c>
    </row>
    <row r="757" spans="1:15" x14ac:dyDescent="0.3">
      <c r="A757" s="1">
        <v>43961</v>
      </c>
      <c r="B757">
        <v>1000000054</v>
      </c>
      <c r="C757" t="s">
        <v>42</v>
      </c>
      <c r="D757">
        <v>1</v>
      </c>
      <c r="E757">
        <v>25000.720000000001</v>
      </c>
      <c r="F757" t="s">
        <v>16</v>
      </c>
      <c r="G757" t="s">
        <v>43</v>
      </c>
      <c r="H757" t="s">
        <v>18</v>
      </c>
      <c r="I757" t="s">
        <v>34</v>
      </c>
      <c r="J757" t="s">
        <v>26</v>
      </c>
      <c r="K757" t="s">
        <v>35</v>
      </c>
      <c r="L757" t="s">
        <v>22</v>
      </c>
      <c r="M757">
        <v>25000.720000000001</v>
      </c>
      <c r="N757">
        <v>2020</v>
      </c>
      <c r="O757">
        <v>5</v>
      </c>
    </row>
    <row r="758" spans="1:15" x14ac:dyDescent="0.3">
      <c r="A758" s="1">
        <v>43961</v>
      </c>
      <c r="B758">
        <v>1000000028</v>
      </c>
      <c r="C758" t="s">
        <v>23</v>
      </c>
      <c r="D758">
        <v>2</v>
      </c>
      <c r="E758">
        <v>23000.47</v>
      </c>
      <c r="F758" t="s">
        <v>16</v>
      </c>
      <c r="G758" t="s">
        <v>24</v>
      </c>
      <c r="H758" t="s">
        <v>18</v>
      </c>
      <c r="I758" t="s">
        <v>19</v>
      </c>
      <c r="J758" t="s">
        <v>20</v>
      </c>
      <c r="K758" t="s">
        <v>21</v>
      </c>
      <c r="L758" t="s">
        <v>22</v>
      </c>
      <c r="M758">
        <v>11500.235000000001</v>
      </c>
      <c r="N758">
        <v>2020</v>
      </c>
      <c r="O758">
        <v>5</v>
      </c>
    </row>
    <row r="759" spans="1:15" x14ac:dyDescent="0.3">
      <c r="A759" s="1">
        <v>43961</v>
      </c>
      <c r="B759">
        <v>1000000056</v>
      </c>
      <c r="C759" t="s">
        <v>15</v>
      </c>
      <c r="D759">
        <v>2</v>
      </c>
      <c r="E759">
        <v>22000.79</v>
      </c>
      <c r="F759" t="s">
        <v>16</v>
      </c>
      <c r="G759" t="s">
        <v>17</v>
      </c>
      <c r="H759" t="s">
        <v>18</v>
      </c>
      <c r="I759" t="s">
        <v>34</v>
      </c>
      <c r="J759" t="s">
        <v>26</v>
      </c>
      <c r="K759" t="s">
        <v>35</v>
      </c>
      <c r="L759" t="s">
        <v>28</v>
      </c>
      <c r="M759">
        <v>11000.395</v>
      </c>
      <c r="N759">
        <v>2020</v>
      </c>
      <c r="O759">
        <v>5</v>
      </c>
    </row>
    <row r="760" spans="1:15" x14ac:dyDescent="0.3">
      <c r="A760" s="1">
        <v>43961</v>
      </c>
      <c r="B760">
        <v>1000000928</v>
      </c>
      <c r="C760" t="s">
        <v>23</v>
      </c>
      <c r="D760">
        <v>1</v>
      </c>
      <c r="E760">
        <v>20000.47</v>
      </c>
      <c r="F760" t="s">
        <v>16</v>
      </c>
      <c r="G760" t="s">
        <v>24</v>
      </c>
      <c r="H760" t="s">
        <v>30</v>
      </c>
      <c r="I760" t="s">
        <v>57</v>
      </c>
      <c r="J760" t="s">
        <v>26</v>
      </c>
      <c r="K760" t="s">
        <v>58</v>
      </c>
      <c r="L760" t="s">
        <v>22</v>
      </c>
      <c r="M760">
        <v>20000.47</v>
      </c>
      <c r="N760">
        <v>2020</v>
      </c>
      <c r="O760">
        <v>5</v>
      </c>
    </row>
    <row r="761" spans="1:15" x14ac:dyDescent="0.3">
      <c r="A761" s="1">
        <v>43961</v>
      </c>
      <c r="B761">
        <v>1000000043</v>
      </c>
      <c r="C761" t="s">
        <v>42</v>
      </c>
      <c r="D761">
        <v>1</v>
      </c>
      <c r="E761">
        <v>20000.2</v>
      </c>
      <c r="F761" t="s">
        <v>16</v>
      </c>
      <c r="G761" t="s">
        <v>43</v>
      </c>
      <c r="H761" t="s">
        <v>30</v>
      </c>
      <c r="I761" t="s">
        <v>38</v>
      </c>
      <c r="J761" t="s">
        <v>26</v>
      </c>
      <c r="K761" t="s">
        <v>39</v>
      </c>
      <c r="L761" t="s">
        <v>22</v>
      </c>
      <c r="M761">
        <v>20000.2</v>
      </c>
      <c r="N761">
        <v>2020</v>
      </c>
      <c r="O761">
        <v>5</v>
      </c>
    </row>
    <row r="762" spans="1:15" x14ac:dyDescent="0.3">
      <c r="A762" s="1">
        <v>43961</v>
      </c>
      <c r="B762">
        <v>1000003926</v>
      </c>
      <c r="C762" t="s">
        <v>15</v>
      </c>
      <c r="D762">
        <v>1</v>
      </c>
      <c r="E762">
        <v>18000.62</v>
      </c>
      <c r="F762" t="s">
        <v>16</v>
      </c>
      <c r="G762" t="s">
        <v>17</v>
      </c>
      <c r="H762" t="s">
        <v>47</v>
      </c>
      <c r="I762" t="s">
        <v>48</v>
      </c>
      <c r="J762" t="s">
        <v>26</v>
      </c>
      <c r="K762" t="s">
        <v>50</v>
      </c>
      <c r="L762" t="s">
        <v>28</v>
      </c>
      <c r="M762">
        <v>18000.62</v>
      </c>
      <c r="N762">
        <v>2020</v>
      </c>
      <c r="O762">
        <v>5</v>
      </c>
    </row>
    <row r="763" spans="1:15" x14ac:dyDescent="0.3">
      <c r="A763" s="1">
        <v>43961</v>
      </c>
      <c r="B763">
        <v>1000000050</v>
      </c>
      <c r="C763" t="s">
        <v>42</v>
      </c>
      <c r="D763">
        <v>1</v>
      </c>
      <c r="E763">
        <v>17000.3</v>
      </c>
      <c r="F763" t="s">
        <v>16</v>
      </c>
      <c r="G763" t="s">
        <v>43</v>
      </c>
      <c r="H763" t="s">
        <v>18</v>
      </c>
      <c r="I763" t="s">
        <v>40</v>
      </c>
      <c r="J763" t="s">
        <v>26</v>
      </c>
      <c r="K763" t="s">
        <v>41</v>
      </c>
      <c r="L763" t="s">
        <v>22</v>
      </c>
      <c r="M763">
        <v>17000.3</v>
      </c>
      <c r="N763">
        <v>2020</v>
      </c>
      <c r="O763">
        <v>5</v>
      </c>
    </row>
    <row r="764" spans="1:15" x14ac:dyDescent="0.3">
      <c r="A764" s="1">
        <v>43961</v>
      </c>
      <c r="B764">
        <v>1000000566</v>
      </c>
      <c r="C764" t="s">
        <v>42</v>
      </c>
      <c r="D764">
        <v>1</v>
      </c>
      <c r="E764">
        <v>17000.18</v>
      </c>
      <c r="F764" t="s">
        <v>16</v>
      </c>
      <c r="G764" t="s">
        <v>43</v>
      </c>
      <c r="H764" t="s">
        <v>47</v>
      </c>
      <c r="I764" t="s">
        <v>48</v>
      </c>
      <c r="J764" t="s">
        <v>36</v>
      </c>
      <c r="K764" t="s">
        <v>49</v>
      </c>
      <c r="L764" t="s">
        <v>22</v>
      </c>
      <c r="M764">
        <v>17000.18</v>
      </c>
      <c r="N764">
        <v>2020</v>
      </c>
      <c r="O764">
        <v>5</v>
      </c>
    </row>
    <row r="765" spans="1:15" x14ac:dyDescent="0.3">
      <c r="A765" s="1">
        <v>43961</v>
      </c>
      <c r="B765">
        <v>1000000040</v>
      </c>
      <c r="C765" t="s">
        <v>15</v>
      </c>
      <c r="D765">
        <v>2</v>
      </c>
      <c r="E765">
        <v>15000.439999999999</v>
      </c>
      <c r="F765" t="s">
        <v>16</v>
      </c>
      <c r="G765" t="s">
        <v>17</v>
      </c>
      <c r="H765" t="s">
        <v>30</v>
      </c>
      <c r="I765" t="s">
        <v>31</v>
      </c>
      <c r="J765" t="s">
        <v>32</v>
      </c>
      <c r="K765" t="s">
        <v>33</v>
      </c>
      <c r="L765" t="s">
        <v>28</v>
      </c>
      <c r="M765">
        <v>7500.22</v>
      </c>
      <c r="N765">
        <v>2020</v>
      </c>
      <c r="O765">
        <v>5</v>
      </c>
    </row>
    <row r="766" spans="1:15" x14ac:dyDescent="0.3">
      <c r="A766" s="1">
        <v>43961</v>
      </c>
      <c r="B766">
        <v>1000000029</v>
      </c>
      <c r="C766" t="s">
        <v>23</v>
      </c>
      <c r="D766">
        <v>3</v>
      </c>
      <c r="E766">
        <v>14201.67</v>
      </c>
      <c r="F766" t="s">
        <v>16</v>
      </c>
      <c r="G766" t="s">
        <v>24</v>
      </c>
      <c r="H766" t="s">
        <v>18</v>
      </c>
      <c r="I766" t="s">
        <v>19</v>
      </c>
      <c r="J766" t="s">
        <v>20</v>
      </c>
      <c r="K766" t="s">
        <v>21</v>
      </c>
      <c r="L766" t="s">
        <v>22</v>
      </c>
      <c r="M766">
        <v>4733.8900000000003</v>
      </c>
      <c r="N766">
        <v>2020</v>
      </c>
      <c r="O766">
        <v>5</v>
      </c>
    </row>
    <row r="767" spans="1:15" x14ac:dyDescent="0.3">
      <c r="A767" s="1">
        <v>43961</v>
      </c>
      <c r="B767">
        <v>1000000067</v>
      </c>
      <c r="C767" t="s">
        <v>23</v>
      </c>
      <c r="D767">
        <v>1</v>
      </c>
      <c r="E767">
        <v>14000.28</v>
      </c>
      <c r="F767" t="s">
        <v>16</v>
      </c>
      <c r="G767" t="s">
        <v>24</v>
      </c>
      <c r="H767" t="s">
        <v>18</v>
      </c>
      <c r="I767" t="s">
        <v>25</v>
      </c>
      <c r="J767" t="s">
        <v>20</v>
      </c>
      <c r="K767" t="s">
        <v>51</v>
      </c>
      <c r="L767" t="s">
        <v>22</v>
      </c>
      <c r="M767">
        <v>14000.28</v>
      </c>
      <c r="N767">
        <v>2020</v>
      </c>
      <c r="O767">
        <v>5</v>
      </c>
    </row>
    <row r="768" spans="1:15" x14ac:dyDescent="0.3">
      <c r="A768" s="1">
        <v>43961</v>
      </c>
      <c r="B768">
        <v>1000000237</v>
      </c>
      <c r="C768" t="s">
        <v>42</v>
      </c>
      <c r="D768">
        <v>1</v>
      </c>
      <c r="E768">
        <v>14000.07</v>
      </c>
      <c r="F768" t="s">
        <v>16</v>
      </c>
      <c r="G768" t="s">
        <v>43</v>
      </c>
      <c r="H768" t="s">
        <v>18</v>
      </c>
      <c r="I768" t="s">
        <v>40</v>
      </c>
      <c r="J768" t="s">
        <v>26</v>
      </c>
      <c r="K768" t="s">
        <v>41</v>
      </c>
      <c r="L768" t="s">
        <v>22</v>
      </c>
      <c r="M768">
        <v>14000.07</v>
      </c>
      <c r="N768">
        <v>2020</v>
      </c>
      <c r="O768">
        <v>5</v>
      </c>
    </row>
    <row r="769" spans="1:15" x14ac:dyDescent="0.3">
      <c r="A769" s="1">
        <v>43961</v>
      </c>
      <c r="B769">
        <v>1000004256</v>
      </c>
      <c r="C769" t="s">
        <v>42</v>
      </c>
      <c r="D769">
        <v>1</v>
      </c>
      <c r="E769">
        <v>11000.18</v>
      </c>
      <c r="F769" t="s">
        <v>16</v>
      </c>
      <c r="G769" t="s">
        <v>43</v>
      </c>
      <c r="H769" t="s">
        <v>18</v>
      </c>
      <c r="I769" t="s">
        <v>40</v>
      </c>
      <c r="J769" t="s">
        <v>26</v>
      </c>
      <c r="K769" t="s">
        <v>41</v>
      </c>
      <c r="L769" t="s">
        <v>22</v>
      </c>
      <c r="M769">
        <v>11000.18</v>
      </c>
      <c r="N769">
        <v>2020</v>
      </c>
      <c r="O769">
        <v>5</v>
      </c>
    </row>
    <row r="770" spans="1:15" x14ac:dyDescent="0.3">
      <c r="A770" s="1">
        <v>43961</v>
      </c>
      <c r="B770">
        <v>1000000034</v>
      </c>
      <c r="C770" t="s">
        <v>23</v>
      </c>
      <c r="D770">
        <v>1</v>
      </c>
      <c r="E770">
        <v>10000.4</v>
      </c>
      <c r="F770" t="s">
        <v>16</v>
      </c>
      <c r="G770" t="s">
        <v>24</v>
      </c>
      <c r="H770" t="s">
        <v>18</v>
      </c>
      <c r="I770" t="s">
        <v>25</v>
      </c>
      <c r="J770" t="s">
        <v>26</v>
      </c>
      <c r="K770" t="s">
        <v>27</v>
      </c>
      <c r="L770" t="s">
        <v>22</v>
      </c>
      <c r="M770">
        <v>10000.4</v>
      </c>
      <c r="N770">
        <v>2020</v>
      </c>
      <c r="O770">
        <v>5</v>
      </c>
    </row>
    <row r="771" spans="1:15" x14ac:dyDescent="0.3">
      <c r="A771" s="1">
        <v>43961</v>
      </c>
      <c r="B771">
        <v>1000000104</v>
      </c>
      <c r="C771" t="s">
        <v>23</v>
      </c>
      <c r="D771">
        <v>1</v>
      </c>
      <c r="E771">
        <v>10000.01</v>
      </c>
      <c r="F771" t="s">
        <v>16</v>
      </c>
      <c r="G771" t="s">
        <v>24</v>
      </c>
      <c r="H771" t="s">
        <v>18</v>
      </c>
      <c r="I771" t="s">
        <v>40</v>
      </c>
      <c r="J771" t="s">
        <v>26</v>
      </c>
      <c r="K771" t="s">
        <v>41</v>
      </c>
      <c r="L771" t="s">
        <v>22</v>
      </c>
      <c r="M771">
        <v>10000.01</v>
      </c>
      <c r="N771">
        <v>2020</v>
      </c>
      <c r="O771">
        <v>5</v>
      </c>
    </row>
    <row r="772" spans="1:15" x14ac:dyDescent="0.3">
      <c r="A772" s="1">
        <v>43961</v>
      </c>
      <c r="B772">
        <v>1000004256</v>
      </c>
      <c r="C772" t="s">
        <v>15</v>
      </c>
      <c r="D772">
        <v>1</v>
      </c>
      <c r="E772">
        <v>9000.4699999999993</v>
      </c>
      <c r="F772" t="s">
        <v>16</v>
      </c>
      <c r="G772" t="s">
        <v>17</v>
      </c>
      <c r="H772" t="s">
        <v>18</v>
      </c>
      <c r="I772" t="s">
        <v>40</v>
      </c>
      <c r="J772" t="s">
        <v>26</v>
      </c>
      <c r="K772" t="s">
        <v>41</v>
      </c>
      <c r="L772" t="s">
        <v>22</v>
      </c>
      <c r="M772">
        <v>9000.4699999999993</v>
      </c>
      <c r="N772">
        <v>2020</v>
      </c>
      <c r="O772">
        <v>5</v>
      </c>
    </row>
    <row r="773" spans="1:15" x14ac:dyDescent="0.3">
      <c r="A773" s="1">
        <v>43961</v>
      </c>
      <c r="B773">
        <v>1000000056</v>
      </c>
      <c r="C773" t="s">
        <v>42</v>
      </c>
      <c r="D773">
        <v>1</v>
      </c>
      <c r="E773">
        <v>9000.14</v>
      </c>
      <c r="F773" t="s">
        <v>16</v>
      </c>
      <c r="G773" t="s">
        <v>43</v>
      </c>
      <c r="H773" t="s">
        <v>18</v>
      </c>
      <c r="I773" t="s">
        <v>34</v>
      </c>
      <c r="J773" t="s">
        <v>26</v>
      </c>
      <c r="K773" t="s">
        <v>35</v>
      </c>
      <c r="L773" t="s">
        <v>28</v>
      </c>
      <c r="M773">
        <v>9000.14</v>
      </c>
      <c r="N773">
        <v>2020</v>
      </c>
      <c r="O773">
        <v>5</v>
      </c>
    </row>
    <row r="774" spans="1:15" x14ac:dyDescent="0.3">
      <c r="A774" s="1">
        <v>43961</v>
      </c>
      <c r="B774">
        <v>1000000566</v>
      </c>
      <c r="C774" t="s">
        <v>23</v>
      </c>
      <c r="D774">
        <v>1</v>
      </c>
      <c r="E774">
        <v>6000.09</v>
      </c>
      <c r="F774" t="s">
        <v>16</v>
      </c>
      <c r="G774" t="s">
        <v>24</v>
      </c>
      <c r="H774" t="s">
        <v>47</v>
      </c>
      <c r="I774" t="s">
        <v>48</v>
      </c>
      <c r="J774" t="s">
        <v>36</v>
      </c>
      <c r="K774" t="s">
        <v>49</v>
      </c>
      <c r="L774" t="s">
        <v>22</v>
      </c>
      <c r="M774">
        <v>6000.09</v>
      </c>
      <c r="N774">
        <v>2020</v>
      </c>
      <c r="O774">
        <v>5</v>
      </c>
    </row>
    <row r="775" spans="1:15" x14ac:dyDescent="0.3">
      <c r="A775" s="1">
        <v>43961</v>
      </c>
      <c r="B775">
        <v>1000000036</v>
      </c>
      <c r="C775" t="s">
        <v>15</v>
      </c>
      <c r="D775">
        <v>1</v>
      </c>
      <c r="E775">
        <v>5610.05</v>
      </c>
      <c r="F775" t="s">
        <v>16</v>
      </c>
      <c r="G775" t="s">
        <v>17</v>
      </c>
      <c r="H775" t="s">
        <v>47</v>
      </c>
      <c r="I775" t="s">
        <v>48</v>
      </c>
      <c r="J775" t="s">
        <v>36</v>
      </c>
      <c r="K775" t="s">
        <v>49</v>
      </c>
      <c r="L775" t="s">
        <v>28</v>
      </c>
      <c r="M775">
        <v>5610.05</v>
      </c>
      <c r="N775">
        <v>2020</v>
      </c>
      <c r="O775">
        <v>5</v>
      </c>
    </row>
    <row r="776" spans="1:15" x14ac:dyDescent="0.3">
      <c r="A776" s="1">
        <v>43961</v>
      </c>
      <c r="B776">
        <v>1000000033</v>
      </c>
      <c r="C776" t="s">
        <v>15</v>
      </c>
      <c r="D776">
        <v>1</v>
      </c>
      <c r="E776">
        <v>5500.76</v>
      </c>
      <c r="F776" t="s">
        <v>16</v>
      </c>
      <c r="G776" t="s">
        <v>17</v>
      </c>
      <c r="H776" t="s">
        <v>18</v>
      </c>
      <c r="I776" t="s">
        <v>25</v>
      </c>
      <c r="J776" t="s">
        <v>26</v>
      </c>
      <c r="K776" t="s">
        <v>27</v>
      </c>
      <c r="L776" t="s">
        <v>22</v>
      </c>
      <c r="M776">
        <v>5500.76</v>
      </c>
      <c r="N776">
        <v>2020</v>
      </c>
      <c r="O776">
        <v>5</v>
      </c>
    </row>
    <row r="777" spans="1:15" x14ac:dyDescent="0.3">
      <c r="A777" s="1">
        <v>43961</v>
      </c>
      <c r="B777">
        <v>1000000043</v>
      </c>
      <c r="C777" t="s">
        <v>23</v>
      </c>
      <c r="D777">
        <v>1</v>
      </c>
      <c r="E777">
        <v>5000.55</v>
      </c>
      <c r="F777" t="s">
        <v>16</v>
      </c>
      <c r="G777" t="s">
        <v>24</v>
      </c>
      <c r="H777" t="s">
        <v>30</v>
      </c>
      <c r="I777" t="s">
        <v>38</v>
      </c>
      <c r="J777" t="s">
        <v>26</v>
      </c>
      <c r="K777" t="s">
        <v>39</v>
      </c>
      <c r="L777" t="s">
        <v>22</v>
      </c>
      <c r="M777">
        <v>5000.55</v>
      </c>
      <c r="N777">
        <v>2020</v>
      </c>
      <c r="O777">
        <v>5</v>
      </c>
    </row>
    <row r="778" spans="1:15" x14ac:dyDescent="0.3">
      <c r="A778" s="1">
        <v>43961</v>
      </c>
      <c r="B778">
        <v>1000000033</v>
      </c>
      <c r="C778" t="s">
        <v>42</v>
      </c>
      <c r="D778">
        <v>1</v>
      </c>
      <c r="E778">
        <v>3000.66</v>
      </c>
      <c r="F778" t="s">
        <v>16</v>
      </c>
      <c r="G778" t="s">
        <v>43</v>
      </c>
      <c r="H778" t="s">
        <v>18</v>
      </c>
      <c r="I778" t="s">
        <v>25</v>
      </c>
      <c r="J778" t="s">
        <v>26</v>
      </c>
      <c r="K778" t="s">
        <v>27</v>
      </c>
      <c r="L778" t="s">
        <v>22</v>
      </c>
      <c r="M778">
        <v>3000.66</v>
      </c>
      <c r="N778">
        <v>2020</v>
      </c>
      <c r="O778">
        <v>5</v>
      </c>
    </row>
    <row r="779" spans="1:15" x14ac:dyDescent="0.3">
      <c r="A779" s="1">
        <v>43961</v>
      </c>
      <c r="B779">
        <v>1000000037</v>
      </c>
      <c r="C779" t="s">
        <v>15</v>
      </c>
      <c r="D779">
        <v>1</v>
      </c>
      <c r="E779">
        <v>1000.03</v>
      </c>
      <c r="F779" t="s">
        <v>16</v>
      </c>
      <c r="G779" t="s">
        <v>17</v>
      </c>
      <c r="H779" t="s">
        <v>18</v>
      </c>
      <c r="I779" t="s">
        <v>19</v>
      </c>
      <c r="J779" t="s">
        <v>20</v>
      </c>
      <c r="K779" t="s">
        <v>21</v>
      </c>
      <c r="L779" t="s">
        <v>22</v>
      </c>
      <c r="M779">
        <v>1000.03</v>
      </c>
      <c r="N779">
        <v>2020</v>
      </c>
      <c r="O779">
        <v>5</v>
      </c>
    </row>
    <row r="780" spans="1:15" x14ac:dyDescent="0.3">
      <c r="A780" s="1">
        <v>43961</v>
      </c>
      <c r="B780">
        <v>1000000031</v>
      </c>
      <c r="C780" t="s">
        <v>15</v>
      </c>
      <c r="D780">
        <v>1</v>
      </c>
      <c r="E780">
        <v>982.1</v>
      </c>
      <c r="F780" t="s">
        <v>16</v>
      </c>
      <c r="G780" t="s">
        <v>17</v>
      </c>
      <c r="H780" t="s">
        <v>18</v>
      </c>
      <c r="I780" t="s">
        <v>19</v>
      </c>
      <c r="J780" t="s">
        <v>26</v>
      </c>
      <c r="K780" t="s">
        <v>29</v>
      </c>
      <c r="L780" t="s">
        <v>28</v>
      </c>
      <c r="M780">
        <v>982.1</v>
      </c>
      <c r="N780">
        <v>2020</v>
      </c>
      <c r="O780">
        <v>5</v>
      </c>
    </row>
    <row r="781" spans="1:15" x14ac:dyDescent="0.3">
      <c r="A781" s="1">
        <v>43961</v>
      </c>
      <c r="B781">
        <v>1000000032</v>
      </c>
      <c r="C781" t="s">
        <v>15</v>
      </c>
      <c r="D781">
        <v>1</v>
      </c>
      <c r="E781">
        <v>785.08</v>
      </c>
      <c r="F781" t="s">
        <v>16</v>
      </c>
      <c r="G781" t="s">
        <v>17</v>
      </c>
      <c r="H781" t="s">
        <v>18</v>
      </c>
      <c r="I781" t="s">
        <v>25</v>
      </c>
      <c r="J781" t="s">
        <v>26</v>
      </c>
      <c r="K781" t="s">
        <v>27</v>
      </c>
      <c r="L781" t="s">
        <v>28</v>
      </c>
      <c r="M781">
        <v>785.08</v>
      </c>
      <c r="N781">
        <v>2020</v>
      </c>
      <c r="O781">
        <v>5</v>
      </c>
    </row>
    <row r="782" spans="1:15" x14ac:dyDescent="0.3">
      <c r="A782" s="1">
        <v>43962</v>
      </c>
      <c r="B782">
        <v>1000000035</v>
      </c>
      <c r="C782" t="s">
        <v>42</v>
      </c>
      <c r="D782">
        <v>2</v>
      </c>
      <c r="E782">
        <v>42000.710000000006</v>
      </c>
      <c r="F782" t="s">
        <v>16</v>
      </c>
      <c r="G782" t="s">
        <v>43</v>
      </c>
      <c r="H782" t="s">
        <v>18</v>
      </c>
      <c r="I782" t="s">
        <v>25</v>
      </c>
      <c r="J782" t="s">
        <v>36</v>
      </c>
      <c r="K782" t="s">
        <v>37</v>
      </c>
      <c r="L782" t="s">
        <v>22</v>
      </c>
      <c r="M782">
        <v>21000.355000000003</v>
      </c>
      <c r="N782">
        <v>2020</v>
      </c>
      <c r="O782">
        <v>5</v>
      </c>
    </row>
    <row r="783" spans="1:15" x14ac:dyDescent="0.3">
      <c r="A783" s="1">
        <v>43962</v>
      </c>
      <c r="B783">
        <v>1000004256</v>
      </c>
      <c r="C783" t="s">
        <v>42</v>
      </c>
      <c r="D783">
        <v>3</v>
      </c>
      <c r="E783">
        <v>29001.739999999998</v>
      </c>
      <c r="F783" t="s">
        <v>16</v>
      </c>
      <c r="G783" t="s">
        <v>43</v>
      </c>
      <c r="H783" t="s">
        <v>18</v>
      </c>
      <c r="I783" t="s">
        <v>40</v>
      </c>
      <c r="J783" t="s">
        <v>26</v>
      </c>
      <c r="K783" t="s">
        <v>41</v>
      </c>
      <c r="L783" t="s">
        <v>22</v>
      </c>
      <c r="M783">
        <v>9667.246666666666</v>
      </c>
      <c r="N783">
        <v>2020</v>
      </c>
      <c r="O783">
        <v>5</v>
      </c>
    </row>
    <row r="784" spans="1:15" x14ac:dyDescent="0.3">
      <c r="A784" s="1">
        <v>43962</v>
      </c>
      <c r="B784">
        <v>1000004170</v>
      </c>
      <c r="C784" t="s">
        <v>23</v>
      </c>
      <c r="D784">
        <v>2</v>
      </c>
      <c r="E784">
        <v>28001.47</v>
      </c>
      <c r="F784" t="s">
        <v>16</v>
      </c>
      <c r="G784" t="s">
        <v>24</v>
      </c>
      <c r="H784" t="s">
        <v>18</v>
      </c>
      <c r="I784" t="s">
        <v>34</v>
      </c>
      <c r="J784" t="s">
        <v>20</v>
      </c>
      <c r="K784" t="s">
        <v>44</v>
      </c>
      <c r="L784" t="s">
        <v>28</v>
      </c>
      <c r="M784">
        <v>14000.735000000001</v>
      </c>
      <c r="N784">
        <v>2020</v>
      </c>
      <c r="O784">
        <v>5</v>
      </c>
    </row>
    <row r="785" spans="1:15" x14ac:dyDescent="0.3">
      <c r="A785" s="1">
        <v>43962</v>
      </c>
      <c r="B785">
        <v>1000003926</v>
      </c>
      <c r="C785" t="s">
        <v>23</v>
      </c>
      <c r="D785">
        <v>3</v>
      </c>
      <c r="E785">
        <v>28000.79</v>
      </c>
      <c r="F785" t="s">
        <v>16</v>
      </c>
      <c r="G785" t="s">
        <v>24</v>
      </c>
      <c r="H785" t="s">
        <v>47</v>
      </c>
      <c r="I785" t="s">
        <v>48</v>
      </c>
      <c r="J785" t="s">
        <v>26</v>
      </c>
      <c r="K785" t="s">
        <v>50</v>
      </c>
      <c r="L785" t="s">
        <v>28</v>
      </c>
      <c r="M785">
        <v>9333.5966666666664</v>
      </c>
      <c r="N785">
        <v>2020</v>
      </c>
      <c r="O785">
        <v>5</v>
      </c>
    </row>
    <row r="786" spans="1:15" x14ac:dyDescent="0.3">
      <c r="A786" s="1">
        <v>43962</v>
      </c>
      <c r="B786">
        <v>1000000030</v>
      </c>
      <c r="C786" t="s">
        <v>23</v>
      </c>
      <c r="D786">
        <v>2</v>
      </c>
      <c r="E786">
        <v>27000.7</v>
      </c>
      <c r="F786" t="s">
        <v>16</v>
      </c>
      <c r="G786" t="s">
        <v>24</v>
      </c>
      <c r="H786" t="s">
        <v>47</v>
      </c>
      <c r="I786" t="s">
        <v>48</v>
      </c>
      <c r="J786" t="s">
        <v>36</v>
      </c>
      <c r="K786" t="s">
        <v>49</v>
      </c>
      <c r="L786" t="s">
        <v>22</v>
      </c>
      <c r="M786">
        <v>13500.35</v>
      </c>
      <c r="N786">
        <v>2020</v>
      </c>
      <c r="O786">
        <v>5</v>
      </c>
    </row>
    <row r="787" spans="1:15" x14ac:dyDescent="0.3">
      <c r="A787" s="1">
        <v>43962</v>
      </c>
      <c r="B787">
        <v>1000000928</v>
      </c>
      <c r="C787" t="s">
        <v>15</v>
      </c>
      <c r="D787">
        <v>1</v>
      </c>
      <c r="E787">
        <v>22000.01</v>
      </c>
      <c r="F787" t="s">
        <v>16</v>
      </c>
      <c r="G787" t="s">
        <v>17</v>
      </c>
      <c r="H787" t="s">
        <v>30</v>
      </c>
      <c r="I787" t="s">
        <v>57</v>
      </c>
      <c r="J787" t="s">
        <v>26</v>
      </c>
      <c r="K787" t="s">
        <v>58</v>
      </c>
      <c r="L787" t="s">
        <v>22</v>
      </c>
      <c r="M787">
        <v>22000.01</v>
      </c>
      <c r="N787">
        <v>2020</v>
      </c>
      <c r="O787">
        <v>5</v>
      </c>
    </row>
    <row r="788" spans="1:15" x14ac:dyDescent="0.3">
      <c r="A788" s="1">
        <v>43962</v>
      </c>
      <c r="B788">
        <v>1000000056</v>
      </c>
      <c r="C788" t="s">
        <v>15</v>
      </c>
      <c r="D788">
        <v>2</v>
      </c>
      <c r="E788">
        <v>18999.940000000002</v>
      </c>
      <c r="F788" t="s">
        <v>16</v>
      </c>
      <c r="G788" t="s">
        <v>17</v>
      </c>
      <c r="H788" t="s">
        <v>18</v>
      </c>
      <c r="I788" t="s">
        <v>34</v>
      </c>
      <c r="J788" t="s">
        <v>26</v>
      </c>
      <c r="K788" t="s">
        <v>35</v>
      </c>
      <c r="L788" t="s">
        <v>28</v>
      </c>
      <c r="M788">
        <v>9499.9700000000012</v>
      </c>
      <c r="N788">
        <v>2020</v>
      </c>
      <c r="O788">
        <v>5</v>
      </c>
    </row>
    <row r="789" spans="1:15" x14ac:dyDescent="0.3">
      <c r="A789" s="1">
        <v>43962</v>
      </c>
      <c r="B789">
        <v>1000000035</v>
      </c>
      <c r="C789" t="s">
        <v>15</v>
      </c>
      <c r="D789">
        <v>1</v>
      </c>
      <c r="E789">
        <v>18000.759999999998</v>
      </c>
      <c r="F789" t="s">
        <v>16</v>
      </c>
      <c r="G789" t="s">
        <v>17</v>
      </c>
      <c r="H789" t="s">
        <v>18</v>
      </c>
      <c r="I789" t="s">
        <v>25</v>
      </c>
      <c r="J789" t="s">
        <v>36</v>
      </c>
      <c r="K789" t="s">
        <v>37</v>
      </c>
      <c r="L789" t="s">
        <v>22</v>
      </c>
      <c r="M789">
        <v>18000.759999999998</v>
      </c>
      <c r="N789">
        <v>2020</v>
      </c>
      <c r="O789">
        <v>5</v>
      </c>
    </row>
    <row r="790" spans="1:15" x14ac:dyDescent="0.3">
      <c r="A790" s="1">
        <v>43962</v>
      </c>
      <c r="B790">
        <v>1000000037</v>
      </c>
      <c r="C790" t="s">
        <v>15</v>
      </c>
      <c r="D790">
        <v>3</v>
      </c>
      <c r="E790">
        <v>16001.16</v>
      </c>
      <c r="F790" t="s">
        <v>16</v>
      </c>
      <c r="G790" t="s">
        <v>17</v>
      </c>
      <c r="H790" t="s">
        <v>18</v>
      </c>
      <c r="I790" t="s">
        <v>19</v>
      </c>
      <c r="J790" t="s">
        <v>20</v>
      </c>
      <c r="K790" t="s">
        <v>21</v>
      </c>
      <c r="L790" t="s">
        <v>22</v>
      </c>
      <c r="M790">
        <v>5333.72</v>
      </c>
      <c r="N790">
        <v>2020</v>
      </c>
      <c r="O790">
        <v>5</v>
      </c>
    </row>
    <row r="791" spans="1:15" x14ac:dyDescent="0.3">
      <c r="A791" s="1">
        <v>43962</v>
      </c>
      <c r="B791">
        <v>1000000036</v>
      </c>
      <c r="C791" t="s">
        <v>42</v>
      </c>
      <c r="D791">
        <v>1</v>
      </c>
      <c r="E791">
        <v>16000.47</v>
      </c>
      <c r="F791" t="s">
        <v>16</v>
      </c>
      <c r="G791" t="s">
        <v>43</v>
      </c>
      <c r="H791" t="s">
        <v>47</v>
      </c>
      <c r="I791" t="s">
        <v>48</v>
      </c>
      <c r="J791" t="s">
        <v>36</v>
      </c>
      <c r="K791" t="s">
        <v>49</v>
      </c>
      <c r="L791" t="s">
        <v>28</v>
      </c>
      <c r="M791">
        <v>16000.47</v>
      </c>
      <c r="N791">
        <v>2020</v>
      </c>
      <c r="O791">
        <v>5</v>
      </c>
    </row>
    <row r="792" spans="1:15" x14ac:dyDescent="0.3">
      <c r="A792" s="1">
        <v>43962</v>
      </c>
      <c r="B792">
        <v>1000000054</v>
      </c>
      <c r="C792" t="s">
        <v>23</v>
      </c>
      <c r="D792">
        <v>1</v>
      </c>
      <c r="E792">
        <v>16000.26</v>
      </c>
      <c r="F792" t="s">
        <v>16</v>
      </c>
      <c r="G792" t="s">
        <v>24</v>
      </c>
      <c r="H792" t="s">
        <v>18</v>
      </c>
      <c r="I792" t="s">
        <v>34</v>
      </c>
      <c r="J792" t="s">
        <v>26</v>
      </c>
      <c r="K792" t="s">
        <v>35</v>
      </c>
      <c r="L792" t="s">
        <v>22</v>
      </c>
      <c r="M792">
        <v>16000.26</v>
      </c>
      <c r="N792">
        <v>2020</v>
      </c>
      <c r="O792">
        <v>5</v>
      </c>
    </row>
    <row r="793" spans="1:15" x14ac:dyDescent="0.3">
      <c r="A793" s="1">
        <v>43962</v>
      </c>
      <c r="B793">
        <v>1000000028</v>
      </c>
      <c r="C793" t="s">
        <v>23</v>
      </c>
      <c r="D793">
        <v>1</v>
      </c>
      <c r="E793">
        <v>15000.5</v>
      </c>
      <c r="F793" t="s">
        <v>16</v>
      </c>
      <c r="G793" t="s">
        <v>24</v>
      </c>
      <c r="H793" t="s">
        <v>18</v>
      </c>
      <c r="I793" t="s">
        <v>19</v>
      </c>
      <c r="J793" t="s">
        <v>20</v>
      </c>
      <c r="K793" t="s">
        <v>21</v>
      </c>
      <c r="L793" t="s">
        <v>22</v>
      </c>
      <c r="M793">
        <v>15000.5</v>
      </c>
      <c r="N793">
        <v>2020</v>
      </c>
      <c r="O793">
        <v>5</v>
      </c>
    </row>
    <row r="794" spans="1:15" x14ac:dyDescent="0.3">
      <c r="A794" s="1">
        <v>43962</v>
      </c>
      <c r="B794">
        <v>1000003926</v>
      </c>
      <c r="C794" t="s">
        <v>15</v>
      </c>
      <c r="D794">
        <v>1</v>
      </c>
      <c r="E794">
        <v>15000.45</v>
      </c>
      <c r="F794" t="s">
        <v>16</v>
      </c>
      <c r="G794" t="s">
        <v>17</v>
      </c>
      <c r="H794" t="s">
        <v>47</v>
      </c>
      <c r="I794" t="s">
        <v>48</v>
      </c>
      <c r="J794" t="s">
        <v>26</v>
      </c>
      <c r="K794" t="s">
        <v>50</v>
      </c>
      <c r="L794" t="s">
        <v>28</v>
      </c>
      <c r="M794">
        <v>15000.45</v>
      </c>
      <c r="N794">
        <v>2020</v>
      </c>
      <c r="O794">
        <v>5</v>
      </c>
    </row>
    <row r="795" spans="1:15" x14ac:dyDescent="0.3">
      <c r="A795" s="1">
        <v>43962</v>
      </c>
      <c r="B795">
        <v>1000000067</v>
      </c>
      <c r="C795" t="s">
        <v>15</v>
      </c>
      <c r="D795">
        <v>1</v>
      </c>
      <c r="E795">
        <v>15000.4</v>
      </c>
      <c r="F795" t="s">
        <v>16</v>
      </c>
      <c r="G795" t="s">
        <v>17</v>
      </c>
      <c r="H795" t="s">
        <v>18</v>
      </c>
      <c r="I795" t="s">
        <v>25</v>
      </c>
      <c r="J795" t="s">
        <v>20</v>
      </c>
      <c r="K795" t="s">
        <v>51</v>
      </c>
      <c r="L795" t="s">
        <v>22</v>
      </c>
      <c r="M795">
        <v>15000.4</v>
      </c>
      <c r="N795">
        <v>2020</v>
      </c>
      <c r="O795">
        <v>5</v>
      </c>
    </row>
    <row r="796" spans="1:15" x14ac:dyDescent="0.3">
      <c r="A796" s="1">
        <v>43962</v>
      </c>
      <c r="B796">
        <v>1000000028</v>
      </c>
      <c r="C796" t="s">
        <v>15</v>
      </c>
      <c r="D796">
        <v>1</v>
      </c>
      <c r="E796">
        <v>13000.34</v>
      </c>
      <c r="F796" t="s">
        <v>16</v>
      </c>
      <c r="G796" t="s">
        <v>17</v>
      </c>
      <c r="H796" t="s">
        <v>18</v>
      </c>
      <c r="I796" t="s">
        <v>19</v>
      </c>
      <c r="J796" t="s">
        <v>20</v>
      </c>
      <c r="K796" t="s">
        <v>21</v>
      </c>
      <c r="L796" t="s">
        <v>22</v>
      </c>
      <c r="M796">
        <v>13000.34</v>
      </c>
      <c r="N796">
        <v>2020</v>
      </c>
      <c r="O796">
        <v>5</v>
      </c>
    </row>
    <row r="797" spans="1:15" x14ac:dyDescent="0.3">
      <c r="A797" s="1">
        <v>43962</v>
      </c>
      <c r="B797">
        <v>1000000028</v>
      </c>
      <c r="C797" t="s">
        <v>42</v>
      </c>
      <c r="D797">
        <v>1</v>
      </c>
      <c r="E797">
        <v>13000.32</v>
      </c>
      <c r="F797" t="s">
        <v>16</v>
      </c>
      <c r="G797" t="s">
        <v>43</v>
      </c>
      <c r="H797" t="s">
        <v>18</v>
      </c>
      <c r="I797" t="s">
        <v>19</v>
      </c>
      <c r="J797" t="s">
        <v>20</v>
      </c>
      <c r="K797" t="s">
        <v>21</v>
      </c>
      <c r="L797" t="s">
        <v>22</v>
      </c>
      <c r="M797">
        <v>13000.32</v>
      </c>
      <c r="N797">
        <v>2020</v>
      </c>
      <c r="O797">
        <v>5</v>
      </c>
    </row>
    <row r="798" spans="1:15" x14ac:dyDescent="0.3">
      <c r="A798" s="1">
        <v>43962</v>
      </c>
      <c r="B798">
        <v>1000000237</v>
      </c>
      <c r="C798" t="s">
        <v>42</v>
      </c>
      <c r="D798">
        <v>1</v>
      </c>
      <c r="E798">
        <v>11000.42</v>
      </c>
      <c r="F798" t="s">
        <v>16</v>
      </c>
      <c r="G798" t="s">
        <v>43</v>
      </c>
      <c r="H798" t="s">
        <v>18</v>
      </c>
      <c r="I798" t="s">
        <v>40</v>
      </c>
      <c r="J798" t="s">
        <v>26</v>
      </c>
      <c r="K798" t="s">
        <v>41</v>
      </c>
      <c r="L798" t="s">
        <v>22</v>
      </c>
      <c r="M798">
        <v>11000.42</v>
      </c>
      <c r="N798">
        <v>2020</v>
      </c>
      <c r="O798">
        <v>5</v>
      </c>
    </row>
    <row r="799" spans="1:15" x14ac:dyDescent="0.3">
      <c r="A799" s="1">
        <v>43962</v>
      </c>
      <c r="B799">
        <v>1000004170</v>
      </c>
      <c r="C799" t="s">
        <v>15</v>
      </c>
      <c r="D799">
        <v>1</v>
      </c>
      <c r="E799">
        <v>10000.549999999999</v>
      </c>
      <c r="F799" t="s">
        <v>16</v>
      </c>
      <c r="G799" t="s">
        <v>17</v>
      </c>
      <c r="H799" t="s">
        <v>18</v>
      </c>
      <c r="I799" t="s">
        <v>34</v>
      </c>
      <c r="J799" t="s">
        <v>20</v>
      </c>
      <c r="K799" t="s">
        <v>44</v>
      </c>
      <c r="L799" t="s">
        <v>28</v>
      </c>
      <c r="M799">
        <v>10000.549999999999</v>
      </c>
      <c r="N799">
        <v>2020</v>
      </c>
      <c r="O799">
        <v>5</v>
      </c>
    </row>
    <row r="800" spans="1:15" x14ac:dyDescent="0.3">
      <c r="A800" s="1">
        <v>43962</v>
      </c>
      <c r="B800">
        <v>1000000566</v>
      </c>
      <c r="C800" t="s">
        <v>15</v>
      </c>
      <c r="D800">
        <v>1</v>
      </c>
      <c r="E800">
        <v>10000.35</v>
      </c>
      <c r="F800" t="s">
        <v>16</v>
      </c>
      <c r="G800" t="s">
        <v>17</v>
      </c>
      <c r="H800" t="s">
        <v>47</v>
      </c>
      <c r="I800" t="s">
        <v>48</v>
      </c>
      <c r="J800" t="s">
        <v>36</v>
      </c>
      <c r="K800" t="s">
        <v>49</v>
      </c>
      <c r="L800" t="s">
        <v>22</v>
      </c>
      <c r="M800">
        <v>10000.35</v>
      </c>
      <c r="N800">
        <v>2020</v>
      </c>
      <c r="O800">
        <v>5</v>
      </c>
    </row>
    <row r="801" spans="1:15" x14ac:dyDescent="0.3">
      <c r="A801" s="1">
        <v>43962</v>
      </c>
      <c r="B801">
        <v>1000000050</v>
      </c>
      <c r="C801" t="s">
        <v>15</v>
      </c>
      <c r="D801">
        <v>1</v>
      </c>
      <c r="E801">
        <v>9000.01</v>
      </c>
      <c r="F801" t="s">
        <v>16</v>
      </c>
      <c r="G801" t="s">
        <v>17</v>
      </c>
      <c r="H801" t="s">
        <v>18</v>
      </c>
      <c r="I801" t="s">
        <v>40</v>
      </c>
      <c r="J801" t="s">
        <v>26</v>
      </c>
      <c r="K801" t="s">
        <v>41</v>
      </c>
      <c r="L801" t="s">
        <v>22</v>
      </c>
      <c r="M801">
        <v>9000.01</v>
      </c>
      <c r="N801">
        <v>2020</v>
      </c>
      <c r="O801">
        <v>5</v>
      </c>
    </row>
    <row r="802" spans="1:15" x14ac:dyDescent="0.3">
      <c r="A802" s="1">
        <v>43962</v>
      </c>
      <c r="B802">
        <v>1000000036</v>
      </c>
      <c r="C802" t="s">
        <v>15</v>
      </c>
      <c r="D802">
        <v>1</v>
      </c>
      <c r="E802">
        <v>7500.23</v>
      </c>
      <c r="F802" t="s">
        <v>16</v>
      </c>
      <c r="G802" t="s">
        <v>17</v>
      </c>
      <c r="H802" t="s">
        <v>47</v>
      </c>
      <c r="I802" t="s">
        <v>48</v>
      </c>
      <c r="J802" t="s">
        <v>36</v>
      </c>
      <c r="K802" t="s">
        <v>49</v>
      </c>
      <c r="L802" t="s">
        <v>28</v>
      </c>
      <c r="M802">
        <v>7500.23</v>
      </c>
      <c r="N802">
        <v>2020</v>
      </c>
      <c r="O802">
        <v>5</v>
      </c>
    </row>
    <row r="803" spans="1:15" x14ac:dyDescent="0.3">
      <c r="A803" s="1">
        <v>43962</v>
      </c>
      <c r="B803">
        <v>1000000031</v>
      </c>
      <c r="C803" t="s">
        <v>15</v>
      </c>
      <c r="D803">
        <v>2</v>
      </c>
      <c r="E803">
        <v>6501.54</v>
      </c>
      <c r="F803" t="s">
        <v>16</v>
      </c>
      <c r="G803" t="s">
        <v>17</v>
      </c>
      <c r="H803" t="s">
        <v>18</v>
      </c>
      <c r="I803" t="s">
        <v>19</v>
      </c>
      <c r="J803" t="s">
        <v>26</v>
      </c>
      <c r="K803" t="s">
        <v>29</v>
      </c>
      <c r="L803" t="s">
        <v>28</v>
      </c>
      <c r="M803">
        <v>3250.77</v>
      </c>
      <c r="N803">
        <v>2020</v>
      </c>
      <c r="O803">
        <v>5</v>
      </c>
    </row>
    <row r="804" spans="1:15" x14ac:dyDescent="0.3">
      <c r="A804" s="1">
        <v>43962</v>
      </c>
      <c r="B804">
        <v>1000000039</v>
      </c>
      <c r="C804" t="s">
        <v>15</v>
      </c>
      <c r="D804">
        <v>1</v>
      </c>
      <c r="E804">
        <v>6500.68</v>
      </c>
      <c r="F804" t="s">
        <v>16</v>
      </c>
      <c r="G804" t="s">
        <v>17</v>
      </c>
      <c r="H804" t="s">
        <v>18</v>
      </c>
      <c r="I804" t="s">
        <v>25</v>
      </c>
      <c r="J804" t="s">
        <v>20</v>
      </c>
      <c r="K804" t="s">
        <v>51</v>
      </c>
      <c r="L804" t="s">
        <v>28</v>
      </c>
      <c r="M804">
        <v>6500.68</v>
      </c>
      <c r="N804">
        <v>2020</v>
      </c>
      <c r="O804">
        <v>5</v>
      </c>
    </row>
    <row r="805" spans="1:15" x14ac:dyDescent="0.3">
      <c r="A805" s="1">
        <v>43962</v>
      </c>
      <c r="B805">
        <v>1000000034</v>
      </c>
      <c r="C805" t="s">
        <v>42</v>
      </c>
      <c r="D805">
        <v>1</v>
      </c>
      <c r="E805">
        <v>6500.64</v>
      </c>
      <c r="F805" t="s">
        <v>16</v>
      </c>
      <c r="G805" t="s">
        <v>43</v>
      </c>
      <c r="H805" t="s">
        <v>18</v>
      </c>
      <c r="I805" t="s">
        <v>25</v>
      </c>
      <c r="J805" t="s">
        <v>26</v>
      </c>
      <c r="K805" t="s">
        <v>27</v>
      </c>
      <c r="L805" t="s">
        <v>22</v>
      </c>
      <c r="M805">
        <v>6500.64</v>
      </c>
      <c r="N805">
        <v>2020</v>
      </c>
      <c r="O805">
        <v>5</v>
      </c>
    </row>
    <row r="806" spans="1:15" x14ac:dyDescent="0.3">
      <c r="A806" s="1">
        <v>43962</v>
      </c>
      <c r="B806">
        <v>1000000033</v>
      </c>
      <c r="C806" t="s">
        <v>23</v>
      </c>
      <c r="D806">
        <v>1</v>
      </c>
      <c r="E806">
        <v>6500.11</v>
      </c>
      <c r="F806" t="s">
        <v>16</v>
      </c>
      <c r="G806" t="s">
        <v>24</v>
      </c>
      <c r="H806" t="s">
        <v>18</v>
      </c>
      <c r="I806" t="s">
        <v>25</v>
      </c>
      <c r="J806" t="s">
        <v>26</v>
      </c>
      <c r="K806" t="s">
        <v>27</v>
      </c>
      <c r="L806" t="s">
        <v>22</v>
      </c>
      <c r="M806">
        <v>6500.11</v>
      </c>
      <c r="N806">
        <v>2020</v>
      </c>
      <c r="O806">
        <v>5</v>
      </c>
    </row>
    <row r="807" spans="1:15" x14ac:dyDescent="0.3">
      <c r="A807" s="1">
        <v>43962</v>
      </c>
      <c r="B807">
        <v>1000000104</v>
      </c>
      <c r="C807" t="s">
        <v>42</v>
      </c>
      <c r="D807">
        <v>1</v>
      </c>
      <c r="E807">
        <v>6400.42</v>
      </c>
      <c r="F807" t="s">
        <v>16</v>
      </c>
      <c r="G807" t="s">
        <v>43</v>
      </c>
      <c r="H807" t="s">
        <v>18</v>
      </c>
      <c r="I807" t="s">
        <v>40</v>
      </c>
      <c r="J807" t="s">
        <v>26</v>
      </c>
      <c r="K807" t="s">
        <v>41</v>
      </c>
      <c r="L807" t="s">
        <v>22</v>
      </c>
      <c r="M807">
        <v>6400.42</v>
      </c>
      <c r="N807">
        <v>2020</v>
      </c>
      <c r="O807">
        <v>5</v>
      </c>
    </row>
    <row r="808" spans="1:15" x14ac:dyDescent="0.3">
      <c r="A808" s="1">
        <v>43962</v>
      </c>
      <c r="B808">
        <v>1000000237</v>
      </c>
      <c r="C808" t="s">
        <v>15</v>
      </c>
      <c r="D808">
        <v>1</v>
      </c>
      <c r="E808">
        <v>6000.37</v>
      </c>
      <c r="F808" t="s">
        <v>16</v>
      </c>
      <c r="G808" t="s">
        <v>17</v>
      </c>
      <c r="H808" t="s">
        <v>18</v>
      </c>
      <c r="I808" t="s">
        <v>40</v>
      </c>
      <c r="J808" t="s">
        <v>26</v>
      </c>
      <c r="K808" t="s">
        <v>41</v>
      </c>
      <c r="L808" t="s">
        <v>22</v>
      </c>
      <c r="M808">
        <v>6000.37</v>
      </c>
      <c r="N808">
        <v>2020</v>
      </c>
      <c r="O808">
        <v>5</v>
      </c>
    </row>
    <row r="809" spans="1:15" x14ac:dyDescent="0.3">
      <c r="A809" s="1">
        <v>43962</v>
      </c>
      <c r="B809">
        <v>1000000031</v>
      </c>
      <c r="C809" t="s">
        <v>42</v>
      </c>
      <c r="D809">
        <v>1</v>
      </c>
      <c r="E809">
        <v>5000.32</v>
      </c>
      <c r="F809" t="s">
        <v>16</v>
      </c>
      <c r="G809" t="s">
        <v>43</v>
      </c>
      <c r="H809" t="s">
        <v>18</v>
      </c>
      <c r="I809" t="s">
        <v>19</v>
      </c>
      <c r="J809" t="s">
        <v>26</v>
      </c>
      <c r="K809" t="s">
        <v>29</v>
      </c>
      <c r="L809" t="s">
        <v>28</v>
      </c>
      <c r="M809">
        <v>5000.32</v>
      </c>
      <c r="N809">
        <v>2020</v>
      </c>
      <c r="O809">
        <v>5</v>
      </c>
    </row>
    <row r="810" spans="1:15" x14ac:dyDescent="0.3">
      <c r="A810" s="1">
        <v>43962</v>
      </c>
      <c r="B810">
        <v>1000000039</v>
      </c>
      <c r="C810" t="s">
        <v>54</v>
      </c>
      <c r="D810">
        <v>1</v>
      </c>
      <c r="E810">
        <v>4688.67</v>
      </c>
      <c r="F810" t="s">
        <v>46</v>
      </c>
      <c r="G810" t="s">
        <v>24</v>
      </c>
      <c r="H810" t="s">
        <v>18</v>
      </c>
      <c r="I810" t="s">
        <v>25</v>
      </c>
      <c r="J810" t="s">
        <v>20</v>
      </c>
      <c r="K810" t="s">
        <v>51</v>
      </c>
      <c r="L810" t="s">
        <v>28</v>
      </c>
      <c r="M810">
        <v>4688.67</v>
      </c>
      <c r="N810">
        <v>2020</v>
      </c>
      <c r="O810">
        <v>5</v>
      </c>
    </row>
    <row r="811" spans="1:15" x14ac:dyDescent="0.3">
      <c r="A811" s="1">
        <v>43962</v>
      </c>
      <c r="B811">
        <v>1000000104</v>
      </c>
      <c r="C811" t="s">
        <v>23</v>
      </c>
      <c r="D811">
        <v>1</v>
      </c>
      <c r="E811">
        <v>4000</v>
      </c>
      <c r="F811" t="s">
        <v>16</v>
      </c>
      <c r="G811" t="s">
        <v>24</v>
      </c>
      <c r="H811" t="s">
        <v>18</v>
      </c>
      <c r="I811" t="s">
        <v>40</v>
      </c>
      <c r="J811" t="s">
        <v>26</v>
      </c>
      <c r="K811" t="s">
        <v>41</v>
      </c>
      <c r="L811" t="s">
        <v>22</v>
      </c>
      <c r="M811">
        <v>4000</v>
      </c>
      <c r="N811">
        <v>2020</v>
      </c>
      <c r="O811">
        <v>5</v>
      </c>
    </row>
    <row r="812" spans="1:15" x14ac:dyDescent="0.3">
      <c r="A812" s="1">
        <v>43962</v>
      </c>
      <c r="B812">
        <v>1000000029</v>
      </c>
      <c r="C812" t="s">
        <v>23</v>
      </c>
      <c r="D812">
        <v>1</v>
      </c>
      <c r="E812">
        <v>3163.37</v>
      </c>
      <c r="F812" t="s">
        <v>16</v>
      </c>
      <c r="G812" t="s">
        <v>24</v>
      </c>
      <c r="H812" t="s">
        <v>18</v>
      </c>
      <c r="I812" t="s">
        <v>19</v>
      </c>
      <c r="J812" t="s">
        <v>20</v>
      </c>
      <c r="K812" t="s">
        <v>21</v>
      </c>
      <c r="L812" t="s">
        <v>22</v>
      </c>
      <c r="M812">
        <v>3163.37</v>
      </c>
      <c r="N812">
        <v>2020</v>
      </c>
      <c r="O812">
        <v>5</v>
      </c>
    </row>
    <row r="813" spans="1:15" x14ac:dyDescent="0.3">
      <c r="A813" s="1">
        <v>43962</v>
      </c>
      <c r="B813">
        <v>1000000040</v>
      </c>
      <c r="C813" t="s">
        <v>23</v>
      </c>
      <c r="D813">
        <v>1</v>
      </c>
      <c r="E813">
        <v>2855.59</v>
      </c>
      <c r="F813" t="s">
        <v>16</v>
      </c>
      <c r="G813" t="s">
        <v>24</v>
      </c>
      <c r="H813" t="s">
        <v>30</v>
      </c>
      <c r="I813" t="s">
        <v>31</v>
      </c>
      <c r="J813" t="s">
        <v>32</v>
      </c>
      <c r="K813" t="s">
        <v>33</v>
      </c>
      <c r="L813" t="s">
        <v>28</v>
      </c>
      <c r="M813">
        <v>2855.59</v>
      </c>
      <c r="N813">
        <v>2020</v>
      </c>
      <c r="O813">
        <v>5</v>
      </c>
    </row>
    <row r="814" spans="1:15" x14ac:dyDescent="0.3">
      <c r="A814" s="1">
        <v>43962</v>
      </c>
      <c r="B814">
        <v>1000000037</v>
      </c>
      <c r="C814" t="s">
        <v>23</v>
      </c>
      <c r="D814">
        <v>1</v>
      </c>
      <c r="E814">
        <v>1500.4</v>
      </c>
      <c r="F814" t="s">
        <v>16</v>
      </c>
      <c r="G814" t="s">
        <v>24</v>
      </c>
      <c r="H814" t="s">
        <v>18</v>
      </c>
      <c r="I814" t="s">
        <v>19</v>
      </c>
      <c r="J814" t="s">
        <v>20</v>
      </c>
      <c r="K814" t="s">
        <v>21</v>
      </c>
      <c r="L814" t="s">
        <v>22</v>
      </c>
      <c r="M814">
        <v>1500.4</v>
      </c>
      <c r="N814">
        <v>2020</v>
      </c>
      <c r="O814">
        <v>5</v>
      </c>
    </row>
    <row r="815" spans="1:15" x14ac:dyDescent="0.3">
      <c r="A815" s="1">
        <v>43962</v>
      </c>
      <c r="B815">
        <v>1000000067</v>
      </c>
      <c r="C815" t="s">
        <v>23</v>
      </c>
      <c r="D815">
        <v>1</v>
      </c>
      <c r="E815">
        <v>1484.49</v>
      </c>
      <c r="F815" t="s">
        <v>16</v>
      </c>
      <c r="G815" t="s">
        <v>24</v>
      </c>
      <c r="H815" t="s">
        <v>18</v>
      </c>
      <c r="I815" t="s">
        <v>25</v>
      </c>
      <c r="J815" t="s">
        <v>20</v>
      </c>
      <c r="K815" t="s">
        <v>51</v>
      </c>
      <c r="L815" t="s">
        <v>22</v>
      </c>
      <c r="M815">
        <v>1484.49</v>
      </c>
      <c r="N815">
        <v>2020</v>
      </c>
      <c r="O815">
        <v>5</v>
      </c>
    </row>
    <row r="816" spans="1:15" x14ac:dyDescent="0.3">
      <c r="A816" s="1">
        <v>43962</v>
      </c>
      <c r="B816">
        <v>1000000056</v>
      </c>
      <c r="C816" t="s">
        <v>23</v>
      </c>
      <c r="D816">
        <v>1</v>
      </c>
      <c r="E816">
        <v>1000.66</v>
      </c>
      <c r="F816" t="s">
        <v>16</v>
      </c>
      <c r="G816" t="s">
        <v>24</v>
      </c>
      <c r="H816" t="s">
        <v>18</v>
      </c>
      <c r="I816" t="s">
        <v>34</v>
      </c>
      <c r="J816" t="s">
        <v>26</v>
      </c>
      <c r="K816" t="s">
        <v>35</v>
      </c>
      <c r="L816" t="s">
        <v>28</v>
      </c>
      <c r="M816">
        <v>1000.66</v>
      </c>
      <c r="N816">
        <v>2020</v>
      </c>
      <c r="O816">
        <v>5</v>
      </c>
    </row>
    <row r="817" spans="1:15" x14ac:dyDescent="0.3">
      <c r="A817" s="1">
        <v>43962</v>
      </c>
      <c r="B817">
        <v>1000000576</v>
      </c>
      <c r="C817" t="s">
        <v>23</v>
      </c>
      <c r="D817">
        <v>1</v>
      </c>
      <c r="E817">
        <v>890.72</v>
      </c>
      <c r="F817" t="s">
        <v>16</v>
      </c>
      <c r="G817" t="s">
        <v>24</v>
      </c>
      <c r="H817" t="s">
        <v>18</v>
      </c>
      <c r="I817" t="s">
        <v>25</v>
      </c>
      <c r="J817" t="s">
        <v>36</v>
      </c>
      <c r="K817" t="s">
        <v>37</v>
      </c>
      <c r="L817" t="s">
        <v>22</v>
      </c>
      <c r="M817">
        <v>890.72</v>
      </c>
      <c r="N817">
        <v>2020</v>
      </c>
      <c r="O817">
        <v>5</v>
      </c>
    </row>
    <row r="818" spans="1:15" x14ac:dyDescent="0.3">
      <c r="A818" s="1">
        <v>43962</v>
      </c>
      <c r="B818">
        <v>1000000032</v>
      </c>
      <c r="C818" t="s">
        <v>23</v>
      </c>
      <c r="D818">
        <v>1</v>
      </c>
      <c r="E818">
        <v>733.69</v>
      </c>
      <c r="F818" t="s">
        <v>16</v>
      </c>
      <c r="G818" t="s">
        <v>24</v>
      </c>
      <c r="H818" t="s">
        <v>18</v>
      </c>
      <c r="I818" t="s">
        <v>25</v>
      </c>
      <c r="J818" t="s">
        <v>26</v>
      </c>
      <c r="K818" t="s">
        <v>27</v>
      </c>
      <c r="L818" t="s">
        <v>28</v>
      </c>
      <c r="M818">
        <v>733.69</v>
      </c>
      <c r="N818">
        <v>2020</v>
      </c>
      <c r="O818">
        <v>5</v>
      </c>
    </row>
    <row r="819" spans="1:15" x14ac:dyDescent="0.3">
      <c r="A819" s="1">
        <v>43962</v>
      </c>
      <c r="B819">
        <v>1000000033</v>
      </c>
      <c r="C819" t="s">
        <v>42</v>
      </c>
      <c r="D819">
        <v>1</v>
      </c>
      <c r="E819">
        <v>599.95000000000005</v>
      </c>
      <c r="F819" t="s">
        <v>16</v>
      </c>
      <c r="G819" t="s">
        <v>43</v>
      </c>
      <c r="H819" t="s">
        <v>18</v>
      </c>
      <c r="I819" t="s">
        <v>25</v>
      </c>
      <c r="J819" t="s">
        <v>26</v>
      </c>
      <c r="K819" t="s">
        <v>27</v>
      </c>
      <c r="L819" t="s">
        <v>22</v>
      </c>
      <c r="M819">
        <v>599.95000000000005</v>
      </c>
      <c r="N819">
        <v>2020</v>
      </c>
      <c r="O819">
        <v>5</v>
      </c>
    </row>
    <row r="820" spans="1:15" x14ac:dyDescent="0.3">
      <c r="A820" s="1">
        <v>43963</v>
      </c>
      <c r="B820">
        <v>1000003926</v>
      </c>
      <c r="C820" t="s">
        <v>15</v>
      </c>
      <c r="D820">
        <v>3</v>
      </c>
      <c r="E820">
        <v>47000.71</v>
      </c>
      <c r="F820" t="s">
        <v>16</v>
      </c>
      <c r="G820" t="s">
        <v>17</v>
      </c>
      <c r="H820" t="s">
        <v>47</v>
      </c>
      <c r="I820" t="s">
        <v>48</v>
      </c>
      <c r="J820" t="s">
        <v>26</v>
      </c>
      <c r="K820" t="s">
        <v>50</v>
      </c>
      <c r="L820" t="s">
        <v>28</v>
      </c>
      <c r="M820">
        <v>15666.903333333334</v>
      </c>
      <c r="N820">
        <v>2020</v>
      </c>
      <c r="O820">
        <v>5</v>
      </c>
    </row>
    <row r="821" spans="1:15" x14ac:dyDescent="0.3">
      <c r="A821" s="1">
        <v>43963</v>
      </c>
      <c r="B821">
        <v>1000000036</v>
      </c>
      <c r="C821" t="s">
        <v>23</v>
      </c>
      <c r="D821">
        <v>3</v>
      </c>
      <c r="E821">
        <v>28001.379999999997</v>
      </c>
      <c r="F821" t="s">
        <v>16</v>
      </c>
      <c r="G821" t="s">
        <v>24</v>
      </c>
      <c r="H821" t="s">
        <v>47</v>
      </c>
      <c r="I821" t="s">
        <v>48</v>
      </c>
      <c r="J821" t="s">
        <v>36</v>
      </c>
      <c r="K821" t="s">
        <v>49</v>
      </c>
      <c r="L821" t="s">
        <v>28</v>
      </c>
      <c r="M821">
        <v>9333.7933333333331</v>
      </c>
      <c r="N821">
        <v>2020</v>
      </c>
      <c r="O821">
        <v>5</v>
      </c>
    </row>
    <row r="822" spans="1:15" x14ac:dyDescent="0.3">
      <c r="A822" s="1">
        <v>43963</v>
      </c>
      <c r="B822">
        <v>1000000041</v>
      </c>
      <c r="C822" t="s">
        <v>15</v>
      </c>
      <c r="D822">
        <v>2</v>
      </c>
      <c r="E822">
        <v>27000.79</v>
      </c>
      <c r="F822" t="s">
        <v>16</v>
      </c>
      <c r="G822" t="s">
        <v>17</v>
      </c>
      <c r="H822" t="s">
        <v>30</v>
      </c>
      <c r="I822" t="s">
        <v>31</v>
      </c>
      <c r="J822" t="s">
        <v>32</v>
      </c>
      <c r="K822" t="s">
        <v>33</v>
      </c>
      <c r="L822" t="s">
        <v>22</v>
      </c>
      <c r="M822">
        <v>13500.395</v>
      </c>
      <c r="N822">
        <v>2020</v>
      </c>
      <c r="O822">
        <v>5</v>
      </c>
    </row>
    <row r="823" spans="1:15" x14ac:dyDescent="0.3">
      <c r="A823" s="1">
        <v>43963</v>
      </c>
      <c r="B823">
        <v>1000000033</v>
      </c>
      <c r="C823" t="s">
        <v>15</v>
      </c>
      <c r="D823">
        <v>1</v>
      </c>
      <c r="E823">
        <v>24999.94</v>
      </c>
      <c r="F823" t="s">
        <v>16</v>
      </c>
      <c r="G823" t="s">
        <v>17</v>
      </c>
      <c r="H823" t="s">
        <v>18</v>
      </c>
      <c r="I823" t="s">
        <v>25</v>
      </c>
      <c r="J823" t="s">
        <v>26</v>
      </c>
      <c r="K823" t="s">
        <v>27</v>
      </c>
      <c r="L823" t="s">
        <v>22</v>
      </c>
      <c r="M823">
        <v>24999.94</v>
      </c>
      <c r="N823">
        <v>2020</v>
      </c>
      <c r="O823">
        <v>5</v>
      </c>
    </row>
    <row r="824" spans="1:15" x14ac:dyDescent="0.3">
      <c r="A824" s="1">
        <v>43963</v>
      </c>
      <c r="B824">
        <v>1000000566</v>
      </c>
      <c r="C824" t="s">
        <v>42</v>
      </c>
      <c r="D824">
        <v>2</v>
      </c>
      <c r="E824">
        <v>17000.53</v>
      </c>
      <c r="F824" t="s">
        <v>16</v>
      </c>
      <c r="G824" t="s">
        <v>43</v>
      </c>
      <c r="H824" t="s">
        <v>47</v>
      </c>
      <c r="I824" t="s">
        <v>48</v>
      </c>
      <c r="J824" t="s">
        <v>36</v>
      </c>
      <c r="K824" t="s">
        <v>49</v>
      </c>
      <c r="L824" t="s">
        <v>22</v>
      </c>
      <c r="M824">
        <v>8500.2649999999994</v>
      </c>
      <c r="N824">
        <v>2020</v>
      </c>
      <c r="O824">
        <v>5</v>
      </c>
    </row>
    <row r="825" spans="1:15" x14ac:dyDescent="0.3">
      <c r="A825" s="1">
        <v>43963</v>
      </c>
      <c r="B825">
        <v>1000000576</v>
      </c>
      <c r="C825" t="s">
        <v>15</v>
      </c>
      <c r="D825">
        <v>1</v>
      </c>
      <c r="E825">
        <v>15000.56</v>
      </c>
      <c r="F825" t="s">
        <v>16</v>
      </c>
      <c r="G825" t="s">
        <v>17</v>
      </c>
      <c r="H825" t="s">
        <v>18</v>
      </c>
      <c r="I825" t="s">
        <v>25</v>
      </c>
      <c r="J825" t="s">
        <v>36</v>
      </c>
      <c r="K825" t="s">
        <v>37</v>
      </c>
      <c r="L825" t="s">
        <v>22</v>
      </c>
      <c r="M825">
        <v>15000.56</v>
      </c>
      <c r="N825">
        <v>2020</v>
      </c>
      <c r="O825">
        <v>5</v>
      </c>
    </row>
    <row r="826" spans="1:15" x14ac:dyDescent="0.3">
      <c r="A826" s="1">
        <v>43963</v>
      </c>
      <c r="B826">
        <v>1000000037</v>
      </c>
      <c r="C826" t="s">
        <v>42</v>
      </c>
      <c r="D826">
        <v>1</v>
      </c>
      <c r="E826">
        <v>15000.29</v>
      </c>
      <c r="F826" t="s">
        <v>16</v>
      </c>
      <c r="G826" t="s">
        <v>43</v>
      </c>
      <c r="H826" t="s">
        <v>18</v>
      </c>
      <c r="I826" t="s">
        <v>19</v>
      </c>
      <c r="J826" t="s">
        <v>20</v>
      </c>
      <c r="K826" t="s">
        <v>21</v>
      </c>
      <c r="L826" t="s">
        <v>22</v>
      </c>
      <c r="M826">
        <v>15000.29</v>
      </c>
      <c r="N826">
        <v>2020</v>
      </c>
      <c r="O826">
        <v>5</v>
      </c>
    </row>
    <row r="827" spans="1:15" x14ac:dyDescent="0.3">
      <c r="A827" s="1">
        <v>43963</v>
      </c>
      <c r="B827">
        <v>1000000030</v>
      </c>
      <c r="C827" t="s">
        <v>15</v>
      </c>
      <c r="D827">
        <v>1</v>
      </c>
      <c r="E827">
        <v>14300.6</v>
      </c>
      <c r="F827" t="s">
        <v>16</v>
      </c>
      <c r="G827" t="s">
        <v>17</v>
      </c>
      <c r="H827" t="s">
        <v>47</v>
      </c>
      <c r="I827" t="s">
        <v>48</v>
      </c>
      <c r="J827" t="s">
        <v>36</v>
      </c>
      <c r="K827" t="s">
        <v>49</v>
      </c>
      <c r="L827" t="s">
        <v>22</v>
      </c>
      <c r="M827">
        <v>14300.6</v>
      </c>
      <c r="N827">
        <v>2020</v>
      </c>
      <c r="O827">
        <v>5</v>
      </c>
    </row>
    <row r="828" spans="1:15" x14ac:dyDescent="0.3">
      <c r="A828" s="1">
        <v>43963</v>
      </c>
      <c r="B828">
        <v>1000004170</v>
      </c>
      <c r="C828" t="s">
        <v>15</v>
      </c>
      <c r="D828">
        <v>1</v>
      </c>
      <c r="E828">
        <v>14000.53</v>
      </c>
      <c r="F828" t="s">
        <v>16</v>
      </c>
      <c r="G828" t="s">
        <v>17</v>
      </c>
      <c r="H828" t="s">
        <v>18</v>
      </c>
      <c r="I828" t="s">
        <v>34</v>
      </c>
      <c r="J828" t="s">
        <v>20</v>
      </c>
      <c r="K828" t="s">
        <v>44</v>
      </c>
      <c r="L828" t="s">
        <v>28</v>
      </c>
      <c r="M828">
        <v>14000.53</v>
      </c>
      <c r="N828">
        <v>2020</v>
      </c>
      <c r="O828">
        <v>5</v>
      </c>
    </row>
    <row r="829" spans="1:15" x14ac:dyDescent="0.3">
      <c r="A829" s="1">
        <v>43963</v>
      </c>
      <c r="B829">
        <v>1000003926</v>
      </c>
      <c r="C829" t="s">
        <v>23</v>
      </c>
      <c r="D829">
        <v>1</v>
      </c>
      <c r="E829">
        <v>13000.18</v>
      </c>
      <c r="F829" t="s">
        <v>16</v>
      </c>
      <c r="G829" t="s">
        <v>24</v>
      </c>
      <c r="H829" t="s">
        <v>47</v>
      </c>
      <c r="I829" t="s">
        <v>48</v>
      </c>
      <c r="J829" t="s">
        <v>26</v>
      </c>
      <c r="K829" t="s">
        <v>50</v>
      </c>
      <c r="L829" t="s">
        <v>28</v>
      </c>
      <c r="M829">
        <v>13000.18</v>
      </c>
      <c r="N829">
        <v>2020</v>
      </c>
      <c r="O829">
        <v>5</v>
      </c>
    </row>
    <row r="830" spans="1:15" x14ac:dyDescent="0.3">
      <c r="A830" s="1">
        <v>43963</v>
      </c>
      <c r="B830">
        <v>1000000036</v>
      </c>
      <c r="C830" t="s">
        <v>15</v>
      </c>
      <c r="D830">
        <v>1</v>
      </c>
      <c r="E830">
        <v>9970.3799999999992</v>
      </c>
      <c r="F830" t="s">
        <v>16</v>
      </c>
      <c r="G830" t="s">
        <v>17</v>
      </c>
      <c r="H830" t="s">
        <v>47</v>
      </c>
      <c r="I830" t="s">
        <v>48</v>
      </c>
      <c r="J830" t="s">
        <v>36</v>
      </c>
      <c r="K830" t="s">
        <v>49</v>
      </c>
      <c r="L830" t="s">
        <v>28</v>
      </c>
      <c r="M830">
        <v>9970.3799999999992</v>
      </c>
      <c r="N830">
        <v>2020</v>
      </c>
      <c r="O830">
        <v>5</v>
      </c>
    </row>
    <row r="831" spans="1:15" x14ac:dyDescent="0.3">
      <c r="A831" s="1">
        <v>43963</v>
      </c>
      <c r="B831">
        <v>1000000052</v>
      </c>
      <c r="C831" t="s">
        <v>23</v>
      </c>
      <c r="D831">
        <v>1</v>
      </c>
      <c r="E831">
        <v>8124.1</v>
      </c>
      <c r="F831" t="s">
        <v>16</v>
      </c>
      <c r="G831" t="s">
        <v>24</v>
      </c>
      <c r="H831" t="s">
        <v>18</v>
      </c>
      <c r="I831" t="s">
        <v>34</v>
      </c>
      <c r="J831" t="s">
        <v>20</v>
      </c>
      <c r="K831" t="s">
        <v>44</v>
      </c>
      <c r="L831" t="s">
        <v>22</v>
      </c>
      <c r="M831">
        <v>8124.1</v>
      </c>
      <c r="N831">
        <v>2020</v>
      </c>
      <c r="O831">
        <v>5</v>
      </c>
    </row>
    <row r="832" spans="1:15" x14ac:dyDescent="0.3">
      <c r="A832" s="1">
        <v>43963</v>
      </c>
      <c r="B832">
        <v>1000000044</v>
      </c>
      <c r="C832" t="s">
        <v>23</v>
      </c>
      <c r="D832">
        <v>1</v>
      </c>
      <c r="E832">
        <v>8000.57</v>
      </c>
      <c r="F832" t="s">
        <v>16</v>
      </c>
      <c r="G832" t="s">
        <v>24</v>
      </c>
      <c r="H832" t="s">
        <v>30</v>
      </c>
      <c r="I832" t="s">
        <v>31</v>
      </c>
      <c r="J832" t="s">
        <v>36</v>
      </c>
      <c r="K832" t="s">
        <v>52</v>
      </c>
      <c r="L832" t="s">
        <v>28</v>
      </c>
      <c r="M832">
        <v>8000.57</v>
      </c>
      <c r="N832">
        <v>2020</v>
      </c>
      <c r="O832">
        <v>5</v>
      </c>
    </row>
    <row r="833" spans="1:15" x14ac:dyDescent="0.3">
      <c r="A833" s="1">
        <v>43963</v>
      </c>
      <c r="B833">
        <v>1000005873</v>
      </c>
      <c r="C833" t="s">
        <v>23</v>
      </c>
      <c r="D833">
        <v>1</v>
      </c>
      <c r="E833">
        <v>7000.37</v>
      </c>
      <c r="F833" t="s">
        <v>16</v>
      </c>
      <c r="G833" t="s">
        <v>24</v>
      </c>
      <c r="H833" t="s">
        <v>18</v>
      </c>
      <c r="I833" t="s">
        <v>19</v>
      </c>
      <c r="J833" t="s">
        <v>20</v>
      </c>
      <c r="K833" t="s">
        <v>21</v>
      </c>
      <c r="L833" t="s">
        <v>28</v>
      </c>
      <c r="M833">
        <v>7000.37</v>
      </c>
      <c r="N833">
        <v>2020</v>
      </c>
      <c r="O833">
        <v>5</v>
      </c>
    </row>
    <row r="834" spans="1:15" x14ac:dyDescent="0.3">
      <c r="A834" s="1">
        <v>43963</v>
      </c>
      <c r="B834">
        <v>1000000037</v>
      </c>
      <c r="C834" t="s">
        <v>23</v>
      </c>
      <c r="D834">
        <v>1</v>
      </c>
      <c r="E834">
        <v>6000.18</v>
      </c>
      <c r="F834" t="s">
        <v>16</v>
      </c>
      <c r="G834" t="s">
        <v>24</v>
      </c>
      <c r="H834" t="s">
        <v>18</v>
      </c>
      <c r="I834" t="s">
        <v>19</v>
      </c>
      <c r="J834" t="s">
        <v>20</v>
      </c>
      <c r="K834" t="s">
        <v>21</v>
      </c>
      <c r="L834" t="s">
        <v>22</v>
      </c>
      <c r="M834">
        <v>6000.18</v>
      </c>
      <c r="N834">
        <v>2020</v>
      </c>
      <c r="O834">
        <v>5</v>
      </c>
    </row>
    <row r="835" spans="1:15" x14ac:dyDescent="0.3">
      <c r="A835" s="1">
        <v>43963</v>
      </c>
      <c r="B835">
        <v>1000000237</v>
      </c>
      <c r="C835" t="s">
        <v>42</v>
      </c>
      <c r="D835">
        <v>1</v>
      </c>
      <c r="E835">
        <v>6000.13</v>
      </c>
      <c r="F835" t="s">
        <v>16</v>
      </c>
      <c r="G835" t="s">
        <v>43</v>
      </c>
      <c r="H835" t="s">
        <v>18</v>
      </c>
      <c r="I835" t="s">
        <v>40</v>
      </c>
      <c r="J835" t="s">
        <v>26</v>
      </c>
      <c r="K835" t="s">
        <v>41</v>
      </c>
      <c r="L835" t="s">
        <v>22</v>
      </c>
      <c r="M835">
        <v>6000.13</v>
      </c>
      <c r="N835">
        <v>2020</v>
      </c>
      <c r="O835">
        <v>5</v>
      </c>
    </row>
    <row r="836" spans="1:15" x14ac:dyDescent="0.3">
      <c r="A836" s="1">
        <v>43963</v>
      </c>
      <c r="B836">
        <v>1000000033</v>
      </c>
      <c r="C836" t="s">
        <v>23</v>
      </c>
      <c r="D836">
        <v>1</v>
      </c>
      <c r="E836">
        <v>4000.03</v>
      </c>
      <c r="F836" t="s">
        <v>16</v>
      </c>
      <c r="G836" t="s">
        <v>24</v>
      </c>
      <c r="H836" t="s">
        <v>18</v>
      </c>
      <c r="I836" t="s">
        <v>25</v>
      </c>
      <c r="J836" t="s">
        <v>26</v>
      </c>
      <c r="K836" t="s">
        <v>27</v>
      </c>
      <c r="L836" t="s">
        <v>22</v>
      </c>
      <c r="M836">
        <v>4000.03</v>
      </c>
      <c r="N836">
        <v>2020</v>
      </c>
      <c r="O836">
        <v>5</v>
      </c>
    </row>
    <row r="837" spans="1:15" x14ac:dyDescent="0.3">
      <c r="A837" s="1">
        <v>43963</v>
      </c>
      <c r="B837">
        <v>1000000237</v>
      </c>
      <c r="C837" t="s">
        <v>15</v>
      </c>
      <c r="D837">
        <v>1</v>
      </c>
      <c r="E837">
        <v>700.57</v>
      </c>
      <c r="F837" t="s">
        <v>16</v>
      </c>
      <c r="G837" t="s">
        <v>17</v>
      </c>
      <c r="H837" t="s">
        <v>18</v>
      </c>
      <c r="I837" t="s">
        <v>40</v>
      </c>
      <c r="J837" t="s">
        <v>26</v>
      </c>
      <c r="K837" t="s">
        <v>41</v>
      </c>
      <c r="L837" t="s">
        <v>22</v>
      </c>
      <c r="M837">
        <v>700.57</v>
      </c>
      <c r="N837">
        <v>2020</v>
      </c>
      <c r="O837">
        <v>5</v>
      </c>
    </row>
    <row r="838" spans="1:15" x14ac:dyDescent="0.3">
      <c r="A838" s="1">
        <v>43963</v>
      </c>
      <c r="B838">
        <v>1000001513</v>
      </c>
      <c r="C838" t="s">
        <v>23</v>
      </c>
      <c r="D838">
        <v>1</v>
      </c>
      <c r="E838">
        <v>500.59</v>
      </c>
      <c r="F838" t="s">
        <v>16</v>
      </c>
      <c r="G838" t="s">
        <v>24</v>
      </c>
      <c r="H838" t="s">
        <v>18</v>
      </c>
      <c r="I838" t="s">
        <v>34</v>
      </c>
      <c r="J838" t="s">
        <v>20</v>
      </c>
      <c r="K838" t="s">
        <v>44</v>
      </c>
      <c r="L838" t="s">
        <v>22</v>
      </c>
      <c r="M838">
        <v>500.59</v>
      </c>
      <c r="N838">
        <v>2020</v>
      </c>
      <c r="O838">
        <v>5</v>
      </c>
    </row>
    <row r="839" spans="1:15" x14ac:dyDescent="0.3">
      <c r="A839" s="1">
        <v>43963</v>
      </c>
      <c r="B839">
        <v>1000000047</v>
      </c>
      <c r="C839" t="s">
        <v>23</v>
      </c>
      <c r="D839">
        <v>1</v>
      </c>
      <c r="E839">
        <v>500.03</v>
      </c>
      <c r="F839" t="s">
        <v>16</v>
      </c>
      <c r="G839" t="s">
        <v>24</v>
      </c>
      <c r="H839" t="s">
        <v>47</v>
      </c>
      <c r="I839" t="s">
        <v>48</v>
      </c>
      <c r="J839" t="s">
        <v>26</v>
      </c>
      <c r="K839" t="s">
        <v>50</v>
      </c>
      <c r="L839" t="s">
        <v>22</v>
      </c>
      <c r="M839">
        <v>500.03</v>
      </c>
      <c r="N839">
        <v>2020</v>
      </c>
      <c r="O839">
        <v>5</v>
      </c>
    </row>
    <row r="840" spans="1:15" x14ac:dyDescent="0.3">
      <c r="A840" s="1">
        <v>43964</v>
      </c>
      <c r="B840">
        <v>1000000237</v>
      </c>
      <c r="C840" t="s">
        <v>42</v>
      </c>
      <c r="D840">
        <v>5</v>
      </c>
      <c r="E840">
        <v>68002.01999999999</v>
      </c>
      <c r="F840" t="s">
        <v>16</v>
      </c>
      <c r="G840" t="s">
        <v>43</v>
      </c>
      <c r="H840" t="s">
        <v>18</v>
      </c>
      <c r="I840" t="s">
        <v>40</v>
      </c>
      <c r="J840" t="s">
        <v>26</v>
      </c>
      <c r="K840" t="s">
        <v>41</v>
      </c>
      <c r="L840" t="s">
        <v>22</v>
      </c>
      <c r="M840">
        <v>13600.404</v>
      </c>
      <c r="N840">
        <v>2020</v>
      </c>
      <c r="O840">
        <v>5</v>
      </c>
    </row>
    <row r="841" spans="1:15" x14ac:dyDescent="0.3">
      <c r="A841" s="1">
        <v>43964</v>
      </c>
      <c r="B841">
        <v>1000004256</v>
      </c>
      <c r="C841" t="s">
        <v>15</v>
      </c>
      <c r="D841">
        <v>3</v>
      </c>
      <c r="E841">
        <v>36000.43</v>
      </c>
      <c r="F841" t="s">
        <v>16</v>
      </c>
      <c r="G841" t="s">
        <v>17</v>
      </c>
      <c r="H841" t="s">
        <v>18</v>
      </c>
      <c r="I841" t="s">
        <v>40</v>
      </c>
      <c r="J841" t="s">
        <v>26</v>
      </c>
      <c r="K841" t="s">
        <v>41</v>
      </c>
      <c r="L841" t="s">
        <v>22</v>
      </c>
      <c r="M841">
        <v>12000.143333333332</v>
      </c>
      <c r="N841">
        <v>2020</v>
      </c>
      <c r="O841">
        <v>5</v>
      </c>
    </row>
    <row r="842" spans="1:15" x14ac:dyDescent="0.3">
      <c r="A842" s="1">
        <v>43964</v>
      </c>
      <c r="B842">
        <v>1000000036</v>
      </c>
      <c r="C842" t="s">
        <v>23</v>
      </c>
      <c r="D842">
        <v>2</v>
      </c>
      <c r="E842">
        <v>28001.200000000001</v>
      </c>
      <c r="F842" t="s">
        <v>16</v>
      </c>
      <c r="G842" t="s">
        <v>24</v>
      </c>
      <c r="H842" t="s">
        <v>47</v>
      </c>
      <c r="I842" t="s">
        <v>48</v>
      </c>
      <c r="J842" t="s">
        <v>36</v>
      </c>
      <c r="K842" t="s">
        <v>49</v>
      </c>
      <c r="L842" t="s">
        <v>28</v>
      </c>
      <c r="M842">
        <v>14000.6</v>
      </c>
      <c r="N842">
        <v>2020</v>
      </c>
      <c r="O842">
        <v>5</v>
      </c>
    </row>
    <row r="843" spans="1:15" x14ac:dyDescent="0.3">
      <c r="A843" s="1">
        <v>43964</v>
      </c>
      <c r="B843">
        <v>1000000040</v>
      </c>
      <c r="C843" t="s">
        <v>15</v>
      </c>
      <c r="D843">
        <v>1</v>
      </c>
      <c r="E843">
        <v>22000.28</v>
      </c>
      <c r="F843" t="s">
        <v>16</v>
      </c>
      <c r="G843" t="s">
        <v>17</v>
      </c>
      <c r="H843" t="s">
        <v>30</v>
      </c>
      <c r="I843" t="s">
        <v>31</v>
      </c>
      <c r="J843" t="s">
        <v>32</v>
      </c>
      <c r="K843" t="s">
        <v>33</v>
      </c>
      <c r="L843" t="s">
        <v>28</v>
      </c>
      <c r="M843">
        <v>22000.28</v>
      </c>
      <c r="N843">
        <v>2020</v>
      </c>
      <c r="O843">
        <v>5</v>
      </c>
    </row>
    <row r="844" spans="1:15" x14ac:dyDescent="0.3">
      <c r="A844" s="1">
        <v>43964</v>
      </c>
      <c r="B844">
        <v>1000000031</v>
      </c>
      <c r="C844" t="s">
        <v>23</v>
      </c>
      <c r="D844">
        <v>2</v>
      </c>
      <c r="E844">
        <v>19884.509999999998</v>
      </c>
      <c r="F844" t="s">
        <v>16</v>
      </c>
      <c r="G844" t="s">
        <v>24</v>
      </c>
      <c r="H844" t="s">
        <v>18</v>
      </c>
      <c r="I844" t="s">
        <v>19</v>
      </c>
      <c r="J844" t="s">
        <v>26</v>
      </c>
      <c r="K844" t="s">
        <v>29</v>
      </c>
      <c r="L844" t="s">
        <v>28</v>
      </c>
      <c r="M844">
        <v>9942.2549999999992</v>
      </c>
      <c r="N844">
        <v>2020</v>
      </c>
      <c r="O844">
        <v>5</v>
      </c>
    </row>
    <row r="845" spans="1:15" x14ac:dyDescent="0.3">
      <c r="A845" s="1">
        <v>43964</v>
      </c>
      <c r="B845">
        <v>1000000050</v>
      </c>
      <c r="C845" t="s">
        <v>15</v>
      </c>
      <c r="D845">
        <v>2</v>
      </c>
      <c r="E845">
        <v>17001.11</v>
      </c>
      <c r="F845" t="s">
        <v>16</v>
      </c>
      <c r="G845" t="s">
        <v>17</v>
      </c>
      <c r="H845" t="s">
        <v>18</v>
      </c>
      <c r="I845" t="s">
        <v>40</v>
      </c>
      <c r="J845" t="s">
        <v>26</v>
      </c>
      <c r="K845" t="s">
        <v>41</v>
      </c>
      <c r="L845" t="s">
        <v>22</v>
      </c>
      <c r="M845">
        <v>8500.5550000000003</v>
      </c>
      <c r="N845">
        <v>2020</v>
      </c>
      <c r="O845">
        <v>5</v>
      </c>
    </row>
    <row r="846" spans="1:15" x14ac:dyDescent="0.3">
      <c r="A846" s="1">
        <v>43964</v>
      </c>
      <c r="B846">
        <v>1000000034</v>
      </c>
      <c r="C846" t="s">
        <v>15</v>
      </c>
      <c r="D846">
        <v>1</v>
      </c>
      <c r="E846">
        <v>17000.64</v>
      </c>
      <c r="F846" t="s">
        <v>16</v>
      </c>
      <c r="G846" t="s">
        <v>17</v>
      </c>
      <c r="H846" t="s">
        <v>18</v>
      </c>
      <c r="I846" t="s">
        <v>25</v>
      </c>
      <c r="J846" t="s">
        <v>26</v>
      </c>
      <c r="K846" t="s">
        <v>27</v>
      </c>
      <c r="L846" t="s">
        <v>22</v>
      </c>
      <c r="M846">
        <v>17000.64</v>
      </c>
      <c r="N846">
        <v>2020</v>
      </c>
      <c r="O846">
        <v>5</v>
      </c>
    </row>
    <row r="847" spans="1:15" x14ac:dyDescent="0.3">
      <c r="A847" s="1">
        <v>43964</v>
      </c>
      <c r="B847">
        <v>1000003803</v>
      </c>
      <c r="C847" t="s">
        <v>23</v>
      </c>
      <c r="D847">
        <v>1</v>
      </c>
      <c r="E847">
        <v>17000.03</v>
      </c>
      <c r="F847" t="s">
        <v>16</v>
      </c>
      <c r="G847" t="s">
        <v>24</v>
      </c>
      <c r="H847" t="s">
        <v>30</v>
      </c>
      <c r="I847" t="s">
        <v>31</v>
      </c>
      <c r="J847" t="s">
        <v>36</v>
      </c>
      <c r="K847" t="s">
        <v>52</v>
      </c>
      <c r="L847" t="s">
        <v>22</v>
      </c>
      <c r="M847">
        <v>17000.03</v>
      </c>
      <c r="N847">
        <v>2020</v>
      </c>
      <c r="O847">
        <v>5</v>
      </c>
    </row>
    <row r="848" spans="1:15" x14ac:dyDescent="0.3">
      <c r="A848" s="1">
        <v>43964</v>
      </c>
      <c r="B848">
        <v>1000000104</v>
      </c>
      <c r="C848" t="s">
        <v>15</v>
      </c>
      <c r="D848">
        <v>1</v>
      </c>
      <c r="E848">
        <v>15000.41</v>
      </c>
      <c r="F848" t="s">
        <v>16</v>
      </c>
      <c r="G848" t="s">
        <v>17</v>
      </c>
      <c r="H848" t="s">
        <v>18</v>
      </c>
      <c r="I848" t="s">
        <v>40</v>
      </c>
      <c r="J848" t="s">
        <v>26</v>
      </c>
      <c r="K848" t="s">
        <v>41</v>
      </c>
      <c r="L848" t="s">
        <v>22</v>
      </c>
      <c r="M848">
        <v>15000.41</v>
      </c>
      <c r="N848">
        <v>2020</v>
      </c>
      <c r="O848">
        <v>5</v>
      </c>
    </row>
    <row r="849" spans="1:15" x14ac:dyDescent="0.3">
      <c r="A849" s="1">
        <v>43964</v>
      </c>
      <c r="B849">
        <v>1000000045</v>
      </c>
      <c r="C849" t="s">
        <v>15</v>
      </c>
      <c r="D849">
        <v>2</v>
      </c>
      <c r="E849">
        <v>15000.16</v>
      </c>
      <c r="F849" t="s">
        <v>16</v>
      </c>
      <c r="G849" t="s">
        <v>17</v>
      </c>
      <c r="H849" t="s">
        <v>47</v>
      </c>
      <c r="I849" t="s">
        <v>59</v>
      </c>
      <c r="J849" t="s">
        <v>26</v>
      </c>
      <c r="K849" t="s">
        <v>60</v>
      </c>
      <c r="L849" t="s">
        <v>22</v>
      </c>
      <c r="M849">
        <v>7500.08</v>
      </c>
      <c r="N849">
        <v>2020</v>
      </c>
      <c r="O849">
        <v>5</v>
      </c>
    </row>
    <row r="850" spans="1:15" x14ac:dyDescent="0.3">
      <c r="A850" s="1">
        <v>43964</v>
      </c>
      <c r="B850">
        <v>1000005873</v>
      </c>
      <c r="C850" t="s">
        <v>15</v>
      </c>
      <c r="D850">
        <v>1</v>
      </c>
      <c r="E850">
        <v>13000</v>
      </c>
      <c r="F850" t="s">
        <v>16</v>
      </c>
      <c r="G850" t="s">
        <v>17</v>
      </c>
      <c r="H850" t="s">
        <v>18</v>
      </c>
      <c r="I850" t="s">
        <v>19</v>
      </c>
      <c r="J850" t="s">
        <v>20</v>
      </c>
      <c r="K850" t="s">
        <v>21</v>
      </c>
      <c r="L850" t="s">
        <v>28</v>
      </c>
      <c r="M850">
        <v>13000</v>
      </c>
      <c r="N850">
        <v>2020</v>
      </c>
      <c r="O850">
        <v>5</v>
      </c>
    </row>
    <row r="851" spans="1:15" x14ac:dyDescent="0.3">
      <c r="A851" s="1">
        <v>43964</v>
      </c>
      <c r="B851">
        <v>1000000056</v>
      </c>
      <c r="C851" t="s">
        <v>23</v>
      </c>
      <c r="D851">
        <v>3</v>
      </c>
      <c r="E851">
        <v>11286.080000000002</v>
      </c>
      <c r="F851" t="s">
        <v>16</v>
      </c>
      <c r="G851" t="s">
        <v>24</v>
      </c>
      <c r="H851" t="s">
        <v>18</v>
      </c>
      <c r="I851" t="s">
        <v>34</v>
      </c>
      <c r="J851" t="s">
        <v>26</v>
      </c>
      <c r="K851" t="s">
        <v>35</v>
      </c>
      <c r="L851" t="s">
        <v>28</v>
      </c>
      <c r="M851">
        <v>3762.0266666666671</v>
      </c>
      <c r="N851">
        <v>2020</v>
      </c>
      <c r="O851">
        <v>5</v>
      </c>
    </row>
    <row r="852" spans="1:15" x14ac:dyDescent="0.3">
      <c r="A852" s="1">
        <v>43964</v>
      </c>
      <c r="B852">
        <v>1000000068</v>
      </c>
      <c r="C852" t="s">
        <v>15</v>
      </c>
      <c r="D852">
        <v>1</v>
      </c>
      <c r="E852">
        <v>10000.15</v>
      </c>
      <c r="F852" t="s">
        <v>16</v>
      </c>
      <c r="G852" t="s">
        <v>17</v>
      </c>
      <c r="H852" t="s">
        <v>30</v>
      </c>
      <c r="I852" t="s">
        <v>55</v>
      </c>
      <c r="J852" t="s">
        <v>26</v>
      </c>
      <c r="K852" t="s">
        <v>56</v>
      </c>
      <c r="L852" t="s">
        <v>28</v>
      </c>
      <c r="M852">
        <v>10000.15</v>
      </c>
      <c r="N852">
        <v>2020</v>
      </c>
      <c r="O852">
        <v>5</v>
      </c>
    </row>
    <row r="853" spans="1:15" x14ac:dyDescent="0.3">
      <c r="A853" s="1">
        <v>43964</v>
      </c>
      <c r="B853">
        <v>1000003926</v>
      </c>
      <c r="C853" t="s">
        <v>23</v>
      </c>
      <c r="D853">
        <v>1</v>
      </c>
      <c r="E853">
        <v>9000.14</v>
      </c>
      <c r="F853" t="s">
        <v>16</v>
      </c>
      <c r="G853" t="s">
        <v>24</v>
      </c>
      <c r="H853" t="s">
        <v>47</v>
      </c>
      <c r="I853" t="s">
        <v>48</v>
      </c>
      <c r="J853" t="s">
        <v>26</v>
      </c>
      <c r="K853" t="s">
        <v>50</v>
      </c>
      <c r="L853" t="s">
        <v>28</v>
      </c>
      <c r="M853">
        <v>9000.14</v>
      </c>
      <c r="N853">
        <v>2020</v>
      </c>
      <c r="O853">
        <v>5</v>
      </c>
    </row>
    <row r="854" spans="1:15" x14ac:dyDescent="0.3">
      <c r="A854" s="1">
        <v>43964</v>
      </c>
      <c r="B854">
        <v>1000000928</v>
      </c>
      <c r="C854" t="s">
        <v>23</v>
      </c>
      <c r="D854">
        <v>1</v>
      </c>
      <c r="E854">
        <v>8000.49</v>
      </c>
      <c r="F854" t="s">
        <v>16</v>
      </c>
      <c r="G854" t="s">
        <v>24</v>
      </c>
      <c r="H854" t="s">
        <v>30</v>
      </c>
      <c r="I854" t="s">
        <v>57</v>
      </c>
      <c r="J854" t="s">
        <v>26</v>
      </c>
      <c r="K854" t="s">
        <v>58</v>
      </c>
      <c r="L854" t="s">
        <v>22</v>
      </c>
      <c r="M854">
        <v>8000.49</v>
      </c>
      <c r="N854">
        <v>2020</v>
      </c>
      <c r="O854">
        <v>5</v>
      </c>
    </row>
    <row r="855" spans="1:15" x14ac:dyDescent="0.3">
      <c r="A855" s="1">
        <v>43964</v>
      </c>
      <c r="B855">
        <v>1000000028</v>
      </c>
      <c r="C855" t="s">
        <v>15</v>
      </c>
      <c r="D855">
        <v>1</v>
      </c>
      <c r="E855">
        <v>7999.94</v>
      </c>
      <c r="F855" t="s">
        <v>16</v>
      </c>
      <c r="G855" t="s">
        <v>17</v>
      </c>
      <c r="H855" t="s">
        <v>18</v>
      </c>
      <c r="I855" t="s">
        <v>19</v>
      </c>
      <c r="J855" t="s">
        <v>20</v>
      </c>
      <c r="K855" t="s">
        <v>21</v>
      </c>
      <c r="L855" t="s">
        <v>22</v>
      </c>
      <c r="M855">
        <v>7999.94</v>
      </c>
      <c r="N855">
        <v>2020</v>
      </c>
      <c r="O855">
        <v>5</v>
      </c>
    </row>
    <row r="856" spans="1:15" x14ac:dyDescent="0.3">
      <c r="A856" s="1">
        <v>43964</v>
      </c>
      <c r="B856">
        <v>1000000041</v>
      </c>
      <c r="C856" t="s">
        <v>15</v>
      </c>
      <c r="D856">
        <v>1</v>
      </c>
      <c r="E856">
        <v>7000.63</v>
      </c>
      <c r="F856" t="s">
        <v>16</v>
      </c>
      <c r="G856" t="s">
        <v>17</v>
      </c>
      <c r="H856" t="s">
        <v>30</v>
      </c>
      <c r="I856" t="s">
        <v>31</v>
      </c>
      <c r="J856" t="s">
        <v>32</v>
      </c>
      <c r="K856" t="s">
        <v>33</v>
      </c>
      <c r="L856" t="s">
        <v>22</v>
      </c>
      <c r="M856">
        <v>7000.63</v>
      </c>
      <c r="N856">
        <v>2020</v>
      </c>
      <c r="O856">
        <v>5</v>
      </c>
    </row>
    <row r="857" spans="1:15" x14ac:dyDescent="0.3">
      <c r="A857" s="1">
        <v>43964</v>
      </c>
      <c r="B857">
        <v>1000000039</v>
      </c>
      <c r="C857" t="s">
        <v>23</v>
      </c>
      <c r="D857">
        <v>1</v>
      </c>
      <c r="E857">
        <v>7000.42</v>
      </c>
      <c r="F857" t="s">
        <v>16</v>
      </c>
      <c r="G857" t="s">
        <v>24</v>
      </c>
      <c r="H857" t="s">
        <v>18</v>
      </c>
      <c r="I857" t="s">
        <v>25</v>
      </c>
      <c r="J857" t="s">
        <v>20</v>
      </c>
      <c r="K857" t="s">
        <v>51</v>
      </c>
      <c r="L857" t="s">
        <v>28</v>
      </c>
      <c r="M857">
        <v>7000.42</v>
      </c>
      <c r="N857">
        <v>2020</v>
      </c>
      <c r="O857">
        <v>5</v>
      </c>
    </row>
    <row r="858" spans="1:15" x14ac:dyDescent="0.3">
      <c r="A858" s="1">
        <v>43964</v>
      </c>
      <c r="B858">
        <v>1000000032</v>
      </c>
      <c r="C858" t="s">
        <v>15</v>
      </c>
      <c r="D858">
        <v>1</v>
      </c>
      <c r="E858">
        <v>6500.72</v>
      </c>
      <c r="F858" t="s">
        <v>16</v>
      </c>
      <c r="G858" t="s">
        <v>17</v>
      </c>
      <c r="H858" t="s">
        <v>18</v>
      </c>
      <c r="I858" t="s">
        <v>25</v>
      </c>
      <c r="J858" t="s">
        <v>26</v>
      </c>
      <c r="K858" t="s">
        <v>27</v>
      </c>
      <c r="L858" t="s">
        <v>28</v>
      </c>
      <c r="M858">
        <v>6500.72</v>
      </c>
      <c r="N858">
        <v>2020</v>
      </c>
      <c r="O858">
        <v>5</v>
      </c>
    </row>
    <row r="859" spans="1:15" x14ac:dyDescent="0.3">
      <c r="A859" s="1">
        <v>43964</v>
      </c>
      <c r="B859">
        <v>1000000050</v>
      </c>
      <c r="C859" t="s">
        <v>42</v>
      </c>
      <c r="D859">
        <v>1</v>
      </c>
      <c r="E859">
        <v>6000.62</v>
      </c>
      <c r="F859" t="s">
        <v>16</v>
      </c>
      <c r="G859" t="s">
        <v>43</v>
      </c>
      <c r="H859" t="s">
        <v>18</v>
      </c>
      <c r="I859" t="s">
        <v>40</v>
      </c>
      <c r="J859" t="s">
        <v>26</v>
      </c>
      <c r="K859" t="s">
        <v>41</v>
      </c>
      <c r="L859" t="s">
        <v>22</v>
      </c>
      <c r="M859">
        <v>6000.62</v>
      </c>
      <c r="N859">
        <v>2020</v>
      </c>
      <c r="O859">
        <v>5</v>
      </c>
    </row>
    <row r="860" spans="1:15" x14ac:dyDescent="0.3">
      <c r="A860" s="1">
        <v>43964</v>
      </c>
      <c r="B860">
        <v>1000000054</v>
      </c>
      <c r="C860" t="s">
        <v>23</v>
      </c>
      <c r="D860">
        <v>1</v>
      </c>
      <c r="E860">
        <v>5000.7</v>
      </c>
      <c r="F860" t="s">
        <v>16</v>
      </c>
      <c r="G860" t="s">
        <v>24</v>
      </c>
      <c r="H860" t="s">
        <v>18</v>
      </c>
      <c r="I860" t="s">
        <v>34</v>
      </c>
      <c r="J860" t="s">
        <v>26</v>
      </c>
      <c r="K860" t="s">
        <v>35</v>
      </c>
      <c r="L860" t="s">
        <v>22</v>
      </c>
      <c r="M860">
        <v>5000.7</v>
      </c>
      <c r="N860">
        <v>2020</v>
      </c>
      <c r="O860">
        <v>5</v>
      </c>
    </row>
    <row r="861" spans="1:15" x14ac:dyDescent="0.3">
      <c r="A861" s="1">
        <v>43964</v>
      </c>
      <c r="B861">
        <v>1000000030</v>
      </c>
      <c r="C861" t="s">
        <v>15</v>
      </c>
      <c r="D861">
        <v>1</v>
      </c>
      <c r="E861">
        <v>5000.45</v>
      </c>
      <c r="F861" t="s">
        <v>16</v>
      </c>
      <c r="G861" t="s">
        <v>17</v>
      </c>
      <c r="H861" t="s">
        <v>47</v>
      </c>
      <c r="I861" t="s">
        <v>48</v>
      </c>
      <c r="J861" t="s">
        <v>36</v>
      </c>
      <c r="K861" t="s">
        <v>49</v>
      </c>
      <c r="L861" t="s">
        <v>22</v>
      </c>
      <c r="M861">
        <v>5000.45</v>
      </c>
      <c r="N861">
        <v>2020</v>
      </c>
      <c r="O861">
        <v>5</v>
      </c>
    </row>
    <row r="862" spans="1:15" x14ac:dyDescent="0.3">
      <c r="A862" s="1">
        <v>43964</v>
      </c>
      <c r="B862">
        <v>1000000045</v>
      </c>
      <c r="C862" t="s">
        <v>23</v>
      </c>
      <c r="D862">
        <v>1</v>
      </c>
      <c r="E862">
        <v>5000.34</v>
      </c>
      <c r="F862" t="s">
        <v>16</v>
      </c>
      <c r="G862" t="s">
        <v>24</v>
      </c>
      <c r="H862" t="s">
        <v>47</v>
      </c>
      <c r="I862" t="s">
        <v>59</v>
      </c>
      <c r="J862" t="s">
        <v>26</v>
      </c>
      <c r="K862" t="s">
        <v>60</v>
      </c>
      <c r="L862" t="s">
        <v>22</v>
      </c>
      <c r="M862">
        <v>5000.34</v>
      </c>
      <c r="N862">
        <v>2020</v>
      </c>
      <c r="O862">
        <v>5</v>
      </c>
    </row>
    <row r="863" spans="1:15" x14ac:dyDescent="0.3">
      <c r="A863" s="1">
        <v>43964</v>
      </c>
      <c r="B863">
        <v>1000000056</v>
      </c>
      <c r="C863" t="s">
        <v>42</v>
      </c>
      <c r="D863">
        <v>1</v>
      </c>
      <c r="E863">
        <v>4000.68</v>
      </c>
      <c r="F863" t="s">
        <v>16</v>
      </c>
      <c r="G863" t="s">
        <v>43</v>
      </c>
      <c r="H863" t="s">
        <v>18</v>
      </c>
      <c r="I863" t="s">
        <v>34</v>
      </c>
      <c r="J863" t="s">
        <v>26</v>
      </c>
      <c r="K863" t="s">
        <v>35</v>
      </c>
      <c r="L863" t="s">
        <v>28</v>
      </c>
      <c r="M863">
        <v>4000.68</v>
      </c>
      <c r="N863">
        <v>2020</v>
      </c>
      <c r="O863">
        <v>5</v>
      </c>
    </row>
    <row r="864" spans="1:15" x14ac:dyDescent="0.3">
      <c r="A864" s="1">
        <v>43964</v>
      </c>
      <c r="B864">
        <v>1000000039</v>
      </c>
      <c r="C864" t="s">
        <v>42</v>
      </c>
      <c r="D864">
        <v>1</v>
      </c>
      <c r="E864">
        <v>4000.04</v>
      </c>
      <c r="F864" t="s">
        <v>16</v>
      </c>
      <c r="G864" t="s">
        <v>43</v>
      </c>
      <c r="H864" t="s">
        <v>18</v>
      </c>
      <c r="I864" t="s">
        <v>25</v>
      </c>
      <c r="J864" t="s">
        <v>20</v>
      </c>
      <c r="K864" t="s">
        <v>51</v>
      </c>
      <c r="L864" t="s">
        <v>28</v>
      </c>
      <c r="M864">
        <v>4000.04</v>
      </c>
      <c r="N864">
        <v>2020</v>
      </c>
      <c r="O864">
        <v>5</v>
      </c>
    </row>
    <row r="865" spans="1:15" x14ac:dyDescent="0.3">
      <c r="A865" s="1">
        <v>43964</v>
      </c>
      <c r="B865">
        <v>1000000052</v>
      </c>
      <c r="C865" t="s">
        <v>23</v>
      </c>
      <c r="D865">
        <v>1</v>
      </c>
      <c r="E865">
        <v>3000.51</v>
      </c>
      <c r="F865" t="s">
        <v>16</v>
      </c>
      <c r="G865" t="s">
        <v>24</v>
      </c>
      <c r="H865" t="s">
        <v>18</v>
      </c>
      <c r="I865" t="s">
        <v>34</v>
      </c>
      <c r="J865" t="s">
        <v>20</v>
      </c>
      <c r="K865" t="s">
        <v>44</v>
      </c>
      <c r="L865" t="s">
        <v>22</v>
      </c>
      <c r="M865">
        <v>3000.51</v>
      </c>
      <c r="N865">
        <v>2020</v>
      </c>
      <c r="O865">
        <v>5</v>
      </c>
    </row>
    <row r="866" spans="1:15" x14ac:dyDescent="0.3">
      <c r="A866" s="1">
        <v>43964</v>
      </c>
      <c r="B866">
        <v>1000000031</v>
      </c>
      <c r="C866" t="s">
        <v>15</v>
      </c>
      <c r="D866">
        <v>2</v>
      </c>
      <c r="E866">
        <v>2900.69</v>
      </c>
      <c r="F866" t="s">
        <v>16</v>
      </c>
      <c r="G866" t="s">
        <v>17</v>
      </c>
      <c r="H866" t="s">
        <v>18</v>
      </c>
      <c r="I866" t="s">
        <v>19</v>
      </c>
      <c r="J866" t="s">
        <v>26</v>
      </c>
      <c r="K866" t="s">
        <v>29</v>
      </c>
      <c r="L866" t="s">
        <v>28</v>
      </c>
      <c r="M866">
        <v>1450.345</v>
      </c>
      <c r="N866">
        <v>2020</v>
      </c>
      <c r="O866">
        <v>5</v>
      </c>
    </row>
    <row r="867" spans="1:15" x14ac:dyDescent="0.3">
      <c r="A867" s="1">
        <v>43964</v>
      </c>
      <c r="B867">
        <v>1000000044</v>
      </c>
      <c r="C867" t="s">
        <v>15</v>
      </c>
      <c r="D867">
        <v>1</v>
      </c>
      <c r="E867">
        <v>2887</v>
      </c>
      <c r="F867" t="s">
        <v>16</v>
      </c>
      <c r="G867" t="s">
        <v>17</v>
      </c>
      <c r="H867" t="s">
        <v>30</v>
      </c>
      <c r="I867" t="s">
        <v>31</v>
      </c>
      <c r="J867" t="s">
        <v>36</v>
      </c>
      <c r="K867" t="s">
        <v>52</v>
      </c>
      <c r="L867" t="s">
        <v>28</v>
      </c>
      <c r="M867">
        <v>2887</v>
      </c>
      <c r="N867">
        <v>2020</v>
      </c>
      <c r="O867">
        <v>5</v>
      </c>
    </row>
    <row r="868" spans="1:15" x14ac:dyDescent="0.3">
      <c r="A868" s="1">
        <v>43964</v>
      </c>
      <c r="B868">
        <v>1000000033</v>
      </c>
      <c r="C868" t="s">
        <v>23</v>
      </c>
      <c r="D868">
        <v>1</v>
      </c>
      <c r="E868">
        <v>2000.74</v>
      </c>
      <c r="F868" t="s">
        <v>16</v>
      </c>
      <c r="G868" t="s">
        <v>24</v>
      </c>
      <c r="H868" t="s">
        <v>18</v>
      </c>
      <c r="I868" t="s">
        <v>25</v>
      </c>
      <c r="J868" t="s">
        <v>26</v>
      </c>
      <c r="K868" t="s">
        <v>27</v>
      </c>
      <c r="L868" t="s">
        <v>22</v>
      </c>
      <c r="M868">
        <v>2000.74</v>
      </c>
      <c r="N868">
        <v>2020</v>
      </c>
      <c r="O868">
        <v>5</v>
      </c>
    </row>
    <row r="869" spans="1:15" x14ac:dyDescent="0.3">
      <c r="A869" s="1">
        <v>43964</v>
      </c>
      <c r="B869">
        <v>1000000031</v>
      </c>
      <c r="C869" t="s">
        <v>42</v>
      </c>
      <c r="D869">
        <v>1</v>
      </c>
      <c r="E869">
        <v>2000.22</v>
      </c>
      <c r="F869" t="s">
        <v>16</v>
      </c>
      <c r="G869" t="s">
        <v>43</v>
      </c>
      <c r="H869" t="s">
        <v>18</v>
      </c>
      <c r="I869" t="s">
        <v>19</v>
      </c>
      <c r="J869" t="s">
        <v>26</v>
      </c>
      <c r="K869" t="s">
        <v>29</v>
      </c>
      <c r="L869" t="s">
        <v>28</v>
      </c>
      <c r="M869">
        <v>2000.22</v>
      </c>
      <c r="N869">
        <v>2020</v>
      </c>
      <c r="O869">
        <v>5</v>
      </c>
    </row>
    <row r="870" spans="1:15" x14ac:dyDescent="0.3">
      <c r="A870" s="1">
        <v>43964</v>
      </c>
      <c r="B870">
        <v>1000000037</v>
      </c>
      <c r="C870" t="s">
        <v>42</v>
      </c>
      <c r="D870">
        <v>1</v>
      </c>
      <c r="E870">
        <v>2000.12</v>
      </c>
      <c r="F870" t="s">
        <v>16</v>
      </c>
      <c r="G870" t="s">
        <v>43</v>
      </c>
      <c r="H870" t="s">
        <v>18</v>
      </c>
      <c r="I870" t="s">
        <v>19</v>
      </c>
      <c r="J870" t="s">
        <v>20</v>
      </c>
      <c r="K870" t="s">
        <v>21</v>
      </c>
      <c r="L870" t="s">
        <v>22</v>
      </c>
      <c r="M870">
        <v>2000.12</v>
      </c>
      <c r="N870">
        <v>2020</v>
      </c>
      <c r="O870">
        <v>5</v>
      </c>
    </row>
    <row r="871" spans="1:15" x14ac:dyDescent="0.3">
      <c r="A871" s="1">
        <v>43964</v>
      </c>
      <c r="B871">
        <v>1000000044</v>
      </c>
      <c r="C871" t="s">
        <v>23</v>
      </c>
      <c r="D871">
        <v>1</v>
      </c>
      <c r="E871">
        <v>1778.37</v>
      </c>
      <c r="F871" t="s">
        <v>16</v>
      </c>
      <c r="G871" t="s">
        <v>24</v>
      </c>
      <c r="H871" t="s">
        <v>30</v>
      </c>
      <c r="I871" t="s">
        <v>31</v>
      </c>
      <c r="J871" t="s">
        <v>36</v>
      </c>
      <c r="K871" t="s">
        <v>52</v>
      </c>
      <c r="L871" t="s">
        <v>28</v>
      </c>
      <c r="M871">
        <v>1778.37</v>
      </c>
      <c r="N871">
        <v>2020</v>
      </c>
      <c r="O871">
        <v>5</v>
      </c>
    </row>
    <row r="872" spans="1:15" x14ac:dyDescent="0.3">
      <c r="A872" s="1">
        <v>43964</v>
      </c>
      <c r="B872">
        <v>1000000057</v>
      </c>
      <c r="C872" t="s">
        <v>23</v>
      </c>
      <c r="D872">
        <v>1</v>
      </c>
      <c r="E872">
        <v>742.41</v>
      </c>
      <c r="F872" t="s">
        <v>16</v>
      </c>
      <c r="G872" t="s">
        <v>24</v>
      </c>
      <c r="H872" t="s">
        <v>18</v>
      </c>
      <c r="I872" t="s">
        <v>34</v>
      </c>
      <c r="J872" t="s">
        <v>20</v>
      </c>
      <c r="K872" t="s">
        <v>44</v>
      </c>
      <c r="L872" t="s">
        <v>22</v>
      </c>
      <c r="M872">
        <v>742.41</v>
      </c>
      <c r="N872">
        <v>2020</v>
      </c>
      <c r="O872">
        <v>5</v>
      </c>
    </row>
    <row r="873" spans="1:15" x14ac:dyDescent="0.3">
      <c r="A873" s="1">
        <v>43964</v>
      </c>
      <c r="B873">
        <v>1000000028</v>
      </c>
      <c r="C873" t="s">
        <v>23</v>
      </c>
      <c r="D873">
        <v>1</v>
      </c>
      <c r="E873">
        <v>580.30999999999995</v>
      </c>
      <c r="F873" t="s">
        <v>16</v>
      </c>
      <c r="G873" t="s">
        <v>24</v>
      </c>
      <c r="H873" t="s">
        <v>18</v>
      </c>
      <c r="I873" t="s">
        <v>19</v>
      </c>
      <c r="J873" t="s">
        <v>20</v>
      </c>
      <c r="K873" t="s">
        <v>21</v>
      </c>
      <c r="L873" t="s">
        <v>22</v>
      </c>
      <c r="M873">
        <v>580.30999999999995</v>
      </c>
      <c r="N873">
        <v>2020</v>
      </c>
      <c r="O873">
        <v>5</v>
      </c>
    </row>
    <row r="874" spans="1:15" x14ac:dyDescent="0.3">
      <c r="A874" s="1">
        <v>43965</v>
      </c>
      <c r="B874">
        <v>1000003926</v>
      </c>
      <c r="C874" t="s">
        <v>23</v>
      </c>
      <c r="D874">
        <v>2</v>
      </c>
      <c r="E874">
        <v>37000.44</v>
      </c>
      <c r="F874" t="s">
        <v>16</v>
      </c>
      <c r="G874" t="s">
        <v>24</v>
      </c>
      <c r="H874" t="s">
        <v>47</v>
      </c>
      <c r="I874" t="s">
        <v>48</v>
      </c>
      <c r="J874" t="s">
        <v>26</v>
      </c>
      <c r="K874" t="s">
        <v>50</v>
      </c>
      <c r="L874" t="s">
        <v>28</v>
      </c>
      <c r="M874">
        <v>18500.22</v>
      </c>
      <c r="N874">
        <v>2020</v>
      </c>
      <c r="O874">
        <v>5</v>
      </c>
    </row>
    <row r="875" spans="1:15" x14ac:dyDescent="0.3">
      <c r="A875" s="1">
        <v>43965</v>
      </c>
      <c r="B875">
        <v>1000000036</v>
      </c>
      <c r="C875" t="s">
        <v>15</v>
      </c>
      <c r="D875">
        <v>2</v>
      </c>
      <c r="E875">
        <v>33000.479999999996</v>
      </c>
      <c r="F875" t="s">
        <v>16</v>
      </c>
      <c r="G875" t="s">
        <v>17</v>
      </c>
      <c r="H875" t="s">
        <v>47</v>
      </c>
      <c r="I875" t="s">
        <v>48</v>
      </c>
      <c r="J875" t="s">
        <v>36</v>
      </c>
      <c r="K875" t="s">
        <v>49</v>
      </c>
      <c r="L875" t="s">
        <v>28</v>
      </c>
      <c r="M875">
        <v>16500.239999999998</v>
      </c>
      <c r="N875">
        <v>2020</v>
      </c>
      <c r="O875">
        <v>5</v>
      </c>
    </row>
    <row r="876" spans="1:15" x14ac:dyDescent="0.3">
      <c r="A876" s="1">
        <v>43965</v>
      </c>
      <c r="B876">
        <v>1000000044</v>
      </c>
      <c r="C876" t="s">
        <v>15</v>
      </c>
      <c r="D876">
        <v>1</v>
      </c>
      <c r="E876">
        <v>25000.74</v>
      </c>
      <c r="F876" t="s">
        <v>16</v>
      </c>
      <c r="G876" t="s">
        <v>17</v>
      </c>
      <c r="H876" t="s">
        <v>30</v>
      </c>
      <c r="I876" t="s">
        <v>31</v>
      </c>
      <c r="J876" t="s">
        <v>36</v>
      </c>
      <c r="K876" t="s">
        <v>52</v>
      </c>
      <c r="L876" t="s">
        <v>28</v>
      </c>
      <c r="M876">
        <v>25000.74</v>
      </c>
      <c r="N876">
        <v>2020</v>
      </c>
      <c r="O876">
        <v>5</v>
      </c>
    </row>
    <row r="877" spans="1:15" x14ac:dyDescent="0.3">
      <c r="A877" s="1">
        <v>43965</v>
      </c>
      <c r="B877">
        <v>1000003989</v>
      </c>
      <c r="C877" t="s">
        <v>42</v>
      </c>
      <c r="D877">
        <v>1</v>
      </c>
      <c r="E877">
        <v>24999.94</v>
      </c>
      <c r="F877" t="s">
        <v>16</v>
      </c>
      <c r="G877" t="s">
        <v>43</v>
      </c>
      <c r="H877" t="s">
        <v>30</v>
      </c>
      <c r="I877" t="s">
        <v>31</v>
      </c>
      <c r="J877" t="s">
        <v>36</v>
      </c>
      <c r="K877" t="s">
        <v>52</v>
      </c>
      <c r="L877" t="s">
        <v>22</v>
      </c>
      <c r="M877">
        <v>24999.94</v>
      </c>
      <c r="N877">
        <v>2020</v>
      </c>
      <c r="O877">
        <v>5</v>
      </c>
    </row>
    <row r="878" spans="1:15" x14ac:dyDescent="0.3">
      <c r="A878" s="1">
        <v>43965</v>
      </c>
      <c r="B878">
        <v>1000000041</v>
      </c>
      <c r="C878" t="s">
        <v>42</v>
      </c>
      <c r="D878">
        <v>2</v>
      </c>
      <c r="E878">
        <v>22000</v>
      </c>
      <c r="F878" t="s">
        <v>16</v>
      </c>
      <c r="G878" t="s">
        <v>43</v>
      </c>
      <c r="H878" t="s">
        <v>30</v>
      </c>
      <c r="I878" t="s">
        <v>31</v>
      </c>
      <c r="J878" t="s">
        <v>32</v>
      </c>
      <c r="K878" t="s">
        <v>33</v>
      </c>
      <c r="L878" t="s">
        <v>22</v>
      </c>
      <c r="M878">
        <v>11000</v>
      </c>
      <c r="N878">
        <v>2020</v>
      </c>
      <c r="O878">
        <v>5</v>
      </c>
    </row>
    <row r="879" spans="1:15" x14ac:dyDescent="0.3">
      <c r="A879" s="1">
        <v>43965</v>
      </c>
      <c r="B879">
        <v>1000003803</v>
      </c>
      <c r="C879" t="s">
        <v>23</v>
      </c>
      <c r="D879">
        <v>2</v>
      </c>
      <c r="E879">
        <v>20000.940000000002</v>
      </c>
      <c r="F879" t="s">
        <v>16</v>
      </c>
      <c r="G879" t="s">
        <v>24</v>
      </c>
      <c r="H879" t="s">
        <v>30</v>
      </c>
      <c r="I879" t="s">
        <v>31</v>
      </c>
      <c r="J879" t="s">
        <v>36</v>
      </c>
      <c r="K879" t="s">
        <v>52</v>
      </c>
      <c r="L879" t="s">
        <v>22</v>
      </c>
      <c r="M879">
        <v>10000.469999999999</v>
      </c>
      <c r="N879">
        <v>2020</v>
      </c>
      <c r="O879">
        <v>5</v>
      </c>
    </row>
    <row r="880" spans="1:15" x14ac:dyDescent="0.3">
      <c r="A880" s="1">
        <v>43965</v>
      </c>
      <c r="B880">
        <v>1000000057</v>
      </c>
      <c r="C880" t="s">
        <v>15</v>
      </c>
      <c r="D880">
        <v>1</v>
      </c>
      <c r="E880">
        <v>19999.98</v>
      </c>
      <c r="F880" t="s">
        <v>16</v>
      </c>
      <c r="G880" t="s">
        <v>17</v>
      </c>
      <c r="H880" t="s">
        <v>18</v>
      </c>
      <c r="I880" t="s">
        <v>34</v>
      </c>
      <c r="J880" t="s">
        <v>20</v>
      </c>
      <c r="K880" t="s">
        <v>44</v>
      </c>
      <c r="L880" t="s">
        <v>22</v>
      </c>
      <c r="M880">
        <v>19999.98</v>
      </c>
      <c r="N880">
        <v>2020</v>
      </c>
      <c r="O880">
        <v>5</v>
      </c>
    </row>
    <row r="881" spans="1:15" x14ac:dyDescent="0.3">
      <c r="A881" s="1">
        <v>43965</v>
      </c>
      <c r="B881">
        <v>1000000928</v>
      </c>
      <c r="C881" t="s">
        <v>15</v>
      </c>
      <c r="D881">
        <v>2</v>
      </c>
      <c r="E881">
        <v>19001.190000000002</v>
      </c>
      <c r="F881" t="s">
        <v>16</v>
      </c>
      <c r="G881" t="s">
        <v>17</v>
      </c>
      <c r="H881" t="s">
        <v>30</v>
      </c>
      <c r="I881" t="s">
        <v>57</v>
      </c>
      <c r="J881" t="s">
        <v>26</v>
      </c>
      <c r="K881" t="s">
        <v>58</v>
      </c>
      <c r="L881" t="s">
        <v>22</v>
      </c>
      <c r="M881">
        <v>9500.5950000000012</v>
      </c>
      <c r="N881">
        <v>2020</v>
      </c>
      <c r="O881">
        <v>5</v>
      </c>
    </row>
    <row r="882" spans="1:15" x14ac:dyDescent="0.3">
      <c r="A882" s="1">
        <v>43965</v>
      </c>
      <c r="B882">
        <v>1000005873</v>
      </c>
      <c r="C882" t="s">
        <v>23</v>
      </c>
      <c r="D882">
        <v>1</v>
      </c>
      <c r="E882">
        <v>17999.98</v>
      </c>
      <c r="F882" t="s">
        <v>16</v>
      </c>
      <c r="G882" t="s">
        <v>24</v>
      </c>
      <c r="H882" t="s">
        <v>18</v>
      </c>
      <c r="I882" t="s">
        <v>19</v>
      </c>
      <c r="J882" t="s">
        <v>20</v>
      </c>
      <c r="K882" t="s">
        <v>21</v>
      </c>
      <c r="L882" t="s">
        <v>28</v>
      </c>
      <c r="M882">
        <v>17999.98</v>
      </c>
      <c r="N882">
        <v>2020</v>
      </c>
      <c r="O882">
        <v>5</v>
      </c>
    </row>
    <row r="883" spans="1:15" x14ac:dyDescent="0.3">
      <c r="A883" s="1">
        <v>43965</v>
      </c>
      <c r="B883">
        <v>1000000029</v>
      </c>
      <c r="C883" t="s">
        <v>15</v>
      </c>
      <c r="D883">
        <v>1</v>
      </c>
      <c r="E883">
        <v>17000.66</v>
      </c>
      <c r="F883" t="s">
        <v>16</v>
      </c>
      <c r="G883" t="s">
        <v>17</v>
      </c>
      <c r="H883" t="s">
        <v>18</v>
      </c>
      <c r="I883" t="s">
        <v>19</v>
      </c>
      <c r="J883" t="s">
        <v>20</v>
      </c>
      <c r="K883" t="s">
        <v>21</v>
      </c>
      <c r="L883" t="s">
        <v>22</v>
      </c>
      <c r="M883">
        <v>17000.66</v>
      </c>
      <c r="N883">
        <v>2020</v>
      </c>
      <c r="O883">
        <v>5</v>
      </c>
    </row>
    <row r="884" spans="1:15" x14ac:dyDescent="0.3">
      <c r="A884" s="1">
        <v>43965</v>
      </c>
      <c r="B884">
        <v>1000000040</v>
      </c>
      <c r="C884" t="s">
        <v>15</v>
      </c>
      <c r="D884">
        <v>1</v>
      </c>
      <c r="E884">
        <v>17000.23</v>
      </c>
      <c r="F884" t="s">
        <v>16</v>
      </c>
      <c r="G884" t="s">
        <v>17</v>
      </c>
      <c r="H884" t="s">
        <v>30</v>
      </c>
      <c r="I884" t="s">
        <v>31</v>
      </c>
      <c r="J884" t="s">
        <v>32</v>
      </c>
      <c r="K884" t="s">
        <v>33</v>
      </c>
      <c r="L884" t="s">
        <v>28</v>
      </c>
      <c r="M884">
        <v>17000.23</v>
      </c>
      <c r="N884">
        <v>2020</v>
      </c>
      <c r="O884">
        <v>5</v>
      </c>
    </row>
    <row r="885" spans="1:15" x14ac:dyDescent="0.3">
      <c r="A885" s="1">
        <v>43965</v>
      </c>
      <c r="B885">
        <v>1000000576</v>
      </c>
      <c r="C885" t="s">
        <v>42</v>
      </c>
      <c r="D885">
        <v>1</v>
      </c>
      <c r="E885">
        <v>17000.05</v>
      </c>
      <c r="F885" t="s">
        <v>16</v>
      </c>
      <c r="G885" t="s">
        <v>43</v>
      </c>
      <c r="H885" t="s">
        <v>18</v>
      </c>
      <c r="I885" t="s">
        <v>25</v>
      </c>
      <c r="J885" t="s">
        <v>36</v>
      </c>
      <c r="K885" t="s">
        <v>37</v>
      </c>
      <c r="L885" t="s">
        <v>22</v>
      </c>
      <c r="M885">
        <v>17000.05</v>
      </c>
      <c r="N885">
        <v>2020</v>
      </c>
      <c r="O885">
        <v>5</v>
      </c>
    </row>
    <row r="886" spans="1:15" x14ac:dyDescent="0.3">
      <c r="A886" s="1">
        <v>43965</v>
      </c>
      <c r="B886">
        <v>1000000050</v>
      </c>
      <c r="C886" t="s">
        <v>42</v>
      </c>
      <c r="D886">
        <v>1</v>
      </c>
      <c r="E886">
        <v>16000.67</v>
      </c>
      <c r="F886" t="s">
        <v>16</v>
      </c>
      <c r="G886" t="s">
        <v>43</v>
      </c>
      <c r="H886" t="s">
        <v>18</v>
      </c>
      <c r="I886" t="s">
        <v>40</v>
      </c>
      <c r="J886" t="s">
        <v>26</v>
      </c>
      <c r="K886" t="s">
        <v>41</v>
      </c>
      <c r="L886" t="s">
        <v>22</v>
      </c>
      <c r="M886">
        <v>16000.67</v>
      </c>
      <c r="N886">
        <v>2020</v>
      </c>
      <c r="O886">
        <v>5</v>
      </c>
    </row>
    <row r="887" spans="1:15" x14ac:dyDescent="0.3">
      <c r="A887" s="1">
        <v>43965</v>
      </c>
      <c r="B887">
        <v>1000000034</v>
      </c>
      <c r="C887" t="s">
        <v>15</v>
      </c>
      <c r="D887">
        <v>1</v>
      </c>
      <c r="E887">
        <v>13999.98</v>
      </c>
      <c r="F887" t="s">
        <v>16</v>
      </c>
      <c r="G887" t="s">
        <v>17</v>
      </c>
      <c r="H887" t="s">
        <v>18</v>
      </c>
      <c r="I887" t="s">
        <v>25</v>
      </c>
      <c r="J887" t="s">
        <v>26</v>
      </c>
      <c r="K887" t="s">
        <v>27</v>
      </c>
      <c r="L887" t="s">
        <v>22</v>
      </c>
      <c r="M887">
        <v>13999.98</v>
      </c>
      <c r="N887">
        <v>2020</v>
      </c>
      <c r="O887">
        <v>5</v>
      </c>
    </row>
    <row r="888" spans="1:15" x14ac:dyDescent="0.3">
      <c r="A888" s="1">
        <v>43965</v>
      </c>
      <c r="B888">
        <v>1000000045</v>
      </c>
      <c r="C888" t="s">
        <v>15</v>
      </c>
      <c r="D888">
        <v>2</v>
      </c>
      <c r="E888">
        <v>12500.619999999999</v>
      </c>
      <c r="F888" t="s">
        <v>16</v>
      </c>
      <c r="G888" t="s">
        <v>17</v>
      </c>
      <c r="H888" t="s">
        <v>47</v>
      </c>
      <c r="I888" t="s">
        <v>59</v>
      </c>
      <c r="J888" t="s">
        <v>26</v>
      </c>
      <c r="K888" t="s">
        <v>60</v>
      </c>
      <c r="L888" t="s">
        <v>22</v>
      </c>
      <c r="M888">
        <v>6250.3099999999995</v>
      </c>
      <c r="N888">
        <v>2020</v>
      </c>
      <c r="O888">
        <v>5</v>
      </c>
    </row>
    <row r="889" spans="1:15" x14ac:dyDescent="0.3">
      <c r="A889" s="1">
        <v>43965</v>
      </c>
      <c r="B889">
        <v>1000000040</v>
      </c>
      <c r="C889" t="s">
        <v>23</v>
      </c>
      <c r="D889">
        <v>1</v>
      </c>
      <c r="E889">
        <v>11000.72</v>
      </c>
      <c r="F889" t="s">
        <v>16</v>
      </c>
      <c r="G889" t="s">
        <v>24</v>
      </c>
      <c r="H889" t="s">
        <v>30</v>
      </c>
      <c r="I889" t="s">
        <v>31</v>
      </c>
      <c r="J889" t="s">
        <v>32</v>
      </c>
      <c r="K889" t="s">
        <v>33</v>
      </c>
      <c r="L889" t="s">
        <v>28</v>
      </c>
      <c r="M889">
        <v>11000.72</v>
      </c>
      <c r="N889">
        <v>2020</v>
      </c>
      <c r="O889">
        <v>5</v>
      </c>
    </row>
    <row r="890" spans="1:15" x14ac:dyDescent="0.3">
      <c r="A890" s="1">
        <v>43965</v>
      </c>
      <c r="B890">
        <v>1000000028</v>
      </c>
      <c r="C890" t="s">
        <v>42</v>
      </c>
      <c r="D890">
        <v>1</v>
      </c>
      <c r="E890">
        <v>11000.58</v>
      </c>
      <c r="F890" t="s">
        <v>16</v>
      </c>
      <c r="G890" t="s">
        <v>43</v>
      </c>
      <c r="H890" t="s">
        <v>18</v>
      </c>
      <c r="I890" t="s">
        <v>19</v>
      </c>
      <c r="J890" t="s">
        <v>20</v>
      </c>
      <c r="K890" t="s">
        <v>21</v>
      </c>
      <c r="L890" t="s">
        <v>22</v>
      </c>
      <c r="M890">
        <v>11000.58</v>
      </c>
      <c r="N890">
        <v>2020</v>
      </c>
      <c r="O890">
        <v>5</v>
      </c>
    </row>
    <row r="891" spans="1:15" x14ac:dyDescent="0.3">
      <c r="A891" s="1">
        <v>43965</v>
      </c>
      <c r="B891">
        <v>1000000566</v>
      </c>
      <c r="C891" t="s">
        <v>15</v>
      </c>
      <c r="D891">
        <v>2</v>
      </c>
      <c r="E891">
        <v>10500.779999999999</v>
      </c>
      <c r="F891" t="s">
        <v>16</v>
      </c>
      <c r="G891" t="s">
        <v>17</v>
      </c>
      <c r="H891" t="s">
        <v>47</v>
      </c>
      <c r="I891" t="s">
        <v>48</v>
      </c>
      <c r="J891" t="s">
        <v>36</v>
      </c>
      <c r="K891" t="s">
        <v>49</v>
      </c>
      <c r="L891" t="s">
        <v>22</v>
      </c>
      <c r="M891">
        <v>5250.3899999999994</v>
      </c>
      <c r="N891">
        <v>2020</v>
      </c>
      <c r="O891">
        <v>5</v>
      </c>
    </row>
    <row r="892" spans="1:15" x14ac:dyDescent="0.3">
      <c r="A892" s="1">
        <v>43965</v>
      </c>
      <c r="B892">
        <v>1000000068</v>
      </c>
      <c r="C892" t="s">
        <v>15</v>
      </c>
      <c r="D892">
        <v>1</v>
      </c>
      <c r="E892">
        <v>10000.709999999999</v>
      </c>
      <c r="F892" t="s">
        <v>16</v>
      </c>
      <c r="G892" t="s">
        <v>17</v>
      </c>
      <c r="H892" t="s">
        <v>30</v>
      </c>
      <c r="I892" t="s">
        <v>55</v>
      </c>
      <c r="J892" t="s">
        <v>26</v>
      </c>
      <c r="K892" t="s">
        <v>56</v>
      </c>
      <c r="L892" t="s">
        <v>28</v>
      </c>
      <c r="M892">
        <v>10000.709999999999</v>
      </c>
      <c r="N892">
        <v>2020</v>
      </c>
      <c r="O892">
        <v>5</v>
      </c>
    </row>
    <row r="893" spans="1:15" x14ac:dyDescent="0.3">
      <c r="A893" s="1">
        <v>43965</v>
      </c>
      <c r="B893">
        <v>1000000030</v>
      </c>
      <c r="C893" t="s">
        <v>42</v>
      </c>
      <c r="D893">
        <v>1</v>
      </c>
      <c r="E893">
        <v>10000.27</v>
      </c>
      <c r="F893" t="s">
        <v>16</v>
      </c>
      <c r="G893" t="s">
        <v>43</v>
      </c>
      <c r="H893" t="s">
        <v>47</v>
      </c>
      <c r="I893" t="s">
        <v>48</v>
      </c>
      <c r="J893" t="s">
        <v>36</v>
      </c>
      <c r="K893" t="s">
        <v>49</v>
      </c>
      <c r="L893" t="s">
        <v>22</v>
      </c>
      <c r="M893">
        <v>10000.27</v>
      </c>
      <c r="N893">
        <v>2020</v>
      </c>
      <c r="O893">
        <v>5</v>
      </c>
    </row>
    <row r="894" spans="1:15" x14ac:dyDescent="0.3">
      <c r="A894" s="1">
        <v>43965</v>
      </c>
      <c r="B894">
        <v>1000000056</v>
      </c>
      <c r="C894" t="s">
        <v>23</v>
      </c>
      <c r="D894">
        <v>1</v>
      </c>
      <c r="E894">
        <v>10000.09</v>
      </c>
      <c r="F894" t="s">
        <v>16</v>
      </c>
      <c r="G894" t="s">
        <v>24</v>
      </c>
      <c r="H894" t="s">
        <v>18</v>
      </c>
      <c r="I894" t="s">
        <v>34</v>
      </c>
      <c r="J894" t="s">
        <v>26</v>
      </c>
      <c r="K894" t="s">
        <v>35</v>
      </c>
      <c r="L894" t="s">
        <v>28</v>
      </c>
      <c r="M894">
        <v>10000.09</v>
      </c>
      <c r="N894">
        <v>2020</v>
      </c>
      <c r="O894">
        <v>5</v>
      </c>
    </row>
    <row r="895" spans="1:15" x14ac:dyDescent="0.3">
      <c r="A895" s="1">
        <v>43965</v>
      </c>
      <c r="B895">
        <v>1000000566</v>
      </c>
      <c r="C895" t="s">
        <v>23</v>
      </c>
      <c r="D895">
        <v>1</v>
      </c>
      <c r="E895">
        <v>7499.94</v>
      </c>
      <c r="F895" t="s">
        <v>16</v>
      </c>
      <c r="G895" t="s">
        <v>24</v>
      </c>
      <c r="H895" t="s">
        <v>47</v>
      </c>
      <c r="I895" t="s">
        <v>48</v>
      </c>
      <c r="J895" t="s">
        <v>36</v>
      </c>
      <c r="K895" t="s">
        <v>49</v>
      </c>
      <c r="L895" t="s">
        <v>22</v>
      </c>
      <c r="M895">
        <v>7499.94</v>
      </c>
      <c r="N895">
        <v>2020</v>
      </c>
      <c r="O895">
        <v>5</v>
      </c>
    </row>
    <row r="896" spans="1:15" x14ac:dyDescent="0.3">
      <c r="A896" s="1">
        <v>43965</v>
      </c>
      <c r="B896">
        <v>1000004256</v>
      </c>
      <c r="C896" t="s">
        <v>42</v>
      </c>
      <c r="D896">
        <v>1</v>
      </c>
      <c r="E896">
        <v>7000.65</v>
      </c>
      <c r="F896" t="s">
        <v>16</v>
      </c>
      <c r="G896" t="s">
        <v>43</v>
      </c>
      <c r="H896" t="s">
        <v>18</v>
      </c>
      <c r="I896" t="s">
        <v>40</v>
      </c>
      <c r="J896" t="s">
        <v>26</v>
      </c>
      <c r="K896" t="s">
        <v>41</v>
      </c>
      <c r="L896" t="s">
        <v>22</v>
      </c>
      <c r="M896">
        <v>7000.65</v>
      </c>
      <c r="N896">
        <v>2020</v>
      </c>
      <c r="O896">
        <v>5</v>
      </c>
    </row>
    <row r="897" spans="1:15" x14ac:dyDescent="0.3">
      <c r="A897" s="1">
        <v>43965</v>
      </c>
      <c r="B897">
        <v>1000000037</v>
      </c>
      <c r="C897" t="s">
        <v>23</v>
      </c>
      <c r="D897">
        <v>1</v>
      </c>
      <c r="E897">
        <v>6000.66</v>
      </c>
      <c r="F897" t="s">
        <v>16</v>
      </c>
      <c r="G897" t="s">
        <v>24</v>
      </c>
      <c r="H897" t="s">
        <v>18</v>
      </c>
      <c r="I897" t="s">
        <v>19</v>
      </c>
      <c r="J897" t="s">
        <v>20</v>
      </c>
      <c r="K897" t="s">
        <v>21</v>
      </c>
      <c r="L897" t="s">
        <v>22</v>
      </c>
      <c r="M897">
        <v>6000.66</v>
      </c>
      <c r="N897">
        <v>2020</v>
      </c>
      <c r="O897">
        <v>5</v>
      </c>
    </row>
    <row r="898" spans="1:15" x14ac:dyDescent="0.3">
      <c r="A898" s="1">
        <v>43965</v>
      </c>
      <c r="B898">
        <v>1000000576</v>
      </c>
      <c r="C898" t="s">
        <v>15</v>
      </c>
      <c r="D898">
        <v>1</v>
      </c>
      <c r="E898">
        <v>6000.16</v>
      </c>
      <c r="F898" t="s">
        <v>16</v>
      </c>
      <c r="G898" t="s">
        <v>17</v>
      </c>
      <c r="H898" t="s">
        <v>18</v>
      </c>
      <c r="I898" t="s">
        <v>25</v>
      </c>
      <c r="J898" t="s">
        <v>36</v>
      </c>
      <c r="K898" t="s">
        <v>37</v>
      </c>
      <c r="L898" t="s">
        <v>22</v>
      </c>
      <c r="M898">
        <v>6000.16</v>
      </c>
      <c r="N898">
        <v>2020</v>
      </c>
      <c r="O898">
        <v>5</v>
      </c>
    </row>
    <row r="899" spans="1:15" x14ac:dyDescent="0.3">
      <c r="A899" s="1">
        <v>43965</v>
      </c>
      <c r="B899">
        <v>1000000032</v>
      </c>
      <c r="C899" t="s">
        <v>23</v>
      </c>
      <c r="D899">
        <v>1</v>
      </c>
      <c r="E899">
        <v>6000.13</v>
      </c>
      <c r="F899" t="s">
        <v>16</v>
      </c>
      <c r="G899" t="s">
        <v>24</v>
      </c>
      <c r="H899" t="s">
        <v>18</v>
      </c>
      <c r="I899" t="s">
        <v>25</v>
      </c>
      <c r="J899" t="s">
        <v>26</v>
      </c>
      <c r="K899" t="s">
        <v>27</v>
      </c>
      <c r="L899" t="s">
        <v>28</v>
      </c>
      <c r="M899">
        <v>6000.13</v>
      </c>
      <c r="N899">
        <v>2020</v>
      </c>
      <c r="O899">
        <v>5</v>
      </c>
    </row>
    <row r="900" spans="1:15" x14ac:dyDescent="0.3">
      <c r="A900" s="1">
        <v>43965</v>
      </c>
      <c r="B900">
        <v>1000000035</v>
      </c>
      <c r="C900" t="s">
        <v>15</v>
      </c>
      <c r="D900">
        <v>1</v>
      </c>
      <c r="E900">
        <v>5000.63</v>
      </c>
      <c r="F900" t="s">
        <v>16</v>
      </c>
      <c r="G900" t="s">
        <v>17</v>
      </c>
      <c r="H900" t="s">
        <v>18</v>
      </c>
      <c r="I900" t="s">
        <v>25</v>
      </c>
      <c r="J900" t="s">
        <v>36</v>
      </c>
      <c r="K900" t="s">
        <v>37</v>
      </c>
      <c r="L900" t="s">
        <v>22</v>
      </c>
      <c r="M900">
        <v>5000.63</v>
      </c>
      <c r="N900">
        <v>2020</v>
      </c>
      <c r="O900">
        <v>5</v>
      </c>
    </row>
    <row r="901" spans="1:15" x14ac:dyDescent="0.3">
      <c r="A901" s="1">
        <v>43965</v>
      </c>
      <c r="B901">
        <v>1000000036</v>
      </c>
      <c r="C901" t="s">
        <v>23</v>
      </c>
      <c r="D901">
        <v>1</v>
      </c>
      <c r="E901">
        <v>5000.54</v>
      </c>
      <c r="F901" t="s">
        <v>16</v>
      </c>
      <c r="G901" t="s">
        <v>24</v>
      </c>
      <c r="H901" t="s">
        <v>47</v>
      </c>
      <c r="I901" t="s">
        <v>48</v>
      </c>
      <c r="J901" t="s">
        <v>36</v>
      </c>
      <c r="K901" t="s">
        <v>49</v>
      </c>
      <c r="L901" t="s">
        <v>28</v>
      </c>
      <c r="M901">
        <v>5000.54</v>
      </c>
      <c r="N901">
        <v>2020</v>
      </c>
      <c r="O901">
        <v>5</v>
      </c>
    </row>
    <row r="902" spans="1:15" x14ac:dyDescent="0.3">
      <c r="A902" s="1">
        <v>43965</v>
      </c>
      <c r="B902">
        <v>1000004256</v>
      </c>
      <c r="C902" t="s">
        <v>23</v>
      </c>
      <c r="D902">
        <v>1</v>
      </c>
      <c r="E902">
        <v>5000.4399999999996</v>
      </c>
      <c r="F902" t="s">
        <v>16</v>
      </c>
      <c r="G902" t="s">
        <v>24</v>
      </c>
      <c r="H902" t="s">
        <v>18</v>
      </c>
      <c r="I902" t="s">
        <v>40</v>
      </c>
      <c r="J902" t="s">
        <v>26</v>
      </c>
      <c r="K902" t="s">
        <v>41</v>
      </c>
      <c r="L902" t="s">
        <v>22</v>
      </c>
      <c r="M902">
        <v>5000.4399999999996</v>
      </c>
      <c r="N902">
        <v>2020</v>
      </c>
      <c r="O902">
        <v>5</v>
      </c>
    </row>
    <row r="903" spans="1:15" x14ac:dyDescent="0.3">
      <c r="A903" s="1">
        <v>43965</v>
      </c>
      <c r="B903">
        <v>1000000050</v>
      </c>
      <c r="C903" t="s">
        <v>23</v>
      </c>
      <c r="D903">
        <v>2</v>
      </c>
      <c r="E903">
        <v>4457.6400000000003</v>
      </c>
      <c r="F903" t="s">
        <v>16</v>
      </c>
      <c r="G903" t="s">
        <v>24</v>
      </c>
      <c r="H903" t="s">
        <v>18</v>
      </c>
      <c r="I903" t="s">
        <v>40</v>
      </c>
      <c r="J903" t="s">
        <v>26</v>
      </c>
      <c r="K903" t="s">
        <v>41</v>
      </c>
      <c r="L903" t="s">
        <v>22</v>
      </c>
      <c r="M903">
        <v>2228.8200000000002</v>
      </c>
      <c r="N903">
        <v>2020</v>
      </c>
      <c r="O903">
        <v>5</v>
      </c>
    </row>
    <row r="904" spans="1:15" x14ac:dyDescent="0.3">
      <c r="A904" s="1">
        <v>43965</v>
      </c>
      <c r="B904">
        <v>1000000068</v>
      </c>
      <c r="C904" t="s">
        <v>23</v>
      </c>
      <c r="D904">
        <v>1</v>
      </c>
      <c r="E904">
        <v>3317.76</v>
      </c>
      <c r="F904" t="s">
        <v>16</v>
      </c>
      <c r="G904" t="s">
        <v>24</v>
      </c>
      <c r="H904" t="s">
        <v>30</v>
      </c>
      <c r="I904" t="s">
        <v>55</v>
      </c>
      <c r="J904" t="s">
        <v>26</v>
      </c>
      <c r="K904" t="s">
        <v>56</v>
      </c>
      <c r="L904" t="s">
        <v>28</v>
      </c>
      <c r="M904">
        <v>3317.76</v>
      </c>
      <c r="N904">
        <v>2020</v>
      </c>
      <c r="O904">
        <v>5</v>
      </c>
    </row>
    <row r="905" spans="1:15" x14ac:dyDescent="0.3">
      <c r="A905" s="1">
        <v>43965</v>
      </c>
      <c r="B905">
        <v>1000000045</v>
      </c>
      <c r="C905" t="s">
        <v>23</v>
      </c>
      <c r="D905">
        <v>1</v>
      </c>
      <c r="E905">
        <v>3200.55</v>
      </c>
      <c r="F905" t="s">
        <v>16</v>
      </c>
      <c r="G905" t="s">
        <v>24</v>
      </c>
      <c r="H905" t="s">
        <v>47</v>
      </c>
      <c r="I905" t="s">
        <v>59</v>
      </c>
      <c r="J905" t="s">
        <v>26</v>
      </c>
      <c r="K905" t="s">
        <v>60</v>
      </c>
      <c r="L905" t="s">
        <v>22</v>
      </c>
      <c r="M905">
        <v>3200.55</v>
      </c>
      <c r="N905">
        <v>2020</v>
      </c>
      <c r="O905">
        <v>5</v>
      </c>
    </row>
    <row r="906" spans="1:15" x14ac:dyDescent="0.3">
      <c r="A906" s="1">
        <v>43965</v>
      </c>
      <c r="B906">
        <v>1000000576</v>
      </c>
      <c r="C906" t="s">
        <v>23</v>
      </c>
      <c r="D906">
        <v>1</v>
      </c>
      <c r="E906">
        <v>1880.02</v>
      </c>
      <c r="F906" t="s">
        <v>16</v>
      </c>
      <c r="G906" t="s">
        <v>24</v>
      </c>
      <c r="H906" t="s">
        <v>18</v>
      </c>
      <c r="I906" t="s">
        <v>25</v>
      </c>
      <c r="J906" t="s">
        <v>36</v>
      </c>
      <c r="K906" t="s">
        <v>37</v>
      </c>
      <c r="L906" t="s">
        <v>22</v>
      </c>
      <c r="M906">
        <v>1880.02</v>
      </c>
      <c r="N906">
        <v>2020</v>
      </c>
      <c r="O906">
        <v>5</v>
      </c>
    </row>
    <row r="907" spans="1:15" x14ac:dyDescent="0.3">
      <c r="A907" s="1">
        <v>43965</v>
      </c>
      <c r="B907">
        <v>1000000044</v>
      </c>
      <c r="C907" t="s">
        <v>23</v>
      </c>
      <c r="D907">
        <v>1</v>
      </c>
      <c r="E907">
        <v>1131</v>
      </c>
      <c r="F907" t="s">
        <v>16</v>
      </c>
      <c r="G907" t="s">
        <v>24</v>
      </c>
      <c r="H907" t="s">
        <v>30</v>
      </c>
      <c r="I907" t="s">
        <v>31</v>
      </c>
      <c r="J907" t="s">
        <v>36</v>
      </c>
      <c r="K907" t="s">
        <v>52</v>
      </c>
      <c r="L907" t="s">
        <v>28</v>
      </c>
      <c r="M907">
        <v>1131</v>
      </c>
      <c r="N907">
        <v>2020</v>
      </c>
      <c r="O907">
        <v>5</v>
      </c>
    </row>
    <row r="908" spans="1:15" x14ac:dyDescent="0.3">
      <c r="A908" s="1">
        <v>43965</v>
      </c>
      <c r="B908">
        <v>1000000030</v>
      </c>
      <c r="C908" t="s">
        <v>23</v>
      </c>
      <c r="D908">
        <v>1</v>
      </c>
      <c r="E908">
        <v>600.29</v>
      </c>
      <c r="F908" t="s">
        <v>16</v>
      </c>
      <c r="G908" t="s">
        <v>24</v>
      </c>
      <c r="H908" t="s">
        <v>47</v>
      </c>
      <c r="I908" t="s">
        <v>48</v>
      </c>
      <c r="J908" t="s">
        <v>36</v>
      </c>
      <c r="K908" t="s">
        <v>49</v>
      </c>
      <c r="L908" t="s">
        <v>22</v>
      </c>
      <c r="M908">
        <v>600.29</v>
      </c>
      <c r="N908">
        <v>2020</v>
      </c>
      <c r="O908">
        <v>5</v>
      </c>
    </row>
    <row r="909" spans="1:15" x14ac:dyDescent="0.3">
      <c r="A909" s="1">
        <v>43965</v>
      </c>
      <c r="B909">
        <v>1000000032</v>
      </c>
      <c r="C909" t="s">
        <v>54</v>
      </c>
      <c r="D909">
        <v>1</v>
      </c>
      <c r="E909">
        <v>15.31</v>
      </c>
      <c r="F909" t="s">
        <v>46</v>
      </c>
      <c r="G909" t="s">
        <v>24</v>
      </c>
      <c r="H909" t="s">
        <v>18</v>
      </c>
      <c r="I909" t="s">
        <v>25</v>
      </c>
      <c r="J909" t="s">
        <v>26</v>
      </c>
      <c r="K909" t="s">
        <v>27</v>
      </c>
      <c r="L909" t="s">
        <v>28</v>
      </c>
      <c r="M909">
        <v>15.31</v>
      </c>
      <c r="N909">
        <v>2020</v>
      </c>
      <c r="O909">
        <v>5</v>
      </c>
    </row>
    <row r="910" spans="1:15" x14ac:dyDescent="0.3">
      <c r="A910" s="1">
        <v>43966</v>
      </c>
      <c r="B910">
        <v>1000000034</v>
      </c>
      <c r="C910" t="s">
        <v>15</v>
      </c>
      <c r="D910">
        <v>4</v>
      </c>
      <c r="E910">
        <v>66000.930000000008</v>
      </c>
      <c r="F910" t="s">
        <v>16</v>
      </c>
      <c r="G910" t="s">
        <v>17</v>
      </c>
      <c r="H910" t="s">
        <v>18</v>
      </c>
      <c r="I910" t="s">
        <v>25</v>
      </c>
      <c r="J910" t="s">
        <v>26</v>
      </c>
      <c r="K910" t="s">
        <v>27</v>
      </c>
      <c r="L910" t="s">
        <v>22</v>
      </c>
      <c r="M910">
        <v>16500.232500000002</v>
      </c>
      <c r="N910">
        <v>2020</v>
      </c>
      <c r="O910">
        <v>5</v>
      </c>
    </row>
    <row r="911" spans="1:15" x14ac:dyDescent="0.3">
      <c r="A911" s="1">
        <v>43966</v>
      </c>
      <c r="B911">
        <v>1000000067</v>
      </c>
      <c r="C911" t="s">
        <v>15</v>
      </c>
      <c r="D911">
        <v>3</v>
      </c>
      <c r="E911">
        <v>62000.91</v>
      </c>
      <c r="F911" t="s">
        <v>16</v>
      </c>
      <c r="G911" t="s">
        <v>17</v>
      </c>
      <c r="H911" t="s">
        <v>18</v>
      </c>
      <c r="I911" t="s">
        <v>25</v>
      </c>
      <c r="J911" t="s">
        <v>20</v>
      </c>
      <c r="K911" t="s">
        <v>51</v>
      </c>
      <c r="L911" t="s">
        <v>22</v>
      </c>
      <c r="M911">
        <v>20666.97</v>
      </c>
      <c r="N911">
        <v>2020</v>
      </c>
      <c r="O911">
        <v>5</v>
      </c>
    </row>
    <row r="912" spans="1:15" x14ac:dyDescent="0.3">
      <c r="A912" s="1">
        <v>43966</v>
      </c>
      <c r="B912">
        <v>1000000028</v>
      </c>
      <c r="C912" t="s">
        <v>15</v>
      </c>
      <c r="D912">
        <v>4</v>
      </c>
      <c r="E912">
        <v>49001.869999999995</v>
      </c>
      <c r="F912" t="s">
        <v>16</v>
      </c>
      <c r="G912" t="s">
        <v>17</v>
      </c>
      <c r="H912" t="s">
        <v>18</v>
      </c>
      <c r="I912" t="s">
        <v>19</v>
      </c>
      <c r="J912" t="s">
        <v>20</v>
      </c>
      <c r="K912" t="s">
        <v>21</v>
      </c>
      <c r="L912" t="s">
        <v>22</v>
      </c>
      <c r="M912">
        <v>12250.467500000001</v>
      </c>
      <c r="N912">
        <v>2020</v>
      </c>
      <c r="O912">
        <v>5</v>
      </c>
    </row>
    <row r="913" spans="1:15" x14ac:dyDescent="0.3">
      <c r="A913" s="1">
        <v>43966</v>
      </c>
      <c r="B913">
        <v>1000003926</v>
      </c>
      <c r="C913" t="s">
        <v>23</v>
      </c>
      <c r="D913">
        <v>3</v>
      </c>
      <c r="E913">
        <v>29501.33</v>
      </c>
      <c r="F913" t="s">
        <v>16</v>
      </c>
      <c r="G913" t="s">
        <v>24</v>
      </c>
      <c r="H913" t="s">
        <v>47</v>
      </c>
      <c r="I913" t="s">
        <v>48</v>
      </c>
      <c r="J913" t="s">
        <v>26</v>
      </c>
      <c r="K913" t="s">
        <v>50</v>
      </c>
      <c r="L913" t="s">
        <v>28</v>
      </c>
      <c r="M913">
        <v>9833.7766666666666</v>
      </c>
      <c r="N913">
        <v>2020</v>
      </c>
      <c r="O913">
        <v>5</v>
      </c>
    </row>
    <row r="914" spans="1:15" x14ac:dyDescent="0.3">
      <c r="A914" s="1">
        <v>43966</v>
      </c>
      <c r="B914">
        <v>1000000928</v>
      </c>
      <c r="C914" t="s">
        <v>15</v>
      </c>
      <c r="D914">
        <v>2</v>
      </c>
      <c r="E914">
        <v>28000.81</v>
      </c>
      <c r="F914" t="s">
        <v>16</v>
      </c>
      <c r="G914" t="s">
        <v>17</v>
      </c>
      <c r="H914" t="s">
        <v>30</v>
      </c>
      <c r="I914" t="s">
        <v>57</v>
      </c>
      <c r="J914" t="s">
        <v>26</v>
      </c>
      <c r="K914" t="s">
        <v>58</v>
      </c>
      <c r="L914" t="s">
        <v>22</v>
      </c>
      <c r="M914">
        <v>14000.405000000001</v>
      </c>
      <c r="N914">
        <v>2020</v>
      </c>
      <c r="O914">
        <v>5</v>
      </c>
    </row>
    <row r="915" spans="1:15" x14ac:dyDescent="0.3">
      <c r="A915" s="1">
        <v>43966</v>
      </c>
      <c r="B915">
        <v>1000000035</v>
      </c>
      <c r="C915" t="s">
        <v>42</v>
      </c>
      <c r="D915">
        <v>3</v>
      </c>
      <c r="E915">
        <v>27000.97</v>
      </c>
      <c r="F915" t="s">
        <v>16</v>
      </c>
      <c r="G915" t="s">
        <v>43</v>
      </c>
      <c r="H915" t="s">
        <v>18</v>
      </c>
      <c r="I915" t="s">
        <v>25</v>
      </c>
      <c r="J915" t="s">
        <v>36</v>
      </c>
      <c r="K915" t="s">
        <v>37</v>
      </c>
      <c r="L915" t="s">
        <v>22</v>
      </c>
      <c r="M915">
        <v>9000.3233333333337</v>
      </c>
      <c r="N915">
        <v>2020</v>
      </c>
      <c r="O915">
        <v>5</v>
      </c>
    </row>
    <row r="916" spans="1:15" x14ac:dyDescent="0.3">
      <c r="A916" s="1">
        <v>43966</v>
      </c>
      <c r="B916">
        <v>1000004256</v>
      </c>
      <c r="C916" t="s">
        <v>42</v>
      </c>
      <c r="D916">
        <v>1</v>
      </c>
      <c r="E916">
        <v>25000.73</v>
      </c>
      <c r="F916" t="s">
        <v>16</v>
      </c>
      <c r="G916" t="s">
        <v>43</v>
      </c>
      <c r="H916" t="s">
        <v>18</v>
      </c>
      <c r="I916" t="s">
        <v>40</v>
      </c>
      <c r="J916" t="s">
        <v>26</v>
      </c>
      <c r="K916" t="s">
        <v>41</v>
      </c>
      <c r="L916" t="s">
        <v>22</v>
      </c>
      <c r="M916">
        <v>25000.73</v>
      </c>
      <c r="N916">
        <v>2020</v>
      </c>
      <c r="O916">
        <v>5</v>
      </c>
    </row>
    <row r="917" spans="1:15" x14ac:dyDescent="0.3">
      <c r="A917" s="1">
        <v>43966</v>
      </c>
      <c r="B917">
        <v>1000000031</v>
      </c>
      <c r="C917" t="s">
        <v>23</v>
      </c>
      <c r="D917">
        <v>1</v>
      </c>
      <c r="E917">
        <v>25000.01</v>
      </c>
      <c r="F917" t="s">
        <v>16</v>
      </c>
      <c r="G917" t="s">
        <v>24</v>
      </c>
      <c r="H917" t="s">
        <v>18</v>
      </c>
      <c r="I917" t="s">
        <v>19</v>
      </c>
      <c r="J917" t="s">
        <v>26</v>
      </c>
      <c r="K917" t="s">
        <v>29</v>
      </c>
      <c r="L917" t="s">
        <v>28</v>
      </c>
      <c r="M917">
        <v>25000.01</v>
      </c>
      <c r="N917">
        <v>2020</v>
      </c>
      <c r="O917">
        <v>5</v>
      </c>
    </row>
    <row r="918" spans="1:15" x14ac:dyDescent="0.3">
      <c r="A918" s="1">
        <v>43966</v>
      </c>
      <c r="B918">
        <v>1000000237</v>
      </c>
      <c r="C918" t="s">
        <v>42</v>
      </c>
      <c r="D918">
        <v>2</v>
      </c>
      <c r="E918">
        <v>24001.35</v>
      </c>
      <c r="F918" t="s">
        <v>16</v>
      </c>
      <c r="G918" t="s">
        <v>43</v>
      </c>
      <c r="H918" t="s">
        <v>18</v>
      </c>
      <c r="I918" t="s">
        <v>40</v>
      </c>
      <c r="J918" t="s">
        <v>26</v>
      </c>
      <c r="K918" t="s">
        <v>41</v>
      </c>
      <c r="L918" t="s">
        <v>22</v>
      </c>
      <c r="M918">
        <v>12000.674999999999</v>
      </c>
      <c r="N918">
        <v>2020</v>
      </c>
      <c r="O918">
        <v>5</v>
      </c>
    </row>
    <row r="919" spans="1:15" x14ac:dyDescent="0.3">
      <c r="A919" s="1">
        <v>43966</v>
      </c>
      <c r="B919">
        <v>1000000576</v>
      </c>
      <c r="C919" t="s">
        <v>42</v>
      </c>
      <c r="D919">
        <v>1</v>
      </c>
      <c r="E919">
        <v>22000.49</v>
      </c>
      <c r="F919" t="s">
        <v>16</v>
      </c>
      <c r="G919" t="s">
        <v>43</v>
      </c>
      <c r="H919" t="s">
        <v>18</v>
      </c>
      <c r="I919" t="s">
        <v>25</v>
      </c>
      <c r="J919" t="s">
        <v>36</v>
      </c>
      <c r="K919" t="s">
        <v>37</v>
      </c>
      <c r="L919" t="s">
        <v>22</v>
      </c>
      <c r="M919">
        <v>22000.49</v>
      </c>
      <c r="N919">
        <v>2020</v>
      </c>
      <c r="O919">
        <v>5</v>
      </c>
    </row>
    <row r="920" spans="1:15" x14ac:dyDescent="0.3">
      <c r="A920" s="1">
        <v>43966</v>
      </c>
      <c r="B920">
        <v>1000000036</v>
      </c>
      <c r="C920" t="s">
        <v>42</v>
      </c>
      <c r="D920">
        <v>1</v>
      </c>
      <c r="E920">
        <v>22000.01</v>
      </c>
      <c r="F920" t="s">
        <v>16</v>
      </c>
      <c r="G920" t="s">
        <v>43</v>
      </c>
      <c r="H920" t="s">
        <v>47</v>
      </c>
      <c r="I920" t="s">
        <v>48</v>
      </c>
      <c r="J920" t="s">
        <v>36</v>
      </c>
      <c r="K920" t="s">
        <v>49</v>
      </c>
      <c r="L920" t="s">
        <v>28</v>
      </c>
      <c r="M920">
        <v>22000.01</v>
      </c>
      <c r="N920">
        <v>2020</v>
      </c>
      <c r="O920">
        <v>5</v>
      </c>
    </row>
    <row r="921" spans="1:15" x14ac:dyDescent="0.3">
      <c r="A921" s="1">
        <v>43966</v>
      </c>
      <c r="B921">
        <v>1000006064</v>
      </c>
      <c r="C921" t="s">
        <v>15</v>
      </c>
      <c r="D921">
        <v>2</v>
      </c>
      <c r="E921">
        <v>21500.83</v>
      </c>
      <c r="F921" t="s">
        <v>16</v>
      </c>
      <c r="G921" t="s">
        <v>17</v>
      </c>
      <c r="H921" t="s">
        <v>18</v>
      </c>
      <c r="I921" t="s">
        <v>40</v>
      </c>
      <c r="J921" t="s">
        <v>26</v>
      </c>
      <c r="K921" t="s">
        <v>41</v>
      </c>
      <c r="L921" t="s">
        <v>22</v>
      </c>
      <c r="M921">
        <v>10750.415000000001</v>
      </c>
      <c r="N921">
        <v>2020</v>
      </c>
      <c r="O921">
        <v>5</v>
      </c>
    </row>
    <row r="922" spans="1:15" x14ac:dyDescent="0.3">
      <c r="A922" s="1">
        <v>43966</v>
      </c>
      <c r="B922">
        <v>1000000056</v>
      </c>
      <c r="C922" t="s">
        <v>42</v>
      </c>
      <c r="D922">
        <v>1</v>
      </c>
      <c r="E922">
        <v>20000.75</v>
      </c>
      <c r="F922" t="s">
        <v>16</v>
      </c>
      <c r="G922" t="s">
        <v>43</v>
      </c>
      <c r="H922" t="s">
        <v>18</v>
      </c>
      <c r="I922" t="s">
        <v>34</v>
      </c>
      <c r="J922" t="s">
        <v>26</v>
      </c>
      <c r="K922" t="s">
        <v>35</v>
      </c>
      <c r="L922" t="s">
        <v>28</v>
      </c>
      <c r="M922">
        <v>20000.75</v>
      </c>
      <c r="N922">
        <v>2020</v>
      </c>
      <c r="O922">
        <v>5</v>
      </c>
    </row>
    <row r="923" spans="1:15" x14ac:dyDescent="0.3">
      <c r="A923" s="1">
        <v>43966</v>
      </c>
      <c r="B923">
        <v>1000004170</v>
      </c>
      <c r="C923" t="s">
        <v>23</v>
      </c>
      <c r="D923">
        <v>1</v>
      </c>
      <c r="E923">
        <v>20000.64</v>
      </c>
      <c r="F923" t="s">
        <v>16</v>
      </c>
      <c r="G923" t="s">
        <v>24</v>
      </c>
      <c r="H923" t="s">
        <v>18</v>
      </c>
      <c r="I923" t="s">
        <v>34</v>
      </c>
      <c r="J923" t="s">
        <v>20</v>
      </c>
      <c r="K923" t="s">
        <v>44</v>
      </c>
      <c r="L923" t="s">
        <v>28</v>
      </c>
      <c r="M923">
        <v>20000.64</v>
      </c>
      <c r="N923">
        <v>2020</v>
      </c>
      <c r="O923">
        <v>5</v>
      </c>
    </row>
    <row r="924" spans="1:15" x14ac:dyDescent="0.3">
      <c r="A924" s="1">
        <v>43966</v>
      </c>
      <c r="B924">
        <v>1000000034</v>
      </c>
      <c r="C924" t="s">
        <v>23</v>
      </c>
      <c r="D924">
        <v>1</v>
      </c>
      <c r="E924">
        <v>20000.330000000002</v>
      </c>
      <c r="F924" t="s">
        <v>16</v>
      </c>
      <c r="G924" t="s">
        <v>24</v>
      </c>
      <c r="H924" t="s">
        <v>18</v>
      </c>
      <c r="I924" t="s">
        <v>25</v>
      </c>
      <c r="J924" t="s">
        <v>26</v>
      </c>
      <c r="K924" t="s">
        <v>27</v>
      </c>
      <c r="L924" t="s">
        <v>22</v>
      </c>
      <c r="M924">
        <v>20000.330000000002</v>
      </c>
      <c r="N924">
        <v>2020</v>
      </c>
      <c r="O924">
        <v>5</v>
      </c>
    </row>
    <row r="925" spans="1:15" x14ac:dyDescent="0.3">
      <c r="A925" s="1">
        <v>43966</v>
      </c>
      <c r="B925">
        <v>1000000566</v>
      </c>
      <c r="C925" t="s">
        <v>23</v>
      </c>
      <c r="D925">
        <v>2</v>
      </c>
      <c r="E925">
        <v>18000.34</v>
      </c>
      <c r="F925" t="s">
        <v>16</v>
      </c>
      <c r="G925" t="s">
        <v>24</v>
      </c>
      <c r="H925" t="s">
        <v>47</v>
      </c>
      <c r="I925" t="s">
        <v>48</v>
      </c>
      <c r="J925" t="s">
        <v>36</v>
      </c>
      <c r="K925" t="s">
        <v>49</v>
      </c>
      <c r="L925" t="s">
        <v>22</v>
      </c>
      <c r="M925">
        <v>9000.17</v>
      </c>
      <c r="N925">
        <v>2020</v>
      </c>
      <c r="O925">
        <v>5</v>
      </c>
    </row>
    <row r="926" spans="1:15" x14ac:dyDescent="0.3">
      <c r="A926" s="1">
        <v>43966</v>
      </c>
      <c r="B926">
        <v>1000000039</v>
      </c>
      <c r="C926" t="s">
        <v>23</v>
      </c>
      <c r="D926">
        <v>1</v>
      </c>
      <c r="E926">
        <v>17000.009999999998</v>
      </c>
      <c r="F926" t="s">
        <v>16</v>
      </c>
      <c r="G926" t="s">
        <v>24</v>
      </c>
      <c r="H926" t="s">
        <v>18</v>
      </c>
      <c r="I926" t="s">
        <v>25</v>
      </c>
      <c r="J926" t="s">
        <v>20</v>
      </c>
      <c r="K926" t="s">
        <v>51</v>
      </c>
      <c r="L926" t="s">
        <v>28</v>
      </c>
      <c r="M926">
        <v>17000.009999999998</v>
      </c>
      <c r="N926">
        <v>2020</v>
      </c>
      <c r="O926">
        <v>5</v>
      </c>
    </row>
    <row r="927" spans="1:15" x14ac:dyDescent="0.3">
      <c r="A927" s="1">
        <v>43966</v>
      </c>
      <c r="B927">
        <v>1000000031</v>
      </c>
      <c r="C927" t="s">
        <v>42</v>
      </c>
      <c r="D927">
        <v>1</v>
      </c>
      <c r="E927">
        <v>15000.2</v>
      </c>
      <c r="F927" t="s">
        <v>16</v>
      </c>
      <c r="G927" t="s">
        <v>43</v>
      </c>
      <c r="H927" t="s">
        <v>18</v>
      </c>
      <c r="I927" t="s">
        <v>19</v>
      </c>
      <c r="J927" t="s">
        <v>26</v>
      </c>
      <c r="K927" t="s">
        <v>29</v>
      </c>
      <c r="L927" t="s">
        <v>28</v>
      </c>
      <c r="M927">
        <v>15000.2</v>
      </c>
      <c r="N927">
        <v>2020</v>
      </c>
      <c r="O927">
        <v>5</v>
      </c>
    </row>
    <row r="928" spans="1:15" x14ac:dyDescent="0.3">
      <c r="A928" s="1">
        <v>43966</v>
      </c>
      <c r="B928">
        <v>1000000576</v>
      </c>
      <c r="C928" t="s">
        <v>15</v>
      </c>
      <c r="D928">
        <v>1</v>
      </c>
      <c r="E928">
        <v>14000.61</v>
      </c>
      <c r="F928" t="s">
        <v>16</v>
      </c>
      <c r="G928" t="s">
        <v>17</v>
      </c>
      <c r="H928" t="s">
        <v>18</v>
      </c>
      <c r="I928" t="s">
        <v>25</v>
      </c>
      <c r="J928" t="s">
        <v>36</v>
      </c>
      <c r="K928" t="s">
        <v>37</v>
      </c>
      <c r="L928" t="s">
        <v>22</v>
      </c>
      <c r="M928">
        <v>14000.61</v>
      </c>
      <c r="N928">
        <v>2020</v>
      </c>
      <c r="O928">
        <v>5</v>
      </c>
    </row>
    <row r="929" spans="1:15" x14ac:dyDescent="0.3">
      <c r="A929" s="1">
        <v>43966</v>
      </c>
      <c r="B929">
        <v>1000000030</v>
      </c>
      <c r="C929" t="s">
        <v>23</v>
      </c>
      <c r="D929">
        <v>1</v>
      </c>
      <c r="E929">
        <v>14000.52</v>
      </c>
      <c r="F929" t="s">
        <v>16</v>
      </c>
      <c r="G929" t="s">
        <v>24</v>
      </c>
      <c r="H929" t="s">
        <v>47</v>
      </c>
      <c r="I929" t="s">
        <v>48</v>
      </c>
      <c r="J929" t="s">
        <v>36</v>
      </c>
      <c r="K929" t="s">
        <v>49</v>
      </c>
      <c r="L929" t="s">
        <v>22</v>
      </c>
      <c r="M929">
        <v>14000.52</v>
      </c>
      <c r="N929">
        <v>2020</v>
      </c>
      <c r="O929">
        <v>5</v>
      </c>
    </row>
    <row r="930" spans="1:15" x14ac:dyDescent="0.3">
      <c r="A930" s="1">
        <v>43966</v>
      </c>
      <c r="B930">
        <v>1000004170</v>
      </c>
      <c r="C930" t="s">
        <v>15</v>
      </c>
      <c r="D930">
        <v>1</v>
      </c>
      <c r="E930">
        <v>14000.4</v>
      </c>
      <c r="F930" t="s">
        <v>16</v>
      </c>
      <c r="G930" t="s">
        <v>17</v>
      </c>
      <c r="H930" t="s">
        <v>18</v>
      </c>
      <c r="I930" t="s">
        <v>34</v>
      </c>
      <c r="J930" t="s">
        <v>20</v>
      </c>
      <c r="K930" t="s">
        <v>44</v>
      </c>
      <c r="L930" t="s">
        <v>28</v>
      </c>
      <c r="M930">
        <v>14000.4</v>
      </c>
      <c r="N930">
        <v>2020</v>
      </c>
      <c r="O930">
        <v>5</v>
      </c>
    </row>
    <row r="931" spans="1:15" x14ac:dyDescent="0.3">
      <c r="A931" s="1">
        <v>43966</v>
      </c>
      <c r="B931">
        <v>1000000043</v>
      </c>
      <c r="C931" t="s">
        <v>15</v>
      </c>
      <c r="D931">
        <v>1</v>
      </c>
      <c r="E931">
        <v>14000.35</v>
      </c>
      <c r="F931" t="s">
        <v>16</v>
      </c>
      <c r="G931" t="s">
        <v>17</v>
      </c>
      <c r="H931" t="s">
        <v>30</v>
      </c>
      <c r="I931" t="s">
        <v>38</v>
      </c>
      <c r="J931" t="s">
        <v>26</v>
      </c>
      <c r="K931" t="s">
        <v>39</v>
      </c>
      <c r="L931" t="s">
        <v>22</v>
      </c>
      <c r="M931">
        <v>14000.35</v>
      </c>
      <c r="N931">
        <v>2020</v>
      </c>
      <c r="O931">
        <v>5</v>
      </c>
    </row>
    <row r="932" spans="1:15" x14ac:dyDescent="0.3">
      <c r="A932" s="1">
        <v>43966</v>
      </c>
      <c r="B932">
        <v>1000001513</v>
      </c>
      <c r="C932" t="s">
        <v>23</v>
      </c>
      <c r="D932">
        <v>1</v>
      </c>
      <c r="E932">
        <v>14000.22</v>
      </c>
      <c r="F932" t="s">
        <v>16</v>
      </c>
      <c r="G932" t="s">
        <v>24</v>
      </c>
      <c r="H932" t="s">
        <v>18</v>
      </c>
      <c r="I932" t="s">
        <v>34</v>
      </c>
      <c r="J932" t="s">
        <v>20</v>
      </c>
      <c r="K932" t="s">
        <v>44</v>
      </c>
      <c r="L932" t="s">
        <v>22</v>
      </c>
      <c r="M932">
        <v>14000.22</v>
      </c>
      <c r="N932">
        <v>2020</v>
      </c>
      <c r="O932">
        <v>5</v>
      </c>
    </row>
    <row r="933" spans="1:15" x14ac:dyDescent="0.3">
      <c r="A933" s="1">
        <v>43966</v>
      </c>
      <c r="B933">
        <v>1000000068</v>
      </c>
      <c r="C933" t="s">
        <v>15</v>
      </c>
      <c r="D933">
        <v>1</v>
      </c>
      <c r="E933">
        <v>13000.33</v>
      </c>
      <c r="F933" t="s">
        <v>16</v>
      </c>
      <c r="G933" t="s">
        <v>17</v>
      </c>
      <c r="H933" t="s">
        <v>30</v>
      </c>
      <c r="I933" t="s">
        <v>55</v>
      </c>
      <c r="J933" t="s">
        <v>26</v>
      </c>
      <c r="K933" t="s">
        <v>56</v>
      </c>
      <c r="L933" t="s">
        <v>28</v>
      </c>
      <c r="M933">
        <v>13000.33</v>
      </c>
      <c r="N933">
        <v>2020</v>
      </c>
      <c r="O933">
        <v>5</v>
      </c>
    </row>
    <row r="934" spans="1:15" x14ac:dyDescent="0.3">
      <c r="A934" s="1">
        <v>43966</v>
      </c>
      <c r="B934">
        <v>1000003803</v>
      </c>
      <c r="C934" t="s">
        <v>15</v>
      </c>
      <c r="D934">
        <v>1</v>
      </c>
      <c r="E934">
        <v>11000.23</v>
      </c>
      <c r="F934" t="s">
        <v>16</v>
      </c>
      <c r="G934" t="s">
        <v>17</v>
      </c>
      <c r="H934" t="s">
        <v>30</v>
      </c>
      <c r="I934" t="s">
        <v>31</v>
      </c>
      <c r="J934" t="s">
        <v>36</v>
      </c>
      <c r="K934" t="s">
        <v>52</v>
      </c>
      <c r="L934" t="s">
        <v>22</v>
      </c>
      <c r="M934">
        <v>11000.23</v>
      </c>
      <c r="N934">
        <v>2020</v>
      </c>
      <c r="O934">
        <v>5</v>
      </c>
    </row>
    <row r="935" spans="1:15" x14ac:dyDescent="0.3">
      <c r="A935" s="1">
        <v>43966</v>
      </c>
      <c r="B935">
        <v>1000000046</v>
      </c>
      <c r="C935" t="s">
        <v>15</v>
      </c>
      <c r="D935">
        <v>1</v>
      </c>
      <c r="E935">
        <v>11000.07</v>
      </c>
      <c r="F935" t="s">
        <v>16</v>
      </c>
      <c r="G935" t="s">
        <v>17</v>
      </c>
      <c r="H935" t="s">
        <v>30</v>
      </c>
      <c r="I935" t="s">
        <v>38</v>
      </c>
      <c r="J935" t="s">
        <v>26</v>
      </c>
      <c r="K935" t="s">
        <v>39</v>
      </c>
      <c r="L935" t="s">
        <v>22</v>
      </c>
      <c r="M935">
        <v>11000.07</v>
      </c>
      <c r="N935">
        <v>2020</v>
      </c>
      <c r="O935">
        <v>5</v>
      </c>
    </row>
    <row r="936" spans="1:15" x14ac:dyDescent="0.3">
      <c r="A936" s="1">
        <v>43966</v>
      </c>
      <c r="B936">
        <v>1000000032</v>
      </c>
      <c r="C936" t="s">
        <v>42</v>
      </c>
      <c r="D936">
        <v>1</v>
      </c>
      <c r="E936">
        <v>10985.24</v>
      </c>
      <c r="F936" t="s">
        <v>16</v>
      </c>
      <c r="G936" t="s">
        <v>43</v>
      </c>
      <c r="H936" t="s">
        <v>18</v>
      </c>
      <c r="I936" t="s">
        <v>25</v>
      </c>
      <c r="J936" t="s">
        <v>26</v>
      </c>
      <c r="K936" t="s">
        <v>27</v>
      </c>
      <c r="L936" t="s">
        <v>28</v>
      </c>
      <c r="M936">
        <v>10985.24</v>
      </c>
      <c r="N936">
        <v>2020</v>
      </c>
      <c r="O936">
        <v>5</v>
      </c>
    </row>
    <row r="937" spans="1:15" x14ac:dyDescent="0.3">
      <c r="A937" s="1">
        <v>43966</v>
      </c>
      <c r="B937">
        <v>1000000035</v>
      </c>
      <c r="C937" t="s">
        <v>15</v>
      </c>
      <c r="D937">
        <v>1</v>
      </c>
      <c r="E937">
        <v>10000.719999999999</v>
      </c>
      <c r="F937" t="s">
        <v>16</v>
      </c>
      <c r="G937" t="s">
        <v>17</v>
      </c>
      <c r="H937" t="s">
        <v>18</v>
      </c>
      <c r="I937" t="s">
        <v>25</v>
      </c>
      <c r="J937" t="s">
        <v>36</v>
      </c>
      <c r="K937" t="s">
        <v>37</v>
      </c>
      <c r="L937" t="s">
        <v>22</v>
      </c>
      <c r="M937">
        <v>10000.719999999999</v>
      </c>
      <c r="N937">
        <v>2020</v>
      </c>
      <c r="O937">
        <v>5</v>
      </c>
    </row>
    <row r="938" spans="1:15" x14ac:dyDescent="0.3">
      <c r="A938" s="1">
        <v>43966</v>
      </c>
      <c r="B938">
        <v>1000000056</v>
      </c>
      <c r="C938" t="s">
        <v>23</v>
      </c>
      <c r="D938">
        <v>1</v>
      </c>
      <c r="E938">
        <v>10000.23</v>
      </c>
      <c r="F938" t="s">
        <v>16</v>
      </c>
      <c r="G938" t="s">
        <v>24</v>
      </c>
      <c r="H938" t="s">
        <v>18</v>
      </c>
      <c r="I938" t="s">
        <v>34</v>
      </c>
      <c r="J938" t="s">
        <v>26</v>
      </c>
      <c r="K938" t="s">
        <v>35</v>
      </c>
      <c r="L938" t="s">
        <v>28</v>
      </c>
      <c r="M938">
        <v>10000.23</v>
      </c>
      <c r="N938">
        <v>2020</v>
      </c>
      <c r="O938">
        <v>5</v>
      </c>
    </row>
    <row r="939" spans="1:15" x14ac:dyDescent="0.3">
      <c r="A939" s="1">
        <v>43966</v>
      </c>
      <c r="B939">
        <v>1000000040</v>
      </c>
      <c r="C939" t="s">
        <v>23</v>
      </c>
      <c r="D939">
        <v>1</v>
      </c>
      <c r="E939">
        <v>9000.44</v>
      </c>
      <c r="F939" t="s">
        <v>16</v>
      </c>
      <c r="G939" t="s">
        <v>24</v>
      </c>
      <c r="H939" t="s">
        <v>30</v>
      </c>
      <c r="I939" t="s">
        <v>31</v>
      </c>
      <c r="J939" t="s">
        <v>32</v>
      </c>
      <c r="K939" t="s">
        <v>33</v>
      </c>
      <c r="L939" t="s">
        <v>28</v>
      </c>
      <c r="M939">
        <v>9000.44</v>
      </c>
      <c r="N939">
        <v>2020</v>
      </c>
      <c r="O939">
        <v>5</v>
      </c>
    </row>
    <row r="940" spans="1:15" x14ac:dyDescent="0.3">
      <c r="A940" s="1">
        <v>43966</v>
      </c>
      <c r="B940">
        <v>1000000237</v>
      </c>
      <c r="C940" t="s">
        <v>15</v>
      </c>
      <c r="D940">
        <v>1</v>
      </c>
      <c r="E940">
        <v>8999.94</v>
      </c>
      <c r="F940" t="s">
        <v>16</v>
      </c>
      <c r="G940" t="s">
        <v>17</v>
      </c>
      <c r="H940" t="s">
        <v>18</v>
      </c>
      <c r="I940" t="s">
        <v>40</v>
      </c>
      <c r="J940" t="s">
        <v>26</v>
      </c>
      <c r="K940" t="s">
        <v>41</v>
      </c>
      <c r="L940" t="s">
        <v>22</v>
      </c>
      <c r="M940">
        <v>8999.94</v>
      </c>
      <c r="N940">
        <v>2020</v>
      </c>
      <c r="O940">
        <v>5</v>
      </c>
    </row>
    <row r="941" spans="1:15" x14ac:dyDescent="0.3">
      <c r="A941" s="1">
        <v>43966</v>
      </c>
      <c r="B941">
        <v>1000000033</v>
      </c>
      <c r="C941" t="s">
        <v>23</v>
      </c>
      <c r="D941">
        <v>1</v>
      </c>
      <c r="E941">
        <v>8999.93</v>
      </c>
      <c r="F941" t="s">
        <v>16</v>
      </c>
      <c r="G941" t="s">
        <v>24</v>
      </c>
      <c r="H941" t="s">
        <v>18</v>
      </c>
      <c r="I941" t="s">
        <v>25</v>
      </c>
      <c r="J941" t="s">
        <v>26</v>
      </c>
      <c r="K941" t="s">
        <v>27</v>
      </c>
      <c r="L941" t="s">
        <v>22</v>
      </c>
      <c r="M941">
        <v>8999.93</v>
      </c>
      <c r="N941">
        <v>2020</v>
      </c>
      <c r="O941">
        <v>5</v>
      </c>
    </row>
    <row r="942" spans="1:15" x14ac:dyDescent="0.3">
      <c r="A942" s="1">
        <v>43966</v>
      </c>
      <c r="B942">
        <v>1000000067</v>
      </c>
      <c r="C942" t="s">
        <v>23</v>
      </c>
      <c r="D942">
        <v>2</v>
      </c>
      <c r="E942">
        <v>8000.79</v>
      </c>
      <c r="F942" t="s">
        <v>16</v>
      </c>
      <c r="G942" t="s">
        <v>24</v>
      </c>
      <c r="H942" t="s">
        <v>18</v>
      </c>
      <c r="I942" t="s">
        <v>25</v>
      </c>
      <c r="J942" t="s">
        <v>20</v>
      </c>
      <c r="K942" t="s">
        <v>51</v>
      </c>
      <c r="L942" t="s">
        <v>22</v>
      </c>
      <c r="M942">
        <v>4000.395</v>
      </c>
      <c r="N942">
        <v>2020</v>
      </c>
      <c r="O942">
        <v>5</v>
      </c>
    </row>
    <row r="943" spans="1:15" x14ac:dyDescent="0.3">
      <c r="A943" s="1">
        <v>43966</v>
      </c>
      <c r="B943">
        <v>1000000068</v>
      </c>
      <c r="C943" t="s">
        <v>23</v>
      </c>
      <c r="D943">
        <v>1</v>
      </c>
      <c r="E943">
        <v>8000.59</v>
      </c>
      <c r="F943" t="s">
        <v>16</v>
      </c>
      <c r="G943" t="s">
        <v>24</v>
      </c>
      <c r="H943" t="s">
        <v>30</v>
      </c>
      <c r="I943" t="s">
        <v>55</v>
      </c>
      <c r="J943" t="s">
        <v>26</v>
      </c>
      <c r="K943" t="s">
        <v>56</v>
      </c>
      <c r="L943" t="s">
        <v>28</v>
      </c>
      <c r="M943">
        <v>8000.59</v>
      </c>
      <c r="N943">
        <v>2020</v>
      </c>
      <c r="O943">
        <v>5</v>
      </c>
    </row>
    <row r="944" spans="1:15" x14ac:dyDescent="0.3">
      <c r="A944" s="1">
        <v>43966</v>
      </c>
      <c r="B944">
        <v>1000000046</v>
      </c>
      <c r="C944" t="s">
        <v>42</v>
      </c>
      <c r="D944">
        <v>1</v>
      </c>
      <c r="E944">
        <v>7500.35</v>
      </c>
      <c r="F944" t="s">
        <v>16</v>
      </c>
      <c r="G944" t="s">
        <v>43</v>
      </c>
      <c r="H944" t="s">
        <v>30</v>
      </c>
      <c r="I944" t="s">
        <v>38</v>
      </c>
      <c r="J944" t="s">
        <v>26</v>
      </c>
      <c r="K944" t="s">
        <v>39</v>
      </c>
      <c r="L944" t="s">
        <v>22</v>
      </c>
      <c r="M944">
        <v>7500.35</v>
      </c>
      <c r="N944">
        <v>2020</v>
      </c>
      <c r="O944">
        <v>5</v>
      </c>
    </row>
    <row r="945" spans="1:15" x14ac:dyDescent="0.3">
      <c r="A945" s="1">
        <v>43966</v>
      </c>
      <c r="B945">
        <v>1000004256</v>
      </c>
      <c r="C945" t="s">
        <v>23</v>
      </c>
      <c r="D945">
        <v>1</v>
      </c>
      <c r="E945">
        <v>7000.2</v>
      </c>
      <c r="F945" t="s">
        <v>16</v>
      </c>
      <c r="G945" t="s">
        <v>24</v>
      </c>
      <c r="H945" t="s">
        <v>18</v>
      </c>
      <c r="I945" t="s">
        <v>40</v>
      </c>
      <c r="J945" t="s">
        <v>26</v>
      </c>
      <c r="K945" t="s">
        <v>41</v>
      </c>
      <c r="L945" t="s">
        <v>22</v>
      </c>
      <c r="M945">
        <v>7000.2</v>
      </c>
      <c r="N945">
        <v>2020</v>
      </c>
      <c r="O945">
        <v>5</v>
      </c>
    </row>
    <row r="946" spans="1:15" x14ac:dyDescent="0.3">
      <c r="A946" s="1">
        <v>43966</v>
      </c>
      <c r="B946">
        <v>1000000037</v>
      </c>
      <c r="C946" t="s">
        <v>15</v>
      </c>
      <c r="D946">
        <v>1</v>
      </c>
      <c r="E946">
        <v>7000.15</v>
      </c>
      <c r="F946" t="s">
        <v>16</v>
      </c>
      <c r="G946" t="s">
        <v>17</v>
      </c>
      <c r="H946" t="s">
        <v>18</v>
      </c>
      <c r="I946" t="s">
        <v>19</v>
      </c>
      <c r="J946" t="s">
        <v>20</v>
      </c>
      <c r="K946" t="s">
        <v>21</v>
      </c>
      <c r="L946" t="s">
        <v>22</v>
      </c>
      <c r="M946">
        <v>7000.15</v>
      </c>
      <c r="N946">
        <v>2020</v>
      </c>
      <c r="O946">
        <v>5</v>
      </c>
    </row>
    <row r="947" spans="1:15" x14ac:dyDescent="0.3">
      <c r="A947" s="1">
        <v>43966</v>
      </c>
      <c r="B947">
        <v>1000000050</v>
      </c>
      <c r="C947" t="s">
        <v>23</v>
      </c>
      <c r="D947">
        <v>2</v>
      </c>
      <c r="E947">
        <v>6700.88</v>
      </c>
      <c r="F947" t="s">
        <v>16</v>
      </c>
      <c r="G947" t="s">
        <v>24</v>
      </c>
      <c r="H947" t="s">
        <v>18</v>
      </c>
      <c r="I947" t="s">
        <v>40</v>
      </c>
      <c r="J947" t="s">
        <v>26</v>
      </c>
      <c r="K947" t="s">
        <v>41</v>
      </c>
      <c r="L947" t="s">
        <v>22</v>
      </c>
      <c r="M947">
        <v>3350.44</v>
      </c>
      <c r="N947">
        <v>2020</v>
      </c>
      <c r="O947">
        <v>5</v>
      </c>
    </row>
    <row r="948" spans="1:15" x14ac:dyDescent="0.3">
      <c r="A948" s="1">
        <v>43966</v>
      </c>
      <c r="B948">
        <v>1000000040</v>
      </c>
      <c r="C948" t="s">
        <v>15</v>
      </c>
      <c r="D948">
        <v>1</v>
      </c>
      <c r="E948">
        <v>6000.3</v>
      </c>
      <c r="F948" t="s">
        <v>16</v>
      </c>
      <c r="G948" t="s">
        <v>17</v>
      </c>
      <c r="H948" t="s">
        <v>30</v>
      </c>
      <c r="I948" t="s">
        <v>31</v>
      </c>
      <c r="J948" t="s">
        <v>32</v>
      </c>
      <c r="K948" t="s">
        <v>33</v>
      </c>
      <c r="L948" t="s">
        <v>28</v>
      </c>
      <c r="M948">
        <v>6000.3</v>
      </c>
      <c r="N948">
        <v>2020</v>
      </c>
      <c r="O948">
        <v>5</v>
      </c>
    </row>
    <row r="949" spans="1:15" x14ac:dyDescent="0.3">
      <c r="A949" s="1">
        <v>43966</v>
      </c>
      <c r="B949">
        <v>1000000056</v>
      </c>
      <c r="C949" t="s">
        <v>15</v>
      </c>
      <c r="D949">
        <v>1</v>
      </c>
      <c r="E949">
        <v>5000.53</v>
      </c>
      <c r="F949" t="s">
        <v>16</v>
      </c>
      <c r="G949" t="s">
        <v>17</v>
      </c>
      <c r="H949" t="s">
        <v>18</v>
      </c>
      <c r="I949" t="s">
        <v>34</v>
      </c>
      <c r="J949" t="s">
        <v>26</v>
      </c>
      <c r="K949" t="s">
        <v>35</v>
      </c>
      <c r="L949" t="s">
        <v>28</v>
      </c>
      <c r="M949">
        <v>5000.53</v>
      </c>
      <c r="N949">
        <v>2020</v>
      </c>
      <c r="O949">
        <v>5</v>
      </c>
    </row>
    <row r="950" spans="1:15" x14ac:dyDescent="0.3">
      <c r="A950" s="1">
        <v>43966</v>
      </c>
      <c r="B950">
        <v>1000003989</v>
      </c>
      <c r="C950" t="s">
        <v>42</v>
      </c>
      <c r="D950">
        <v>1</v>
      </c>
      <c r="E950">
        <v>4999.9799999999996</v>
      </c>
      <c r="F950" t="s">
        <v>16</v>
      </c>
      <c r="G950" t="s">
        <v>43</v>
      </c>
      <c r="H950" t="s">
        <v>30</v>
      </c>
      <c r="I950" t="s">
        <v>31</v>
      </c>
      <c r="J950" t="s">
        <v>36</v>
      </c>
      <c r="K950" t="s">
        <v>52</v>
      </c>
      <c r="L950" t="s">
        <v>22</v>
      </c>
      <c r="M950">
        <v>4999.9799999999996</v>
      </c>
      <c r="N950">
        <v>2020</v>
      </c>
      <c r="O950">
        <v>5</v>
      </c>
    </row>
    <row r="951" spans="1:15" x14ac:dyDescent="0.3">
      <c r="A951" s="1">
        <v>43966</v>
      </c>
      <c r="B951">
        <v>1000000037</v>
      </c>
      <c r="C951" t="s">
        <v>42</v>
      </c>
      <c r="D951">
        <v>1</v>
      </c>
      <c r="E951">
        <v>2800.2</v>
      </c>
      <c r="F951" t="s">
        <v>16</v>
      </c>
      <c r="G951" t="s">
        <v>43</v>
      </c>
      <c r="H951" t="s">
        <v>18</v>
      </c>
      <c r="I951" t="s">
        <v>19</v>
      </c>
      <c r="J951" t="s">
        <v>20</v>
      </c>
      <c r="K951" t="s">
        <v>21</v>
      </c>
      <c r="L951" t="s">
        <v>22</v>
      </c>
      <c r="M951">
        <v>2800.2</v>
      </c>
      <c r="N951">
        <v>2020</v>
      </c>
      <c r="O951">
        <v>5</v>
      </c>
    </row>
    <row r="952" spans="1:15" x14ac:dyDescent="0.3">
      <c r="A952" s="1">
        <v>43967</v>
      </c>
      <c r="B952">
        <v>1000003926</v>
      </c>
      <c r="C952" t="s">
        <v>23</v>
      </c>
      <c r="D952">
        <v>6</v>
      </c>
      <c r="E952">
        <v>96501.760000000009</v>
      </c>
      <c r="F952" t="s">
        <v>16</v>
      </c>
      <c r="G952" t="s">
        <v>24</v>
      </c>
      <c r="H952" t="s">
        <v>47</v>
      </c>
      <c r="I952" t="s">
        <v>48</v>
      </c>
      <c r="J952" t="s">
        <v>26</v>
      </c>
      <c r="K952" t="s">
        <v>50</v>
      </c>
      <c r="L952" t="s">
        <v>28</v>
      </c>
      <c r="M952">
        <v>16083.626666666669</v>
      </c>
      <c r="N952">
        <v>2020</v>
      </c>
      <c r="O952">
        <v>5</v>
      </c>
    </row>
    <row r="953" spans="1:15" x14ac:dyDescent="0.3">
      <c r="A953" s="1">
        <v>43967</v>
      </c>
      <c r="B953">
        <v>1000006869</v>
      </c>
      <c r="C953" t="s">
        <v>15</v>
      </c>
      <c r="D953">
        <v>2</v>
      </c>
      <c r="E953">
        <v>45000.369999999995</v>
      </c>
      <c r="F953" t="s">
        <v>16</v>
      </c>
      <c r="G953" t="s">
        <v>17</v>
      </c>
      <c r="H953" t="s">
        <v>18</v>
      </c>
      <c r="I953" t="s">
        <v>61</v>
      </c>
      <c r="J953" t="s">
        <v>26</v>
      </c>
      <c r="K953" t="s">
        <v>62</v>
      </c>
      <c r="L953" t="s">
        <v>22</v>
      </c>
      <c r="M953">
        <v>22500.185000000001</v>
      </c>
      <c r="N953">
        <v>2020</v>
      </c>
      <c r="O953">
        <v>5</v>
      </c>
    </row>
    <row r="954" spans="1:15" x14ac:dyDescent="0.3">
      <c r="A954" s="1">
        <v>43967</v>
      </c>
      <c r="B954">
        <v>1000000028</v>
      </c>
      <c r="C954" t="s">
        <v>15</v>
      </c>
      <c r="D954">
        <v>2</v>
      </c>
      <c r="E954">
        <v>28500.32</v>
      </c>
      <c r="F954" t="s">
        <v>16</v>
      </c>
      <c r="G954" t="s">
        <v>17</v>
      </c>
      <c r="H954" t="s">
        <v>18</v>
      </c>
      <c r="I954" t="s">
        <v>19</v>
      </c>
      <c r="J954" t="s">
        <v>20</v>
      </c>
      <c r="K954" t="s">
        <v>21</v>
      </c>
      <c r="L954" t="s">
        <v>22</v>
      </c>
      <c r="M954">
        <v>14250.16</v>
      </c>
      <c r="N954">
        <v>2020</v>
      </c>
      <c r="O954">
        <v>5</v>
      </c>
    </row>
    <row r="955" spans="1:15" x14ac:dyDescent="0.3">
      <c r="A955" s="1">
        <v>43967</v>
      </c>
      <c r="B955">
        <v>1000005873</v>
      </c>
      <c r="C955" t="s">
        <v>42</v>
      </c>
      <c r="D955">
        <v>1</v>
      </c>
      <c r="E955">
        <v>24999.95</v>
      </c>
      <c r="F955" t="s">
        <v>16</v>
      </c>
      <c r="G955" t="s">
        <v>43</v>
      </c>
      <c r="H955" t="s">
        <v>18</v>
      </c>
      <c r="I955" t="s">
        <v>19</v>
      </c>
      <c r="J955" t="s">
        <v>20</v>
      </c>
      <c r="K955" t="s">
        <v>21</v>
      </c>
      <c r="L955" t="s">
        <v>28</v>
      </c>
      <c r="M955">
        <v>24999.95</v>
      </c>
      <c r="N955">
        <v>2020</v>
      </c>
      <c r="O955">
        <v>5</v>
      </c>
    </row>
    <row r="956" spans="1:15" x14ac:dyDescent="0.3">
      <c r="A956" s="1">
        <v>43967</v>
      </c>
      <c r="B956">
        <v>1000006860</v>
      </c>
      <c r="C956" t="s">
        <v>15</v>
      </c>
      <c r="D956">
        <v>1</v>
      </c>
      <c r="E956">
        <v>20000.669999999998</v>
      </c>
      <c r="F956" t="s">
        <v>16</v>
      </c>
      <c r="G956" t="s">
        <v>17</v>
      </c>
      <c r="H956" t="s">
        <v>18</v>
      </c>
      <c r="I956" t="s">
        <v>61</v>
      </c>
      <c r="J956" t="s">
        <v>26</v>
      </c>
      <c r="K956" t="s">
        <v>62</v>
      </c>
      <c r="L956" t="s">
        <v>22</v>
      </c>
      <c r="M956">
        <v>20000.669999999998</v>
      </c>
      <c r="N956">
        <v>2020</v>
      </c>
      <c r="O956">
        <v>5</v>
      </c>
    </row>
    <row r="957" spans="1:15" x14ac:dyDescent="0.3">
      <c r="A957" s="1">
        <v>43967</v>
      </c>
      <c r="B957">
        <v>1000003989</v>
      </c>
      <c r="C957" t="s">
        <v>15</v>
      </c>
      <c r="D957">
        <v>1</v>
      </c>
      <c r="E957">
        <v>20000.580000000002</v>
      </c>
      <c r="F957" t="s">
        <v>16</v>
      </c>
      <c r="G957" t="s">
        <v>17</v>
      </c>
      <c r="H957" t="s">
        <v>30</v>
      </c>
      <c r="I957" t="s">
        <v>31</v>
      </c>
      <c r="J957" t="s">
        <v>36</v>
      </c>
      <c r="K957" t="s">
        <v>52</v>
      </c>
      <c r="L957" t="s">
        <v>22</v>
      </c>
      <c r="M957">
        <v>20000.580000000002</v>
      </c>
      <c r="N957">
        <v>2020</v>
      </c>
      <c r="O957">
        <v>5</v>
      </c>
    </row>
    <row r="958" spans="1:15" x14ac:dyDescent="0.3">
      <c r="A958" s="1">
        <v>43967</v>
      </c>
      <c r="B958">
        <v>1000006867</v>
      </c>
      <c r="C958" t="s">
        <v>23</v>
      </c>
      <c r="D958">
        <v>1</v>
      </c>
      <c r="E958">
        <v>20000.439999999999</v>
      </c>
      <c r="F958" t="s">
        <v>16</v>
      </c>
      <c r="G958" t="s">
        <v>24</v>
      </c>
      <c r="H958" t="s">
        <v>18</v>
      </c>
      <c r="I958" t="s">
        <v>61</v>
      </c>
      <c r="J958" t="s">
        <v>26</v>
      </c>
      <c r="K958" t="s">
        <v>62</v>
      </c>
      <c r="L958" t="s">
        <v>22</v>
      </c>
      <c r="M958">
        <v>20000.439999999999</v>
      </c>
      <c r="N958">
        <v>2020</v>
      </c>
      <c r="O958">
        <v>5</v>
      </c>
    </row>
    <row r="959" spans="1:15" x14ac:dyDescent="0.3">
      <c r="A959" s="1">
        <v>43967</v>
      </c>
      <c r="B959">
        <v>1000000031</v>
      </c>
      <c r="C959" t="s">
        <v>15</v>
      </c>
      <c r="D959">
        <v>1</v>
      </c>
      <c r="E959">
        <v>20000.400000000001</v>
      </c>
      <c r="F959" t="s">
        <v>16</v>
      </c>
      <c r="G959" t="s">
        <v>17</v>
      </c>
      <c r="H959" t="s">
        <v>18</v>
      </c>
      <c r="I959" t="s">
        <v>19</v>
      </c>
      <c r="J959" t="s">
        <v>26</v>
      </c>
      <c r="K959" t="s">
        <v>29</v>
      </c>
      <c r="L959" t="s">
        <v>28</v>
      </c>
      <c r="M959">
        <v>20000.400000000001</v>
      </c>
      <c r="N959">
        <v>2020</v>
      </c>
      <c r="O959">
        <v>5</v>
      </c>
    </row>
    <row r="960" spans="1:15" x14ac:dyDescent="0.3">
      <c r="A960" s="1">
        <v>43967</v>
      </c>
      <c r="B960">
        <v>1000000031</v>
      </c>
      <c r="C960" t="s">
        <v>23</v>
      </c>
      <c r="D960">
        <v>1</v>
      </c>
      <c r="E960">
        <v>20000.3</v>
      </c>
      <c r="F960" t="s">
        <v>16</v>
      </c>
      <c r="G960" t="s">
        <v>24</v>
      </c>
      <c r="H960" t="s">
        <v>18</v>
      </c>
      <c r="I960" t="s">
        <v>19</v>
      </c>
      <c r="J960" t="s">
        <v>26</v>
      </c>
      <c r="K960" t="s">
        <v>29</v>
      </c>
      <c r="L960" t="s">
        <v>28</v>
      </c>
      <c r="M960">
        <v>20000.3</v>
      </c>
      <c r="N960">
        <v>2020</v>
      </c>
      <c r="O960">
        <v>5</v>
      </c>
    </row>
    <row r="961" spans="1:15" x14ac:dyDescent="0.3">
      <c r="A961" s="1">
        <v>43967</v>
      </c>
      <c r="B961">
        <v>1000000566</v>
      </c>
      <c r="C961" t="s">
        <v>42</v>
      </c>
      <c r="D961">
        <v>2</v>
      </c>
      <c r="E961">
        <v>18000.7</v>
      </c>
      <c r="F961" t="s">
        <v>16</v>
      </c>
      <c r="G961" t="s">
        <v>43</v>
      </c>
      <c r="H961" t="s">
        <v>47</v>
      </c>
      <c r="I961" t="s">
        <v>48</v>
      </c>
      <c r="J961" t="s">
        <v>36</v>
      </c>
      <c r="K961" t="s">
        <v>49</v>
      </c>
      <c r="L961" t="s">
        <v>22</v>
      </c>
      <c r="M961">
        <v>9000.35</v>
      </c>
      <c r="N961">
        <v>2020</v>
      </c>
      <c r="O961">
        <v>5</v>
      </c>
    </row>
    <row r="962" spans="1:15" x14ac:dyDescent="0.3">
      <c r="A962" s="1">
        <v>43967</v>
      </c>
      <c r="B962">
        <v>1000000029</v>
      </c>
      <c r="C962" t="s">
        <v>15</v>
      </c>
      <c r="D962">
        <v>2</v>
      </c>
      <c r="E962">
        <v>15500.31</v>
      </c>
      <c r="F962" t="s">
        <v>16</v>
      </c>
      <c r="G962" t="s">
        <v>17</v>
      </c>
      <c r="H962" t="s">
        <v>18</v>
      </c>
      <c r="I962" t="s">
        <v>19</v>
      </c>
      <c r="J962" t="s">
        <v>20</v>
      </c>
      <c r="K962" t="s">
        <v>21</v>
      </c>
      <c r="L962" t="s">
        <v>22</v>
      </c>
      <c r="M962">
        <v>7750.1549999999997</v>
      </c>
      <c r="N962">
        <v>2020</v>
      </c>
      <c r="O962">
        <v>5</v>
      </c>
    </row>
    <row r="963" spans="1:15" x14ac:dyDescent="0.3">
      <c r="A963" s="1">
        <v>43967</v>
      </c>
      <c r="B963">
        <v>1000006860</v>
      </c>
      <c r="C963" t="s">
        <v>23</v>
      </c>
      <c r="D963">
        <v>1</v>
      </c>
      <c r="E963">
        <v>15000.71</v>
      </c>
      <c r="F963" t="s">
        <v>16</v>
      </c>
      <c r="G963" t="s">
        <v>24</v>
      </c>
      <c r="H963" t="s">
        <v>18</v>
      </c>
      <c r="I963" t="s">
        <v>61</v>
      </c>
      <c r="J963" t="s">
        <v>26</v>
      </c>
      <c r="K963" t="s">
        <v>62</v>
      </c>
      <c r="L963" t="s">
        <v>22</v>
      </c>
      <c r="M963">
        <v>15000.71</v>
      </c>
      <c r="N963">
        <v>2020</v>
      </c>
      <c r="O963">
        <v>5</v>
      </c>
    </row>
    <row r="964" spans="1:15" x14ac:dyDescent="0.3">
      <c r="A964" s="1">
        <v>43967</v>
      </c>
      <c r="B964">
        <v>1000004170</v>
      </c>
      <c r="C964" t="s">
        <v>42</v>
      </c>
      <c r="D964">
        <v>1</v>
      </c>
      <c r="E964">
        <v>15000.62</v>
      </c>
      <c r="F964" t="s">
        <v>16</v>
      </c>
      <c r="G964" t="s">
        <v>43</v>
      </c>
      <c r="H964" t="s">
        <v>18</v>
      </c>
      <c r="I964" t="s">
        <v>34</v>
      </c>
      <c r="J964" t="s">
        <v>20</v>
      </c>
      <c r="K964" t="s">
        <v>44</v>
      </c>
      <c r="L964" t="s">
        <v>28</v>
      </c>
      <c r="M964">
        <v>15000.62</v>
      </c>
      <c r="N964">
        <v>2020</v>
      </c>
      <c r="O964">
        <v>5</v>
      </c>
    </row>
    <row r="965" spans="1:15" x14ac:dyDescent="0.3">
      <c r="A965" s="1">
        <v>43967</v>
      </c>
      <c r="B965">
        <v>1000004256</v>
      </c>
      <c r="C965" t="s">
        <v>23</v>
      </c>
      <c r="D965">
        <v>1</v>
      </c>
      <c r="E965">
        <v>15000.34</v>
      </c>
      <c r="F965" t="s">
        <v>16</v>
      </c>
      <c r="G965" t="s">
        <v>24</v>
      </c>
      <c r="H965" t="s">
        <v>18</v>
      </c>
      <c r="I965" t="s">
        <v>40</v>
      </c>
      <c r="J965" t="s">
        <v>26</v>
      </c>
      <c r="K965" t="s">
        <v>41</v>
      </c>
      <c r="L965" t="s">
        <v>22</v>
      </c>
      <c r="M965">
        <v>15000.34</v>
      </c>
      <c r="N965">
        <v>2020</v>
      </c>
      <c r="O965">
        <v>5</v>
      </c>
    </row>
    <row r="966" spans="1:15" x14ac:dyDescent="0.3">
      <c r="A966" s="1">
        <v>43967</v>
      </c>
      <c r="B966">
        <v>1000000029</v>
      </c>
      <c r="C966" t="s">
        <v>42</v>
      </c>
      <c r="D966">
        <v>1</v>
      </c>
      <c r="E966">
        <v>15000.2</v>
      </c>
      <c r="F966" t="s">
        <v>16</v>
      </c>
      <c r="G966" t="s">
        <v>43</v>
      </c>
      <c r="H966" t="s">
        <v>18</v>
      </c>
      <c r="I966" t="s">
        <v>19</v>
      </c>
      <c r="J966" t="s">
        <v>20</v>
      </c>
      <c r="K966" t="s">
        <v>21</v>
      </c>
      <c r="L966" t="s">
        <v>22</v>
      </c>
      <c r="M966">
        <v>15000.2</v>
      </c>
      <c r="N966">
        <v>2020</v>
      </c>
      <c r="O966">
        <v>5</v>
      </c>
    </row>
    <row r="967" spans="1:15" x14ac:dyDescent="0.3">
      <c r="A967" s="1">
        <v>43967</v>
      </c>
      <c r="B967">
        <v>1000000576</v>
      </c>
      <c r="C967" t="s">
        <v>15</v>
      </c>
      <c r="D967">
        <v>1</v>
      </c>
      <c r="E967">
        <v>14000.34</v>
      </c>
      <c r="F967" t="s">
        <v>16</v>
      </c>
      <c r="G967" t="s">
        <v>17</v>
      </c>
      <c r="H967" t="s">
        <v>18</v>
      </c>
      <c r="I967" t="s">
        <v>25</v>
      </c>
      <c r="J967" t="s">
        <v>36</v>
      </c>
      <c r="K967" t="s">
        <v>37</v>
      </c>
      <c r="L967" t="s">
        <v>22</v>
      </c>
      <c r="M967">
        <v>14000.34</v>
      </c>
      <c r="N967">
        <v>2020</v>
      </c>
      <c r="O967">
        <v>5</v>
      </c>
    </row>
    <row r="968" spans="1:15" x14ac:dyDescent="0.3">
      <c r="A968" s="1">
        <v>43967</v>
      </c>
      <c r="B968">
        <v>1000000067</v>
      </c>
      <c r="C968" t="s">
        <v>15</v>
      </c>
      <c r="D968">
        <v>1</v>
      </c>
      <c r="E968">
        <v>13000.73</v>
      </c>
      <c r="F968" t="s">
        <v>16</v>
      </c>
      <c r="G968" t="s">
        <v>17</v>
      </c>
      <c r="H968" t="s">
        <v>18</v>
      </c>
      <c r="I968" t="s">
        <v>25</v>
      </c>
      <c r="J968" t="s">
        <v>20</v>
      </c>
      <c r="K968" t="s">
        <v>51</v>
      </c>
      <c r="L968" t="s">
        <v>22</v>
      </c>
      <c r="M968">
        <v>13000.73</v>
      </c>
      <c r="N968">
        <v>2020</v>
      </c>
      <c r="O968">
        <v>5</v>
      </c>
    </row>
    <row r="969" spans="1:15" x14ac:dyDescent="0.3">
      <c r="A969" s="1">
        <v>43967</v>
      </c>
      <c r="B969">
        <v>1000000050</v>
      </c>
      <c r="C969" t="s">
        <v>42</v>
      </c>
      <c r="D969">
        <v>2</v>
      </c>
      <c r="E969">
        <v>12000.52</v>
      </c>
      <c r="F969" t="s">
        <v>16</v>
      </c>
      <c r="G969" t="s">
        <v>43</v>
      </c>
      <c r="H969" t="s">
        <v>18</v>
      </c>
      <c r="I969" t="s">
        <v>40</v>
      </c>
      <c r="J969" t="s">
        <v>26</v>
      </c>
      <c r="K969" t="s">
        <v>41</v>
      </c>
      <c r="L969" t="s">
        <v>22</v>
      </c>
      <c r="M969">
        <v>6000.26</v>
      </c>
      <c r="N969">
        <v>2020</v>
      </c>
      <c r="O969">
        <v>5</v>
      </c>
    </row>
    <row r="970" spans="1:15" x14ac:dyDescent="0.3">
      <c r="A970" s="1">
        <v>43967</v>
      </c>
      <c r="B970">
        <v>1000004170</v>
      </c>
      <c r="C970" t="s">
        <v>15</v>
      </c>
      <c r="D970">
        <v>1</v>
      </c>
      <c r="E970">
        <v>12000.02</v>
      </c>
      <c r="F970" t="s">
        <v>16</v>
      </c>
      <c r="G970" t="s">
        <v>17</v>
      </c>
      <c r="H970" t="s">
        <v>18</v>
      </c>
      <c r="I970" t="s">
        <v>34</v>
      </c>
      <c r="J970" t="s">
        <v>20</v>
      </c>
      <c r="K970" t="s">
        <v>44</v>
      </c>
      <c r="L970" t="s">
        <v>28</v>
      </c>
      <c r="M970">
        <v>12000.02</v>
      </c>
      <c r="N970">
        <v>2020</v>
      </c>
      <c r="O970">
        <v>5</v>
      </c>
    </row>
    <row r="971" spans="1:15" x14ac:dyDescent="0.3">
      <c r="A971" s="1">
        <v>43967</v>
      </c>
      <c r="B971">
        <v>1000000104</v>
      </c>
      <c r="C971" t="s">
        <v>15</v>
      </c>
      <c r="D971">
        <v>1</v>
      </c>
      <c r="E971">
        <v>11000.02</v>
      </c>
      <c r="F971" t="s">
        <v>16</v>
      </c>
      <c r="G971" t="s">
        <v>17</v>
      </c>
      <c r="H971" t="s">
        <v>18</v>
      </c>
      <c r="I971" t="s">
        <v>40</v>
      </c>
      <c r="J971" t="s">
        <v>26</v>
      </c>
      <c r="K971" t="s">
        <v>41</v>
      </c>
      <c r="L971" t="s">
        <v>22</v>
      </c>
      <c r="M971">
        <v>11000.02</v>
      </c>
      <c r="N971">
        <v>2020</v>
      </c>
      <c r="O971">
        <v>5</v>
      </c>
    </row>
    <row r="972" spans="1:15" x14ac:dyDescent="0.3">
      <c r="A972" s="1">
        <v>43967</v>
      </c>
      <c r="B972">
        <v>1000000046</v>
      </c>
      <c r="C972" t="s">
        <v>42</v>
      </c>
      <c r="D972">
        <v>1</v>
      </c>
      <c r="E972">
        <v>10000.14</v>
      </c>
      <c r="F972" t="s">
        <v>16</v>
      </c>
      <c r="G972" t="s">
        <v>43</v>
      </c>
      <c r="H972" t="s">
        <v>30</v>
      </c>
      <c r="I972" t="s">
        <v>38</v>
      </c>
      <c r="J972" t="s">
        <v>26</v>
      </c>
      <c r="K972" t="s">
        <v>39</v>
      </c>
      <c r="L972" t="s">
        <v>22</v>
      </c>
      <c r="M972">
        <v>10000.14</v>
      </c>
      <c r="N972">
        <v>2020</v>
      </c>
      <c r="O972">
        <v>5</v>
      </c>
    </row>
    <row r="973" spans="1:15" x14ac:dyDescent="0.3">
      <c r="A973" s="1">
        <v>43967</v>
      </c>
      <c r="B973">
        <v>1000000068</v>
      </c>
      <c r="C973" t="s">
        <v>23</v>
      </c>
      <c r="D973">
        <v>1</v>
      </c>
      <c r="E973">
        <v>9000.57</v>
      </c>
      <c r="F973" t="s">
        <v>16</v>
      </c>
      <c r="G973" t="s">
        <v>24</v>
      </c>
      <c r="H973" t="s">
        <v>30</v>
      </c>
      <c r="I973" t="s">
        <v>55</v>
      </c>
      <c r="J973" t="s">
        <v>26</v>
      </c>
      <c r="K973" t="s">
        <v>56</v>
      </c>
      <c r="L973" t="s">
        <v>28</v>
      </c>
      <c r="M973">
        <v>9000.57</v>
      </c>
      <c r="N973">
        <v>2020</v>
      </c>
      <c r="O973">
        <v>5</v>
      </c>
    </row>
    <row r="974" spans="1:15" x14ac:dyDescent="0.3">
      <c r="A974" s="1">
        <v>43967</v>
      </c>
      <c r="B974">
        <v>1000000046</v>
      </c>
      <c r="C974" t="s">
        <v>15</v>
      </c>
      <c r="D974">
        <v>1</v>
      </c>
      <c r="E974">
        <v>9000.24</v>
      </c>
      <c r="F974" t="s">
        <v>16</v>
      </c>
      <c r="G974" t="s">
        <v>17</v>
      </c>
      <c r="H974" t="s">
        <v>30</v>
      </c>
      <c r="I974" t="s">
        <v>38</v>
      </c>
      <c r="J974" t="s">
        <v>26</v>
      </c>
      <c r="K974" t="s">
        <v>39</v>
      </c>
      <c r="L974" t="s">
        <v>22</v>
      </c>
      <c r="M974">
        <v>9000.24</v>
      </c>
      <c r="N974">
        <v>2020</v>
      </c>
      <c r="O974">
        <v>5</v>
      </c>
    </row>
    <row r="975" spans="1:15" x14ac:dyDescent="0.3">
      <c r="A975" s="1">
        <v>43967</v>
      </c>
      <c r="B975">
        <v>1000000104</v>
      </c>
      <c r="C975" t="s">
        <v>42</v>
      </c>
      <c r="D975">
        <v>1</v>
      </c>
      <c r="E975">
        <v>8999.94</v>
      </c>
      <c r="F975" t="s">
        <v>16</v>
      </c>
      <c r="G975" t="s">
        <v>43</v>
      </c>
      <c r="H975" t="s">
        <v>18</v>
      </c>
      <c r="I975" t="s">
        <v>40</v>
      </c>
      <c r="J975" t="s">
        <v>26</v>
      </c>
      <c r="K975" t="s">
        <v>41</v>
      </c>
      <c r="L975" t="s">
        <v>22</v>
      </c>
      <c r="M975">
        <v>8999.94</v>
      </c>
      <c r="N975">
        <v>2020</v>
      </c>
      <c r="O975">
        <v>5</v>
      </c>
    </row>
    <row r="976" spans="1:15" x14ac:dyDescent="0.3">
      <c r="A976" s="1">
        <v>43967</v>
      </c>
      <c r="B976">
        <v>1000000040</v>
      </c>
      <c r="C976" t="s">
        <v>23</v>
      </c>
      <c r="D976">
        <v>1</v>
      </c>
      <c r="E976">
        <v>8000.75</v>
      </c>
      <c r="F976" t="s">
        <v>16</v>
      </c>
      <c r="G976" t="s">
        <v>24</v>
      </c>
      <c r="H976" t="s">
        <v>30</v>
      </c>
      <c r="I976" t="s">
        <v>31</v>
      </c>
      <c r="J976" t="s">
        <v>32</v>
      </c>
      <c r="K976" t="s">
        <v>33</v>
      </c>
      <c r="L976" t="s">
        <v>28</v>
      </c>
      <c r="M976">
        <v>8000.75</v>
      </c>
      <c r="N976">
        <v>2020</v>
      </c>
      <c r="O976">
        <v>5</v>
      </c>
    </row>
    <row r="977" spans="1:15" x14ac:dyDescent="0.3">
      <c r="A977" s="1">
        <v>43967</v>
      </c>
      <c r="B977">
        <v>1000000040</v>
      </c>
      <c r="C977" t="s">
        <v>15</v>
      </c>
      <c r="D977">
        <v>1</v>
      </c>
      <c r="E977">
        <v>8000.23</v>
      </c>
      <c r="F977" t="s">
        <v>16</v>
      </c>
      <c r="G977" t="s">
        <v>17</v>
      </c>
      <c r="H977" t="s">
        <v>30</v>
      </c>
      <c r="I977" t="s">
        <v>31</v>
      </c>
      <c r="J977" t="s">
        <v>32</v>
      </c>
      <c r="K977" t="s">
        <v>33</v>
      </c>
      <c r="L977" t="s">
        <v>28</v>
      </c>
      <c r="M977">
        <v>8000.23</v>
      </c>
      <c r="N977">
        <v>2020</v>
      </c>
      <c r="O977">
        <v>5</v>
      </c>
    </row>
    <row r="978" spans="1:15" x14ac:dyDescent="0.3">
      <c r="A978" s="1">
        <v>43967</v>
      </c>
      <c r="B978">
        <v>1000000043</v>
      </c>
      <c r="C978" t="s">
        <v>15</v>
      </c>
      <c r="D978">
        <v>1</v>
      </c>
      <c r="E978">
        <v>7000.28</v>
      </c>
      <c r="F978" t="s">
        <v>16</v>
      </c>
      <c r="G978" t="s">
        <v>17</v>
      </c>
      <c r="H978" t="s">
        <v>30</v>
      </c>
      <c r="I978" t="s">
        <v>38</v>
      </c>
      <c r="J978" t="s">
        <v>26</v>
      </c>
      <c r="K978" t="s">
        <v>39</v>
      </c>
      <c r="L978" t="s">
        <v>22</v>
      </c>
      <c r="M978">
        <v>7000.28</v>
      </c>
      <c r="N978">
        <v>2020</v>
      </c>
      <c r="O978">
        <v>5</v>
      </c>
    </row>
    <row r="979" spans="1:15" x14ac:dyDescent="0.3">
      <c r="A979" s="1">
        <v>43967</v>
      </c>
      <c r="B979">
        <v>1000003803</v>
      </c>
      <c r="C979" t="s">
        <v>23</v>
      </c>
      <c r="D979">
        <v>1</v>
      </c>
      <c r="E979">
        <v>6999.99</v>
      </c>
      <c r="F979" t="s">
        <v>16</v>
      </c>
      <c r="G979" t="s">
        <v>24</v>
      </c>
      <c r="H979" t="s">
        <v>30</v>
      </c>
      <c r="I979" t="s">
        <v>31</v>
      </c>
      <c r="J979" t="s">
        <v>36</v>
      </c>
      <c r="K979" t="s">
        <v>52</v>
      </c>
      <c r="L979" t="s">
        <v>22</v>
      </c>
      <c r="M979">
        <v>6999.99</v>
      </c>
      <c r="N979">
        <v>2020</v>
      </c>
      <c r="O979">
        <v>5</v>
      </c>
    </row>
    <row r="980" spans="1:15" x14ac:dyDescent="0.3">
      <c r="A980" s="1">
        <v>43967</v>
      </c>
      <c r="B980">
        <v>1000006867</v>
      </c>
      <c r="C980" t="s">
        <v>15</v>
      </c>
      <c r="D980">
        <v>1</v>
      </c>
      <c r="E980">
        <v>6999.99</v>
      </c>
      <c r="F980" t="s">
        <v>16</v>
      </c>
      <c r="G980" t="s">
        <v>17</v>
      </c>
      <c r="H980" t="s">
        <v>18</v>
      </c>
      <c r="I980" t="s">
        <v>61</v>
      </c>
      <c r="J980" t="s">
        <v>26</v>
      </c>
      <c r="K980" t="s">
        <v>62</v>
      </c>
      <c r="L980" t="s">
        <v>22</v>
      </c>
      <c r="M980">
        <v>6999.99</v>
      </c>
      <c r="N980">
        <v>2020</v>
      </c>
      <c r="O980">
        <v>5</v>
      </c>
    </row>
    <row r="981" spans="1:15" x14ac:dyDescent="0.3">
      <c r="A981" s="1">
        <v>43967</v>
      </c>
      <c r="B981">
        <v>1000000041</v>
      </c>
      <c r="C981" t="s">
        <v>23</v>
      </c>
      <c r="D981">
        <v>1</v>
      </c>
      <c r="E981">
        <v>6000.3</v>
      </c>
      <c r="F981" t="s">
        <v>16</v>
      </c>
      <c r="G981" t="s">
        <v>24</v>
      </c>
      <c r="H981" t="s">
        <v>30</v>
      </c>
      <c r="I981" t="s">
        <v>31</v>
      </c>
      <c r="J981" t="s">
        <v>32</v>
      </c>
      <c r="K981" t="s">
        <v>33</v>
      </c>
      <c r="L981" t="s">
        <v>22</v>
      </c>
      <c r="M981">
        <v>6000.3</v>
      </c>
      <c r="N981">
        <v>2020</v>
      </c>
      <c r="O981">
        <v>5</v>
      </c>
    </row>
    <row r="982" spans="1:15" x14ac:dyDescent="0.3">
      <c r="A982" s="1">
        <v>43967</v>
      </c>
      <c r="B982">
        <v>1000000043</v>
      </c>
      <c r="C982" t="s">
        <v>23</v>
      </c>
      <c r="D982">
        <v>1</v>
      </c>
      <c r="E982">
        <v>5500.74</v>
      </c>
      <c r="F982" t="s">
        <v>16</v>
      </c>
      <c r="G982" t="s">
        <v>24</v>
      </c>
      <c r="H982" t="s">
        <v>30</v>
      </c>
      <c r="I982" t="s">
        <v>38</v>
      </c>
      <c r="J982" t="s">
        <v>26</v>
      </c>
      <c r="K982" t="s">
        <v>39</v>
      </c>
      <c r="L982" t="s">
        <v>22</v>
      </c>
      <c r="M982">
        <v>5500.74</v>
      </c>
      <c r="N982">
        <v>2020</v>
      </c>
      <c r="O982">
        <v>5</v>
      </c>
    </row>
    <row r="983" spans="1:15" x14ac:dyDescent="0.3">
      <c r="A983" s="1">
        <v>43967</v>
      </c>
      <c r="B983">
        <v>1000000049</v>
      </c>
      <c r="C983" t="s">
        <v>42</v>
      </c>
      <c r="D983">
        <v>1</v>
      </c>
      <c r="E983">
        <v>5000.1499999999996</v>
      </c>
      <c r="F983" t="s">
        <v>16</v>
      </c>
      <c r="G983" t="s">
        <v>43</v>
      </c>
      <c r="H983" t="s">
        <v>18</v>
      </c>
      <c r="I983" t="s">
        <v>40</v>
      </c>
      <c r="J983" t="s">
        <v>26</v>
      </c>
      <c r="K983" t="s">
        <v>41</v>
      </c>
      <c r="L983" t="s">
        <v>22</v>
      </c>
      <c r="M983">
        <v>5000.1499999999996</v>
      </c>
      <c r="N983">
        <v>2020</v>
      </c>
      <c r="O983">
        <v>5</v>
      </c>
    </row>
    <row r="984" spans="1:15" x14ac:dyDescent="0.3">
      <c r="A984" s="1">
        <v>43967</v>
      </c>
      <c r="B984">
        <v>1000000237</v>
      </c>
      <c r="C984" t="s">
        <v>15</v>
      </c>
      <c r="D984">
        <v>1</v>
      </c>
      <c r="E984">
        <v>5000.1400000000003</v>
      </c>
      <c r="F984" t="s">
        <v>16</v>
      </c>
      <c r="G984" t="s">
        <v>17</v>
      </c>
      <c r="H984" t="s">
        <v>18</v>
      </c>
      <c r="I984" t="s">
        <v>40</v>
      </c>
      <c r="J984" t="s">
        <v>26</v>
      </c>
      <c r="K984" t="s">
        <v>41</v>
      </c>
      <c r="L984" t="s">
        <v>22</v>
      </c>
      <c r="M984">
        <v>5000.1400000000003</v>
      </c>
      <c r="N984">
        <v>2020</v>
      </c>
      <c r="O984">
        <v>5</v>
      </c>
    </row>
    <row r="985" spans="1:15" x14ac:dyDescent="0.3">
      <c r="A985" s="1">
        <v>43967</v>
      </c>
      <c r="B985">
        <v>1000000037</v>
      </c>
      <c r="C985" t="s">
        <v>42</v>
      </c>
      <c r="D985">
        <v>1</v>
      </c>
      <c r="E985">
        <v>4401.42</v>
      </c>
      <c r="F985" t="s">
        <v>16</v>
      </c>
      <c r="G985" t="s">
        <v>43</v>
      </c>
      <c r="H985" t="s">
        <v>18</v>
      </c>
      <c r="I985" t="s">
        <v>19</v>
      </c>
      <c r="J985" t="s">
        <v>20</v>
      </c>
      <c r="K985" t="s">
        <v>21</v>
      </c>
      <c r="L985" t="s">
        <v>22</v>
      </c>
      <c r="M985">
        <v>4401.42</v>
      </c>
      <c r="N985">
        <v>2020</v>
      </c>
      <c r="O985">
        <v>5</v>
      </c>
    </row>
    <row r="986" spans="1:15" x14ac:dyDescent="0.3">
      <c r="A986" s="1">
        <v>43967</v>
      </c>
      <c r="B986">
        <v>1000000044</v>
      </c>
      <c r="C986" t="s">
        <v>15</v>
      </c>
      <c r="D986">
        <v>1</v>
      </c>
      <c r="E986">
        <v>4000.73</v>
      </c>
      <c r="F986" t="s">
        <v>16</v>
      </c>
      <c r="G986" t="s">
        <v>17</v>
      </c>
      <c r="H986" t="s">
        <v>30</v>
      </c>
      <c r="I986" t="s">
        <v>31</v>
      </c>
      <c r="J986" t="s">
        <v>36</v>
      </c>
      <c r="K986" t="s">
        <v>52</v>
      </c>
      <c r="L986" t="s">
        <v>28</v>
      </c>
      <c r="M986">
        <v>4000.73</v>
      </c>
      <c r="N986">
        <v>2020</v>
      </c>
      <c r="O986">
        <v>5</v>
      </c>
    </row>
    <row r="987" spans="1:15" x14ac:dyDescent="0.3">
      <c r="A987" s="1">
        <v>43967</v>
      </c>
      <c r="B987">
        <v>1000000036</v>
      </c>
      <c r="C987" t="s">
        <v>42</v>
      </c>
      <c r="D987">
        <v>1</v>
      </c>
      <c r="E987">
        <v>3000.67</v>
      </c>
      <c r="F987" t="s">
        <v>16</v>
      </c>
      <c r="G987" t="s">
        <v>43</v>
      </c>
      <c r="H987" t="s">
        <v>47</v>
      </c>
      <c r="I987" t="s">
        <v>48</v>
      </c>
      <c r="J987" t="s">
        <v>36</v>
      </c>
      <c r="K987" t="s">
        <v>49</v>
      </c>
      <c r="L987" t="s">
        <v>28</v>
      </c>
      <c r="M987">
        <v>3000.67</v>
      </c>
      <c r="N987">
        <v>2020</v>
      </c>
      <c r="O987">
        <v>5</v>
      </c>
    </row>
    <row r="988" spans="1:15" x14ac:dyDescent="0.3">
      <c r="A988" s="1">
        <v>43967</v>
      </c>
      <c r="B988">
        <v>1000000057</v>
      </c>
      <c r="C988" t="s">
        <v>42</v>
      </c>
      <c r="D988">
        <v>1</v>
      </c>
      <c r="E988">
        <v>762.28</v>
      </c>
      <c r="F988" t="s">
        <v>16</v>
      </c>
      <c r="G988" t="s">
        <v>43</v>
      </c>
      <c r="H988" t="s">
        <v>18</v>
      </c>
      <c r="I988" t="s">
        <v>34</v>
      </c>
      <c r="J988" t="s">
        <v>20</v>
      </c>
      <c r="K988" t="s">
        <v>44</v>
      </c>
      <c r="L988" t="s">
        <v>22</v>
      </c>
      <c r="M988">
        <v>762.28</v>
      </c>
      <c r="N988">
        <v>2020</v>
      </c>
      <c r="O988">
        <v>5</v>
      </c>
    </row>
    <row r="989" spans="1:15" x14ac:dyDescent="0.3">
      <c r="A989" s="1">
        <v>43968</v>
      </c>
      <c r="B989">
        <v>1000000028</v>
      </c>
      <c r="C989" t="s">
        <v>15</v>
      </c>
      <c r="D989">
        <v>4</v>
      </c>
      <c r="E989">
        <v>60001.53</v>
      </c>
      <c r="F989" t="s">
        <v>16</v>
      </c>
      <c r="G989" t="s">
        <v>17</v>
      </c>
      <c r="H989" t="s">
        <v>18</v>
      </c>
      <c r="I989" t="s">
        <v>19</v>
      </c>
      <c r="J989" t="s">
        <v>20</v>
      </c>
      <c r="K989" t="s">
        <v>21</v>
      </c>
      <c r="L989" t="s">
        <v>22</v>
      </c>
      <c r="M989">
        <v>15000.3825</v>
      </c>
      <c r="N989">
        <v>2020</v>
      </c>
      <c r="O989">
        <v>5</v>
      </c>
    </row>
    <row r="990" spans="1:15" x14ac:dyDescent="0.3">
      <c r="A990" s="1">
        <v>43968</v>
      </c>
      <c r="B990">
        <v>1000003926</v>
      </c>
      <c r="C990" t="s">
        <v>23</v>
      </c>
      <c r="D990">
        <v>3</v>
      </c>
      <c r="E990">
        <v>36000.36</v>
      </c>
      <c r="F990" t="s">
        <v>16</v>
      </c>
      <c r="G990" t="s">
        <v>24</v>
      </c>
      <c r="H990" t="s">
        <v>47</v>
      </c>
      <c r="I990" t="s">
        <v>48</v>
      </c>
      <c r="J990" t="s">
        <v>26</v>
      </c>
      <c r="K990" t="s">
        <v>50</v>
      </c>
      <c r="L990" t="s">
        <v>28</v>
      </c>
      <c r="M990">
        <v>12000.12</v>
      </c>
      <c r="N990">
        <v>2020</v>
      </c>
      <c r="O990">
        <v>5</v>
      </c>
    </row>
    <row r="991" spans="1:15" x14ac:dyDescent="0.3">
      <c r="A991" s="1">
        <v>43968</v>
      </c>
      <c r="B991">
        <v>1000006064</v>
      </c>
      <c r="C991" t="s">
        <v>42</v>
      </c>
      <c r="D991">
        <v>2</v>
      </c>
      <c r="E991">
        <v>31000.42</v>
      </c>
      <c r="F991" t="s">
        <v>16</v>
      </c>
      <c r="G991" t="s">
        <v>43</v>
      </c>
      <c r="H991" t="s">
        <v>18</v>
      </c>
      <c r="I991" t="s">
        <v>40</v>
      </c>
      <c r="J991" t="s">
        <v>26</v>
      </c>
      <c r="K991" t="s">
        <v>41</v>
      </c>
      <c r="L991" t="s">
        <v>22</v>
      </c>
      <c r="M991">
        <v>15500.21</v>
      </c>
      <c r="N991">
        <v>2020</v>
      </c>
      <c r="O991">
        <v>5</v>
      </c>
    </row>
    <row r="992" spans="1:15" x14ac:dyDescent="0.3">
      <c r="A992" s="1">
        <v>43968</v>
      </c>
      <c r="B992">
        <v>1000000043</v>
      </c>
      <c r="C992" t="s">
        <v>42</v>
      </c>
      <c r="D992">
        <v>1</v>
      </c>
      <c r="E992">
        <v>25000.66</v>
      </c>
      <c r="F992" t="s">
        <v>16</v>
      </c>
      <c r="G992" t="s">
        <v>43</v>
      </c>
      <c r="H992" t="s">
        <v>30</v>
      </c>
      <c r="I992" t="s">
        <v>38</v>
      </c>
      <c r="J992" t="s">
        <v>26</v>
      </c>
      <c r="K992" t="s">
        <v>39</v>
      </c>
      <c r="L992" t="s">
        <v>22</v>
      </c>
      <c r="M992">
        <v>25000.66</v>
      </c>
      <c r="N992">
        <v>2020</v>
      </c>
      <c r="O992">
        <v>5</v>
      </c>
    </row>
    <row r="993" spans="1:15" x14ac:dyDescent="0.3">
      <c r="A993" s="1">
        <v>43968</v>
      </c>
      <c r="B993">
        <v>1000000928</v>
      </c>
      <c r="C993" t="s">
        <v>15</v>
      </c>
      <c r="D993">
        <v>2</v>
      </c>
      <c r="E993">
        <v>25000.57</v>
      </c>
      <c r="F993" t="s">
        <v>16</v>
      </c>
      <c r="G993" t="s">
        <v>17</v>
      </c>
      <c r="H993" t="s">
        <v>30</v>
      </c>
      <c r="I993" t="s">
        <v>57</v>
      </c>
      <c r="J993" t="s">
        <v>26</v>
      </c>
      <c r="K993" t="s">
        <v>58</v>
      </c>
      <c r="L993" t="s">
        <v>22</v>
      </c>
      <c r="M993">
        <v>12500.285</v>
      </c>
      <c r="N993">
        <v>2020</v>
      </c>
      <c r="O993">
        <v>5</v>
      </c>
    </row>
    <row r="994" spans="1:15" x14ac:dyDescent="0.3">
      <c r="A994" s="1">
        <v>43968</v>
      </c>
      <c r="B994">
        <v>1000000068</v>
      </c>
      <c r="C994" t="s">
        <v>15</v>
      </c>
      <c r="D994">
        <v>1</v>
      </c>
      <c r="E994">
        <v>22000.41</v>
      </c>
      <c r="F994" t="s">
        <v>16</v>
      </c>
      <c r="G994" t="s">
        <v>17</v>
      </c>
      <c r="H994" t="s">
        <v>30</v>
      </c>
      <c r="I994" t="s">
        <v>55</v>
      </c>
      <c r="J994" t="s">
        <v>26</v>
      </c>
      <c r="K994" t="s">
        <v>56</v>
      </c>
      <c r="L994" t="s">
        <v>28</v>
      </c>
      <c r="M994">
        <v>22000.41</v>
      </c>
      <c r="N994">
        <v>2020</v>
      </c>
      <c r="O994">
        <v>5</v>
      </c>
    </row>
    <row r="995" spans="1:15" x14ac:dyDescent="0.3">
      <c r="A995" s="1">
        <v>43968</v>
      </c>
      <c r="B995">
        <v>1000003803</v>
      </c>
      <c r="C995" t="s">
        <v>15</v>
      </c>
      <c r="D995">
        <v>1</v>
      </c>
      <c r="E995">
        <v>20000.61</v>
      </c>
      <c r="F995" t="s">
        <v>16</v>
      </c>
      <c r="G995" t="s">
        <v>17</v>
      </c>
      <c r="H995" t="s">
        <v>30</v>
      </c>
      <c r="I995" t="s">
        <v>31</v>
      </c>
      <c r="J995" t="s">
        <v>36</v>
      </c>
      <c r="K995" t="s">
        <v>52</v>
      </c>
      <c r="L995" t="s">
        <v>22</v>
      </c>
      <c r="M995">
        <v>20000.61</v>
      </c>
      <c r="N995">
        <v>2020</v>
      </c>
      <c r="O995">
        <v>5</v>
      </c>
    </row>
    <row r="996" spans="1:15" x14ac:dyDescent="0.3">
      <c r="A996" s="1">
        <v>43968</v>
      </c>
      <c r="B996">
        <v>1000000056</v>
      </c>
      <c r="C996" t="s">
        <v>15</v>
      </c>
      <c r="D996">
        <v>2</v>
      </c>
      <c r="E996">
        <v>19500.57</v>
      </c>
      <c r="F996" t="s">
        <v>16</v>
      </c>
      <c r="G996" t="s">
        <v>17</v>
      </c>
      <c r="H996" t="s">
        <v>18</v>
      </c>
      <c r="I996" t="s">
        <v>34</v>
      </c>
      <c r="J996" t="s">
        <v>26</v>
      </c>
      <c r="K996" t="s">
        <v>35</v>
      </c>
      <c r="L996" t="s">
        <v>28</v>
      </c>
      <c r="M996">
        <v>9750.2849999999999</v>
      </c>
      <c r="N996">
        <v>2020</v>
      </c>
      <c r="O996">
        <v>5</v>
      </c>
    </row>
    <row r="997" spans="1:15" x14ac:dyDescent="0.3">
      <c r="A997" s="1">
        <v>43968</v>
      </c>
      <c r="B997">
        <v>1000000050</v>
      </c>
      <c r="C997" t="s">
        <v>42</v>
      </c>
      <c r="D997">
        <v>2</v>
      </c>
      <c r="E997">
        <v>19000.79</v>
      </c>
      <c r="F997" t="s">
        <v>16</v>
      </c>
      <c r="G997" t="s">
        <v>43</v>
      </c>
      <c r="H997" t="s">
        <v>18</v>
      </c>
      <c r="I997" t="s">
        <v>40</v>
      </c>
      <c r="J997" t="s">
        <v>26</v>
      </c>
      <c r="K997" t="s">
        <v>41</v>
      </c>
      <c r="L997" t="s">
        <v>22</v>
      </c>
      <c r="M997">
        <v>9500.3950000000004</v>
      </c>
      <c r="N997">
        <v>2020</v>
      </c>
      <c r="O997">
        <v>5</v>
      </c>
    </row>
    <row r="998" spans="1:15" x14ac:dyDescent="0.3">
      <c r="A998" s="1">
        <v>43968</v>
      </c>
      <c r="B998">
        <v>1000000566</v>
      </c>
      <c r="C998" t="s">
        <v>15</v>
      </c>
      <c r="D998">
        <v>1</v>
      </c>
      <c r="E998">
        <v>18000.419999999998</v>
      </c>
      <c r="F998" t="s">
        <v>16</v>
      </c>
      <c r="G998" t="s">
        <v>17</v>
      </c>
      <c r="H998" t="s">
        <v>47</v>
      </c>
      <c r="I998" t="s">
        <v>48</v>
      </c>
      <c r="J998" t="s">
        <v>36</v>
      </c>
      <c r="K998" t="s">
        <v>49</v>
      </c>
      <c r="L998" t="s">
        <v>22</v>
      </c>
      <c r="M998">
        <v>18000.419999999998</v>
      </c>
      <c r="N998">
        <v>2020</v>
      </c>
      <c r="O998">
        <v>5</v>
      </c>
    </row>
    <row r="999" spans="1:15" x14ac:dyDescent="0.3">
      <c r="A999" s="1">
        <v>43968</v>
      </c>
      <c r="B999">
        <v>1000006867</v>
      </c>
      <c r="C999" t="s">
        <v>15</v>
      </c>
      <c r="D999">
        <v>1</v>
      </c>
      <c r="E999">
        <v>18000.189999999999</v>
      </c>
      <c r="F999" t="s">
        <v>16</v>
      </c>
      <c r="G999" t="s">
        <v>17</v>
      </c>
      <c r="H999" t="s">
        <v>18</v>
      </c>
      <c r="I999" t="s">
        <v>61</v>
      </c>
      <c r="J999" t="s">
        <v>26</v>
      </c>
      <c r="K999" t="s">
        <v>62</v>
      </c>
      <c r="L999" t="s">
        <v>22</v>
      </c>
      <c r="M999">
        <v>18000.189999999999</v>
      </c>
      <c r="N999">
        <v>2020</v>
      </c>
      <c r="O999">
        <v>5</v>
      </c>
    </row>
    <row r="1000" spans="1:15" x14ac:dyDescent="0.3">
      <c r="A1000" s="1">
        <v>43968</v>
      </c>
      <c r="B1000">
        <v>1000000041</v>
      </c>
      <c r="C1000" t="s">
        <v>23</v>
      </c>
      <c r="D1000">
        <v>2</v>
      </c>
      <c r="E1000">
        <v>17500.96</v>
      </c>
      <c r="F1000" t="s">
        <v>16</v>
      </c>
      <c r="G1000" t="s">
        <v>24</v>
      </c>
      <c r="H1000" t="s">
        <v>30</v>
      </c>
      <c r="I1000" t="s">
        <v>31</v>
      </c>
      <c r="J1000" t="s">
        <v>32</v>
      </c>
      <c r="K1000" t="s">
        <v>33</v>
      </c>
      <c r="L1000" t="s">
        <v>22</v>
      </c>
      <c r="M1000">
        <v>8750.48</v>
      </c>
      <c r="N1000">
        <v>2020</v>
      </c>
      <c r="O1000">
        <v>5</v>
      </c>
    </row>
    <row r="1001" spans="1:15" x14ac:dyDescent="0.3">
      <c r="A1001" s="1">
        <v>43968</v>
      </c>
      <c r="B1001">
        <v>1000000576</v>
      </c>
      <c r="C1001" t="s">
        <v>15</v>
      </c>
      <c r="D1001">
        <v>1</v>
      </c>
      <c r="E1001">
        <v>16999.95</v>
      </c>
      <c r="F1001" t="s">
        <v>16</v>
      </c>
      <c r="G1001" t="s">
        <v>17</v>
      </c>
      <c r="H1001" t="s">
        <v>18</v>
      </c>
      <c r="I1001" t="s">
        <v>25</v>
      </c>
      <c r="J1001" t="s">
        <v>36</v>
      </c>
      <c r="K1001" t="s">
        <v>37</v>
      </c>
      <c r="L1001" t="s">
        <v>22</v>
      </c>
      <c r="M1001">
        <v>16999.95</v>
      </c>
      <c r="N1001">
        <v>2020</v>
      </c>
      <c r="O1001">
        <v>5</v>
      </c>
    </row>
    <row r="1002" spans="1:15" x14ac:dyDescent="0.3">
      <c r="A1002" s="1">
        <v>43968</v>
      </c>
      <c r="B1002">
        <v>1000000054</v>
      </c>
      <c r="C1002" t="s">
        <v>15</v>
      </c>
      <c r="D1002">
        <v>2</v>
      </c>
      <c r="E1002">
        <v>16000.93</v>
      </c>
      <c r="F1002" t="s">
        <v>16</v>
      </c>
      <c r="G1002" t="s">
        <v>17</v>
      </c>
      <c r="H1002" t="s">
        <v>18</v>
      </c>
      <c r="I1002" t="s">
        <v>34</v>
      </c>
      <c r="J1002" t="s">
        <v>26</v>
      </c>
      <c r="K1002" t="s">
        <v>35</v>
      </c>
      <c r="L1002" t="s">
        <v>22</v>
      </c>
      <c r="M1002">
        <v>8000.4650000000001</v>
      </c>
      <c r="N1002">
        <v>2020</v>
      </c>
      <c r="O1002">
        <v>5</v>
      </c>
    </row>
    <row r="1003" spans="1:15" x14ac:dyDescent="0.3">
      <c r="A1003" s="1">
        <v>43968</v>
      </c>
      <c r="B1003">
        <v>1000000028</v>
      </c>
      <c r="C1003" t="s">
        <v>42</v>
      </c>
      <c r="D1003">
        <v>1</v>
      </c>
      <c r="E1003">
        <v>16000.74</v>
      </c>
      <c r="F1003" t="s">
        <v>16</v>
      </c>
      <c r="G1003" t="s">
        <v>43</v>
      </c>
      <c r="H1003" t="s">
        <v>18</v>
      </c>
      <c r="I1003" t="s">
        <v>19</v>
      </c>
      <c r="J1003" t="s">
        <v>20</v>
      </c>
      <c r="K1003" t="s">
        <v>21</v>
      </c>
      <c r="L1003" t="s">
        <v>22</v>
      </c>
      <c r="M1003">
        <v>16000.74</v>
      </c>
      <c r="N1003">
        <v>2020</v>
      </c>
      <c r="O1003">
        <v>5</v>
      </c>
    </row>
    <row r="1004" spans="1:15" x14ac:dyDescent="0.3">
      <c r="A1004" s="1">
        <v>43968</v>
      </c>
      <c r="B1004">
        <v>1000006860</v>
      </c>
      <c r="C1004" t="s">
        <v>15</v>
      </c>
      <c r="D1004">
        <v>1</v>
      </c>
      <c r="E1004">
        <v>16000.68</v>
      </c>
      <c r="F1004" t="s">
        <v>16</v>
      </c>
      <c r="G1004" t="s">
        <v>17</v>
      </c>
      <c r="H1004" t="s">
        <v>18</v>
      </c>
      <c r="I1004" t="s">
        <v>61</v>
      </c>
      <c r="J1004" t="s">
        <v>26</v>
      </c>
      <c r="K1004" t="s">
        <v>62</v>
      </c>
      <c r="L1004" t="s">
        <v>22</v>
      </c>
      <c r="M1004">
        <v>16000.68</v>
      </c>
      <c r="N1004">
        <v>2020</v>
      </c>
      <c r="O1004">
        <v>5</v>
      </c>
    </row>
    <row r="1005" spans="1:15" x14ac:dyDescent="0.3">
      <c r="A1005" s="1">
        <v>43968</v>
      </c>
      <c r="B1005">
        <v>1000007197</v>
      </c>
      <c r="C1005" t="s">
        <v>42</v>
      </c>
      <c r="D1005">
        <v>1</v>
      </c>
      <c r="E1005">
        <v>16000.43</v>
      </c>
      <c r="F1005" t="s">
        <v>16</v>
      </c>
      <c r="G1005" t="s">
        <v>43</v>
      </c>
      <c r="H1005" t="s">
        <v>18</v>
      </c>
      <c r="I1005" t="s">
        <v>40</v>
      </c>
      <c r="J1005" t="s">
        <v>26</v>
      </c>
      <c r="K1005" t="s">
        <v>41</v>
      </c>
      <c r="L1005" t="s">
        <v>22</v>
      </c>
      <c r="M1005">
        <v>16000.43</v>
      </c>
      <c r="N1005">
        <v>2020</v>
      </c>
      <c r="O1005">
        <v>5</v>
      </c>
    </row>
    <row r="1006" spans="1:15" x14ac:dyDescent="0.3">
      <c r="A1006" s="1">
        <v>43968</v>
      </c>
      <c r="B1006">
        <v>1000000034</v>
      </c>
      <c r="C1006" t="s">
        <v>15</v>
      </c>
      <c r="D1006">
        <v>1</v>
      </c>
      <c r="E1006">
        <v>15000</v>
      </c>
      <c r="F1006" t="s">
        <v>16</v>
      </c>
      <c r="G1006" t="s">
        <v>17</v>
      </c>
      <c r="H1006" t="s">
        <v>18</v>
      </c>
      <c r="I1006" t="s">
        <v>25</v>
      </c>
      <c r="J1006" t="s">
        <v>26</v>
      </c>
      <c r="K1006" t="s">
        <v>27</v>
      </c>
      <c r="L1006" t="s">
        <v>22</v>
      </c>
      <c r="M1006">
        <v>15000</v>
      </c>
      <c r="N1006">
        <v>2020</v>
      </c>
      <c r="O1006">
        <v>5</v>
      </c>
    </row>
    <row r="1007" spans="1:15" x14ac:dyDescent="0.3">
      <c r="A1007" s="1">
        <v>43968</v>
      </c>
      <c r="B1007">
        <v>1000000104</v>
      </c>
      <c r="C1007" t="s">
        <v>15</v>
      </c>
      <c r="D1007">
        <v>1</v>
      </c>
      <c r="E1007">
        <v>13000.36</v>
      </c>
      <c r="F1007" t="s">
        <v>16</v>
      </c>
      <c r="G1007" t="s">
        <v>17</v>
      </c>
      <c r="H1007" t="s">
        <v>18</v>
      </c>
      <c r="I1007" t="s">
        <v>40</v>
      </c>
      <c r="J1007" t="s">
        <v>26</v>
      </c>
      <c r="K1007" t="s">
        <v>41</v>
      </c>
      <c r="L1007" t="s">
        <v>22</v>
      </c>
      <c r="M1007">
        <v>13000.36</v>
      </c>
      <c r="N1007">
        <v>2020</v>
      </c>
      <c r="O1007">
        <v>5</v>
      </c>
    </row>
    <row r="1008" spans="1:15" x14ac:dyDescent="0.3">
      <c r="A1008" s="1">
        <v>43968</v>
      </c>
      <c r="B1008">
        <v>1000007320</v>
      </c>
      <c r="C1008" t="s">
        <v>15</v>
      </c>
      <c r="D1008">
        <v>1</v>
      </c>
      <c r="E1008">
        <v>12999.96</v>
      </c>
      <c r="F1008" t="s">
        <v>16</v>
      </c>
      <c r="G1008" t="s">
        <v>17</v>
      </c>
      <c r="H1008" t="s">
        <v>18</v>
      </c>
      <c r="I1008" t="s">
        <v>34</v>
      </c>
      <c r="J1008" t="s">
        <v>26</v>
      </c>
      <c r="K1008" t="s">
        <v>35</v>
      </c>
      <c r="L1008" t="s">
        <v>22</v>
      </c>
      <c r="M1008">
        <v>12999.96</v>
      </c>
      <c r="N1008">
        <v>2020</v>
      </c>
      <c r="O1008">
        <v>5</v>
      </c>
    </row>
    <row r="1009" spans="1:15" x14ac:dyDescent="0.3">
      <c r="A1009" s="1">
        <v>43968</v>
      </c>
      <c r="B1009">
        <v>1000000237</v>
      </c>
      <c r="C1009" t="s">
        <v>15</v>
      </c>
      <c r="D1009">
        <v>1</v>
      </c>
      <c r="E1009">
        <v>12000.55</v>
      </c>
      <c r="F1009" t="s">
        <v>16</v>
      </c>
      <c r="G1009" t="s">
        <v>17</v>
      </c>
      <c r="H1009" t="s">
        <v>18</v>
      </c>
      <c r="I1009" t="s">
        <v>40</v>
      </c>
      <c r="J1009" t="s">
        <v>26</v>
      </c>
      <c r="K1009" t="s">
        <v>41</v>
      </c>
      <c r="L1009" t="s">
        <v>22</v>
      </c>
      <c r="M1009">
        <v>12000.55</v>
      </c>
      <c r="N1009">
        <v>2020</v>
      </c>
      <c r="O1009">
        <v>5</v>
      </c>
    </row>
    <row r="1010" spans="1:15" x14ac:dyDescent="0.3">
      <c r="A1010" s="1">
        <v>43968</v>
      </c>
      <c r="B1010">
        <v>1000000032</v>
      </c>
      <c r="C1010" t="s">
        <v>23</v>
      </c>
      <c r="D1010">
        <v>2</v>
      </c>
      <c r="E1010">
        <v>11000.47</v>
      </c>
      <c r="F1010" t="s">
        <v>16</v>
      </c>
      <c r="G1010" t="s">
        <v>24</v>
      </c>
      <c r="H1010" t="s">
        <v>18</v>
      </c>
      <c r="I1010" t="s">
        <v>25</v>
      </c>
      <c r="J1010" t="s">
        <v>26</v>
      </c>
      <c r="K1010" t="s">
        <v>27</v>
      </c>
      <c r="L1010" t="s">
        <v>28</v>
      </c>
      <c r="M1010">
        <v>5500.2349999999997</v>
      </c>
      <c r="N1010">
        <v>2020</v>
      </c>
      <c r="O1010">
        <v>5</v>
      </c>
    </row>
    <row r="1011" spans="1:15" x14ac:dyDescent="0.3">
      <c r="A1011" s="1">
        <v>43968</v>
      </c>
      <c r="B1011">
        <v>1000000036</v>
      </c>
      <c r="C1011" t="s">
        <v>15</v>
      </c>
      <c r="D1011">
        <v>1</v>
      </c>
      <c r="E1011">
        <v>10000.31</v>
      </c>
      <c r="F1011" t="s">
        <v>16</v>
      </c>
      <c r="G1011" t="s">
        <v>17</v>
      </c>
      <c r="H1011" t="s">
        <v>47</v>
      </c>
      <c r="I1011" t="s">
        <v>48</v>
      </c>
      <c r="J1011" t="s">
        <v>36</v>
      </c>
      <c r="K1011" t="s">
        <v>49</v>
      </c>
      <c r="L1011" t="s">
        <v>28</v>
      </c>
      <c r="M1011">
        <v>10000.31</v>
      </c>
      <c r="N1011">
        <v>2020</v>
      </c>
      <c r="O1011">
        <v>5</v>
      </c>
    </row>
    <row r="1012" spans="1:15" x14ac:dyDescent="0.3">
      <c r="A1012" s="1">
        <v>43968</v>
      </c>
      <c r="B1012">
        <v>1000000045</v>
      </c>
      <c r="C1012" t="s">
        <v>15</v>
      </c>
      <c r="D1012">
        <v>1</v>
      </c>
      <c r="E1012">
        <v>10000.25</v>
      </c>
      <c r="F1012" t="s">
        <v>16</v>
      </c>
      <c r="G1012" t="s">
        <v>17</v>
      </c>
      <c r="H1012" t="s">
        <v>47</v>
      </c>
      <c r="I1012" t="s">
        <v>59</v>
      </c>
      <c r="J1012" t="s">
        <v>26</v>
      </c>
      <c r="K1012" t="s">
        <v>60</v>
      </c>
      <c r="L1012" t="s">
        <v>22</v>
      </c>
      <c r="M1012">
        <v>10000.25</v>
      </c>
      <c r="N1012">
        <v>2020</v>
      </c>
      <c r="O1012">
        <v>5</v>
      </c>
    </row>
    <row r="1013" spans="1:15" x14ac:dyDescent="0.3">
      <c r="A1013" s="1">
        <v>43968</v>
      </c>
      <c r="B1013">
        <v>1000000104</v>
      </c>
      <c r="C1013" t="s">
        <v>42</v>
      </c>
      <c r="D1013">
        <v>1</v>
      </c>
      <c r="E1013">
        <v>9999.9699999999993</v>
      </c>
      <c r="F1013" t="s">
        <v>16</v>
      </c>
      <c r="G1013" t="s">
        <v>43</v>
      </c>
      <c r="H1013" t="s">
        <v>18</v>
      </c>
      <c r="I1013" t="s">
        <v>40</v>
      </c>
      <c r="J1013" t="s">
        <v>26</v>
      </c>
      <c r="K1013" t="s">
        <v>41</v>
      </c>
      <c r="L1013" t="s">
        <v>22</v>
      </c>
      <c r="M1013">
        <v>9999.9699999999993</v>
      </c>
      <c r="N1013">
        <v>2020</v>
      </c>
      <c r="O1013">
        <v>5</v>
      </c>
    </row>
    <row r="1014" spans="1:15" x14ac:dyDescent="0.3">
      <c r="A1014" s="1">
        <v>43968</v>
      </c>
      <c r="B1014">
        <v>1000003803</v>
      </c>
      <c r="C1014" t="s">
        <v>23</v>
      </c>
      <c r="D1014">
        <v>1</v>
      </c>
      <c r="E1014">
        <v>9000.51</v>
      </c>
      <c r="F1014" t="s">
        <v>16</v>
      </c>
      <c r="G1014" t="s">
        <v>24</v>
      </c>
      <c r="H1014" t="s">
        <v>30</v>
      </c>
      <c r="I1014" t="s">
        <v>31</v>
      </c>
      <c r="J1014" t="s">
        <v>36</v>
      </c>
      <c r="K1014" t="s">
        <v>52</v>
      </c>
      <c r="L1014" t="s">
        <v>22</v>
      </c>
      <c r="M1014">
        <v>9000.51</v>
      </c>
      <c r="N1014">
        <v>2020</v>
      </c>
      <c r="O1014">
        <v>5</v>
      </c>
    </row>
    <row r="1015" spans="1:15" x14ac:dyDescent="0.3">
      <c r="A1015" s="1">
        <v>43968</v>
      </c>
      <c r="B1015">
        <v>1000004256</v>
      </c>
      <c r="C1015" t="s">
        <v>15</v>
      </c>
      <c r="D1015">
        <v>1</v>
      </c>
      <c r="E1015">
        <v>8000.5</v>
      </c>
      <c r="F1015" t="s">
        <v>16</v>
      </c>
      <c r="G1015" t="s">
        <v>17</v>
      </c>
      <c r="H1015" t="s">
        <v>18</v>
      </c>
      <c r="I1015" t="s">
        <v>40</v>
      </c>
      <c r="J1015" t="s">
        <v>26</v>
      </c>
      <c r="K1015" t="s">
        <v>41</v>
      </c>
      <c r="L1015" t="s">
        <v>22</v>
      </c>
      <c r="M1015">
        <v>8000.5</v>
      </c>
      <c r="N1015">
        <v>2020</v>
      </c>
      <c r="O1015">
        <v>5</v>
      </c>
    </row>
    <row r="1016" spans="1:15" x14ac:dyDescent="0.3">
      <c r="A1016" s="1">
        <v>43968</v>
      </c>
      <c r="B1016">
        <v>1000004170</v>
      </c>
      <c r="C1016" t="s">
        <v>15</v>
      </c>
      <c r="D1016">
        <v>1</v>
      </c>
      <c r="E1016">
        <v>7500.25</v>
      </c>
      <c r="F1016" t="s">
        <v>16</v>
      </c>
      <c r="G1016" t="s">
        <v>17</v>
      </c>
      <c r="H1016" t="s">
        <v>18</v>
      </c>
      <c r="I1016" t="s">
        <v>34</v>
      </c>
      <c r="J1016" t="s">
        <v>20</v>
      </c>
      <c r="K1016" t="s">
        <v>44</v>
      </c>
      <c r="L1016" t="s">
        <v>28</v>
      </c>
      <c r="M1016">
        <v>7500.25</v>
      </c>
      <c r="N1016">
        <v>2020</v>
      </c>
      <c r="O1016">
        <v>5</v>
      </c>
    </row>
    <row r="1017" spans="1:15" x14ac:dyDescent="0.3">
      <c r="A1017" s="1">
        <v>43968</v>
      </c>
      <c r="B1017">
        <v>1000000237</v>
      </c>
      <c r="C1017" t="s">
        <v>42</v>
      </c>
      <c r="D1017">
        <v>1</v>
      </c>
      <c r="E1017">
        <v>7000.04</v>
      </c>
      <c r="F1017" t="s">
        <v>16</v>
      </c>
      <c r="G1017" t="s">
        <v>43</v>
      </c>
      <c r="H1017" t="s">
        <v>18</v>
      </c>
      <c r="I1017" t="s">
        <v>40</v>
      </c>
      <c r="J1017" t="s">
        <v>26</v>
      </c>
      <c r="K1017" t="s">
        <v>41</v>
      </c>
      <c r="L1017" t="s">
        <v>22</v>
      </c>
      <c r="M1017">
        <v>7000.04</v>
      </c>
      <c r="N1017">
        <v>2020</v>
      </c>
      <c r="O1017">
        <v>5</v>
      </c>
    </row>
    <row r="1018" spans="1:15" x14ac:dyDescent="0.3">
      <c r="A1018" s="1">
        <v>43968</v>
      </c>
      <c r="B1018">
        <v>1000000036</v>
      </c>
      <c r="C1018" t="s">
        <v>23</v>
      </c>
      <c r="D1018">
        <v>2</v>
      </c>
      <c r="E1018">
        <v>6573.13</v>
      </c>
      <c r="F1018" t="s">
        <v>16</v>
      </c>
      <c r="G1018" t="s">
        <v>24</v>
      </c>
      <c r="H1018" t="s">
        <v>47</v>
      </c>
      <c r="I1018" t="s">
        <v>48</v>
      </c>
      <c r="J1018" t="s">
        <v>36</v>
      </c>
      <c r="K1018" t="s">
        <v>49</v>
      </c>
      <c r="L1018" t="s">
        <v>28</v>
      </c>
      <c r="M1018">
        <v>3286.5650000000001</v>
      </c>
      <c r="N1018">
        <v>2020</v>
      </c>
      <c r="O1018">
        <v>5</v>
      </c>
    </row>
    <row r="1019" spans="1:15" x14ac:dyDescent="0.3">
      <c r="A1019" s="1">
        <v>43968</v>
      </c>
      <c r="B1019">
        <v>1000000040</v>
      </c>
      <c r="C1019" t="s">
        <v>15</v>
      </c>
      <c r="D1019">
        <v>1</v>
      </c>
      <c r="E1019">
        <v>6500.73</v>
      </c>
      <c r="F1019" t="s">
        <v>16</v>
      </c>
      <c r="G1019" t="s">
        <v>17</v>
      </c>
      <c r="H1019" t="s">
        <v>30</v>
      </c>
      <c r="I1019" t="s">
        <v>31</v>
      </c>
      <c r="J1019" t="s">
        <v>32</v>
      </c>
      <c r="K1019" t="s">
        <v>33</v>
      </c>
      <c r="L1019" t="s">
        <v>28</v>
      </c>
      <c r="M1019">
        <v>6500.73</v>
      </c>
      <c r="N1019">
        <v>2020</v>
      </c>
      <c r="O1019">
        <v>5</v>
      </c>
    </row>
    <row r="1020" spans="1:15" x14ac:dyDescent="0.3">
      <c r="A1020" s="1">
        <v>43968</v>
      </c>
      <c r="B1020">
        <v>1000000037</v>
      </c>
      <c r="C1020" t="s">
        <v>15</v>
      </c>
      <c r="D1020">
        <v>1</v>
      </c>
      <c r="E1020">
        <v>6500.6</v>
      </c>
      <c r="F1020" t="s">
        <v>16</v>
      </c>
      <c r="G1020" t="s">
        <v>17</v>
      </c>
      <c r="H1020" t="s">
        <v>18</v>
      </c>
      <c r="I1020" t="s">
        <v>19</v>
      </c>
      <c r="J1020" t="s">
        <v>20</v>
      </c>
      <c r="K1020" t="s">
        <v>21</v>
      </c>
      <c r="L1020" t="s">
        <v>22</v>
      </c>
      <c r="M1020">
        <v>6500.6</v>
      </c>
      <c r="N1020">
        <v>2020</v>
      </c>
      <c r="O1020">
        <v>5</v>
      </c>
    </row>
    <row r="1021" spans="1:15" x14ac:dyDescent="0.3">
      <c r="A1021" s="1">
        <v>43968</v>
      </c>
      <c r="B1021">
        <v>1000000041</v>
      </c>
      <c r="C1021" t="s">
        <v>15</v>
      </c>
      <c r="D1021">
        <v>1</v>
      </c>
      <c r="E1021">
        <v>5000.6000000000004</v>
      </c>
      <c r="F1021" t="s">
        <v>16</v>
      </c>
      <c r="G1021" t="s">
        <v>17</v>
      </c>
      <c r="H1021" t="s">
        <v>30</v>
      </c>
      <c r="I1021" t="s">
        <v>31</v>
      </c>
      <c r="J1021" t="s">
        <v>32</v>
      </c>
      <c r="K1021" t="s">
        <v>33</v>
      </c>
      <c r="L1021" t="s">
        <v>22</v>
      </c>
      <c r="M1021">
        <v>5000.6000000000004</v>
      </c>
      <c r="N1021">
        <v>2020</v>
      </c>
      <c r="O1021">
        <v>5</v>
      </c>
    </row>
    <row r="1022" spans="1:15" x14ac:dyDescent="0.3">
      <c r="A1022" s="1">
        <v>43968</v>
      </c>
      <c r="B1022">
        <v>1000000566</v>
      </c>
      <c r="C1022" t="s">
        <v>23</v>
      </c>
      <c r="D1022">
        <v>1</v>
      </c>
      <c r="E1022">
        <v>5000.42</v>
      </c>
      <c r="F1022" t="s">
        <v>16</v>
      </c>
      <c r="G1022" t="s">
        <v>24</v>
      </c>
      <c r="H1022" t="s">
        <v>47</v>
      </c>
      <c r="I1022" t="s">
        <v>48</v>
      </c>
      <c r="J1022" t="s">
        <v>36</v>
      </c>
      <c r="K1022" t="s">
        <v>49</v>
      </c>
      <c r="L1022" t="s">
        <v>22</v>
      </c>
      <c r="M1022">
        <v>5000.42</v>
      </c>
      <c r="N1022">
        <v>2020</v>
      </c>
      <c r="O1022">
        <v>5</v>
      </c>
    </row>
    <row r="1023" spans="1:15" x14ac:dyDescent="0.3">
      <c r="A1023" s="1">
        <v>43968</v>
      </c>
      <c r="B1023">
        <v>1000006064</v>
      </c>
      <c r="C1023" t="s">
        <v>15</v>
      </c>
      <c r="D1023">
        <v>1</v>
      </c>
      <c r="E1023">
        <v>5000.3999999999996</v>
      </c>
      <c r="F1023" t="s">
        <v>16</v>
      </c>
      <c r="G1023" t="s">
        <v>17</v>
      </c>
      <c r="H1023" t="s">
        <v>18</v>
      </c>
      <c r="I1023" t="s">
        <v>40</v>
      </c>
      <c r="J1023" t="s">
        <v>26</v>
      </c>
      <c r="K1023" t="s">
        <v>41</v>
      </c>
      <c r="L1023" t="s">
        <v>22</v>
      </c>
      <c r="M1023">
        <v>5000.3999999999996</v>
      </c>
      <c r="N1023">
        <v>2020</v>
      </c>
      <c r="O1023">
        <v>5</v>
      </c>
    </row>
    <row r="1024" spans="1:15" x14ac:dyDescent="0.3">
      <c r="A1024" s="1">
        <v>43968</v>
      </c>
      <c r="B1024">
        <v>1000000576</v>
      </c>
      <c r="C1024" t="s">
        <v>23</v>
      </c>
      <c r="D1024">
        <v>1</v>
      </c>
      <c r="E1024">
        <v>5000.3900000000003</v>
      </c>
      <c r="F1024" t="s">
        <v>16</v>
      </c>
      <c r="G1024" t="s">
        <v>24</v>
      </c>
      <c r="H1024" t="s">
        <v>18</v>
      </c>
      <c r="I1024" t="s">
        <v>25</v>
      </c>
      <c r="J1024" t="s">
        <v>36</v>
      </c>
      <c r="K1024" t="s">
        <v>37</v>
      </c>
      <c r="L1024" t="s">
        <v>22</v>
      </c>
      <c r="M1024">
        <v>5000.3900000000003</v>
      </c>
      <c r="N1024">
        <v>2020</v>
      </c>
      <c r="O1024">
        <v>5</v>
      </c>
    </row>
    <row r="1025" spans="1:15" x14ac:dyDescent="0.3">
      <c r="A1025" s="1">
        <v>43968</v>
      </c>
      <c r="B1025">
        <v>1000003489</v>
      </c>
      <c r="C1025" t="s">
        <v>23</v>
      </c>
      <c r="D1025">
        <v>1</v>
      </c>
      <c r="E1025">
        <v>5000.08</v>
      </c>
      <c r="F1025" t="s">
        <v>16</v>
      </c>
      <c r="G1025" t="s">
        <v>24</v>
      </c>
      <c r="H1025" t="s">
        <v>47</v>
      </c>
      <c r="I1025" t="s">
        <v>48</v>
      </c>
      <c r="J1025" t="s">
        <v>26</v>
      </c>
      <c r="K1025" t="s">
        <v>50</v>
      </c>
      <c r="L1025" t="s">
        <v>22</v>
      </c>
      <c r="M1025">
        <v>5000.08</v>
      </c>
      <c r="N1025">
        <v>2020</v>
      </c>
      <c r="O1025">
        <v>5</v>
      </c>
    </row>
    <row r="1026" spans="1:15" x14ac:dyDescent="0.3">
      <c r="A1026" s="1">
        <v>43968</v>
      </c>
      <c r="B1026">
        <v>1000000056</v>
      </c>
      <c r="C1026" t="s">
        <v>23</v>
      </c>
      <c r="D1026">
        <v>1</v>
      </c>
      <c r="E1026">
        <v>3000.52</v>
      </c>
      <c r="F1026" t="s">
        <v>16</v>
      </c>
      <c r="G1026" t="s">
        <v>24</v>
      </c>
      <c r="H1026" t="s">
        <v>18</v>
      </c>
      <c r="I1026" t="s">
        <v>34</v>
      </c>
      <c r="J1026" t="s">
        <v>26</v>
      </c>
      <c r="K1026" t="s">
        <v>35</v>
      </c>
      <c r="L1026" t="s">
        <v>28</v>
      </c>
      <c r="M1026">
        <v>3000.52</v>
      </c>
      <c r="N1026">
        <v>2020</v>
      </c>
      <c r="O1026">
        <v>5</v>
      </c>
    </row>
    <row r="1027" spans="1:15" x14ac:dyDescent="0.3">
      <c r="A1027" s="1">
        <v>43968</v>
      </c>
      <c r="B1027">
        <v>1000000052</v>
      </c>
      <c r="C1027" t="s">
        <v>42</v>
      </c>
      <c r="D1027">
        <v>1</v>
      </c>
      <c r="E1027">
        <v>2439.7399999999998</v>
      </c>
      <c r="F1027" t="s">
        <v>16</v>
      </c>
      <c r="G1027" t="s">
        <v>43</v>
      </c>
      <c r="H1027" t="s">
        <v>18</v>
      </c>
      <c r="I1027" t="s">
        <v>34</v>
      </c>
      <c r="J1027" t="s">
        <v>20</v>
      </c>
      <c r="K1027" t="s">
        <v>44</v>
      </c>
      <c r="L1027" t="s">
        <v>22</v>
      </c>
      <c r="M1027">
        <v>2439.7399999999998</v>
      </c>
      <c r="N1027">
        <v>2020</v>
      </c>
      <c r="O1027">
        <v>5</v>
      </c>
    </row>
    <row r="1028" spans="1:15" x14ac:dyDescent="0.3">
      <c r="A1028" s="1">
        <v>43968</v>
      </c>
      <c r="B1028">
        <v>1000000034</v>
      </c>
      <c r="C1028" t="s">
        <v>23</v>
      </c>
      <c r="D1028">
        <v>1</v>
      </c>
      <c r="E1028">
        <v>1900.75</v>
      </c>
      <c r="F1028" t="s">
        <v>16</v>
      </c>
      <c r="G1028" t="s">
        <v>24</v>
      </c>
      <c r="H1028" t="s">
        <v>18</v>
      </c>
      <c r="I1028" t="s">
        <v>25</v>
      </c>
      <c r="J1028" t="s">
        <v>26</v>
      </c>
      <c r="K1028" t="s">
        <v>27</v>
      </c>
      <c r="L1028" t="s">
        <v>22</v>
      </c>
      <c r="M1028">
        <v>1900.75</v>
      </c>
      <c r="N1028">
        <v>2020</v>
      </c>
      <c r="O1028">
        <v>5</v>
      </c>
    </row>
    <row r="1029" spans="1:15" x14ac:dyDescent="0.3">
      <c r="A1029" s="1">
        <v>43968</v>
      </c>
      <c r="B1029">
        <v>1000000057</v>
      </c>
      <c r="C1029" t="s">
        <v>23</v>
      </c>
      <c r="D1029">
        <v>1</v>
      </c>
      <c r="E1029">
        <v>1257.68</v>
      </c>
      <c r="F1029" t="s">
        <v>16</v>
      </c>
      <c r="G1029" t="s">
        <v>24</v>
      </c>
      <c r="H1029" t="s">
        <v>18</v>
      </c>
      <c r="I1029" t="s">
        <v>34</v>
      </c>
      <c r="J1029" t="s">
        <v>20</v>
      </c>
      <c r="K1029" t="s">
        <v>44</v>
      </c>
      <c r="L1029" t="s">
        <v>22</v>
      </c>
      <c r="M1029">
        <v>1257.68</v>
      </c>
      <c r="N1029">
        <v>2020</v>
      </c>
      <c r="O1029">
        <v>5</v>
      </c>
    </row>
    <row r="1030" spans="1:15" x14ac:dyDescent="0.3">
      <c r="A1030" s="1">
        <v>43968</v>
      </c>
      <c r="B1030">
        <v>1000000039</v>
      </c>
      <c r="C1030" t="s">
        <v>23</v>
      </c>
      <c r="D1030">
        <v>1</v>
      </c>
      <c r="E1030">
        <v>1000.51</v>
      </c>
      <c r="F1030" t="s">
        <v>16</v>
      </c>
      <c r="G1030" t="s">
        <v>24</v>
      </c>
      <c r="H1030" t="s">
        <v>18</v>
      </c>
      <c r="I1030" t="s">
        <v>25</v>
      </c>
      <c r="J1030" t="s">
        <v>20</v>
      </c>
      <c r="K1030" t="s">
        <v>51</v>
      </c>
      <c r="L1030" t="s">
        <v>28</v>
      </c>
      <c r="M1030">
        <v>1000.51</v>
      </c>
      <c r="N1030">
        <v>2020</v>
      </c>
      <c r="O1030">
        <v>5</v>
      </c>
    </row>
    <row r="1031" spans="1:15" x14ac:dyDescent="0.3">
      <c r="A1031" s="1">
        <v>43968</v>
      </c>
      <c r="B1031">
        <v>1000001513</v>
      </c>
      <c r="C1031" t="s">
        <v>15</v>
      </c>
      <c r="D1031">
        <v>1</v>
      </c>
      <c r="E1031">
        <v>623.54</v>
      </c>
      <c r="F1031" t="s">
        <v>16</v>
      </c>
      <c r="G1031" t="s">
        <v>17</v>
      </c>
      <c r="H1031" t="s">
        <v>18</v>
      </c>
      <c r="I1031" t="s">
        <v>34</v>
      </c>
      <c r="J1031" t="s">
        <v>20</v>
      </c>
      <c r="K1031" t="s">
        <v>44</v>
      </c>
      <c r="L1031" t="s">
        <v>22</v>
      </c>
      <c r="M1031">
        <v>623.54</v>
      </c>
      <c r="N1031">
        <v>2020</v>
      </c>
      <c r="O1031">
        <v>5</v>
      </c>
    </row>
    <row r="1032" spans="1:15" x14ac:dyDescent="0.3">
      <c r="A1032" s="1">
        <v>43969</v>
      </c>
      <c r="B1032">
        <v>1000003926</v>
      </c>
      <c r="C1032" t="s">
        <v>15</v>
      </c>
      <c r="D1032">
        <v>4</v>
      </c>
      <c r="E1032">
        <v>48001.22</v>
      </c>
      <c r="F1032" t="s">
        <v>16</v>
      </c>
      <c r="G1032" t="s">
        <v>17</v>
      </c>
      <c r="H1032" t="s">
        <v>47</v>
      </c>
      <c r="I1032" t="s">
        <v>48</v>
      </c>
      <c r="J1032" t="s">
        <v>26</v>
      </c>
      <c r="K1032" t="s">
        <v>50</v>
      </c>
      <c r="L1032" t="s">
        <v>28</v>
      </c>
      <c r="M1032">
        <v>12000.305</v>
      </c>
      <c r="N1032">
        <v>2020</v>
      </c>
      <c r="O1032">
        <v>5</v>
      </c>
    </row>
    <row r="1033" spans="1:15" x14ac:dyDescent="0.3">
      <c r="A1033" s="1">
        <v>43969</v>
      </c>
      <c r="B1033">
        <v>1000005873</v>
      </c>
      <c r="C1033" t="s">
        <v>42</v>
      </c>
      <c r="D1033">
        <v>1</v>
      </c>
      <c r="E1033">
        <v>25000.62</v>
      </c>
      <c r="F1033" t="s">
        <v>16</v>
      </c>
      <c r="G1033" t="s">
        <v>43</v>
      </c>
      <c r="H1033" t="s">
        <v>18</v>
      </c>
      <c r="I1033" t="s">
        <v>19</v>
      </c>
      <c r="J1033" t="s">
        <v>20</v>
      </c>
      <c r="K1033" t="s">
        <v>21</v>
      </c>
      <c r="L1033" t="s">
        <v>28</v>
      </c>
      <c r="M1033">
        <v>25000.62</v>
      </c>
      <c r="N1033">
        <v>2020</v>
      </c>
      <c r="O1033">
        <v>5</v>
      </c>
    </row>
    <row r="1034" spans="1:15" x14ac:dyDescent="0.3">
      <c r="A1034" s="1">
        <v>43969</v>
      </c>
      <c r="B1034">
        <v>1000000067</v>
      </c>
      <c r="C1034" t="s">
        <v>23</v>
      </c>
      <c r="D1034">
        <v>1</v>
      </c>
      <c r="E1034">
        <v>22000.63</v>
      </c>
      <c r="F1034" t="s">
        <v>16</v>
      </c>
      <c r="G1034" t="s">
        <v>24</v>
      </c>
      <c r="H1034" t="s">
        <v>18</v>
      </c>
      <c r="I1034" t="s">
        <v>25</v>
      </c>
      <c r="J1034" t="s">
        <v>20</v>
      </c>
      <c r="K1034" t="s">
        <v>51</v>
      </c>
      <c r="L1034" t="s">
        <v>22</v>
      </c>
      <c r="M1034">
        <v>22000.63</v>
      </c>
      <c r="N1034">
        <v>2020</v>
      </c>
      <c r="O1034">
        <v>5</v>
      </c>
    </row>
    <row r="1035" spans="1:15" x14ac:dyDescent="0.3">
      <c r="A1035" s="1">
        <v>43969</v>
      </c>
      <c r="B1035">
        <v>1000000576</v>
      </c>
      <c r="C1035" t="s">
        <v>15</v>
      </c>
      <c r="D1035">
        <v>1</v>
      </c>
      <c r="E1035">
        <v>20000.66</v>
      </c>
      <c r="F1035" t="s">
        <v>16</v>
      </c>
      <c r="G1035" t="s">
        <v>17</v>
      </c>
      <c r="H1035" t="s">
        <v>18</v>
      </c>
      <c r="I1035" t="s">
        <v>25</v>
      </c>
      <c r="J1035" t="s">
        <v>36</v>
      </c>
      <c r="K1035" t="s">
        <v>37</v>
      </c>
      <c r="L1035" t="s">
        <v>22</v>
      </c>
      <c r="M1035">
        <v>20000.66</v>
      </c>
      <c r="N1035">
        <v>2020</v>
      </c>
      <c r="O1035">
        <v>5</v>
      </c>
    </row>
    <row r="1036" spans="1:15" x14ac:dyDescent="0.3">
      <c r="A1036" s="1">
        <v>43969</v>
      </c>
      <c r="B1036">
        <v>1000001524</v>
      </c>
      <c r="C1036" t="s">
        <v>42</v>
      </c>
      <c r="D1036">
        <v>1</v>
      </c>
      <c r="E1036">
        <v>20000.41</v>
      </c>
      <c r="F1036" t="s">
        <v>16</v>
      </c>
      <c r="G1036" t="s">
        <v>43</v>
      </c>
      <c r="H1036" t="s">
        <v>18</v>
      </c>
      <c r="I1036" t="s">
        <v>25</v>
      </c>
      <c r="J1036" t="s">
        <v>20</v>
      </c>
      <c r="K1036" t="s">
        <v>51</v>
      </c>
      <c r="L1036" t="s">
        <v>22</v>
      </c>
      <c r="M1036">
        <v>20000.41</v>
      </c>
      <c r="N1036">
        <v>2020</v>
      </c>
      <c r="O1036">
        <v>5</v>
      </c>
    </row>
    <row r="1037" spans="1:15" x14ac:dyDescent="0.3">
      <c r="A1037" s="1">
        <v>43969</v>
      </c>
      <c r="B1037">
        <v>1000000034</v>
      </c>
      <c r="C1037" t="s">
        <v>15</v>
      </c>
      <c r="D1037">
        <v>1</v>
      </c>
      <c r="E1037">
        <v>20000.13</v>
      </c>
      <c r="F1037" t="s">
        <v>16</v>
      </c>
      <c r="G1037" t="s">
        <v>17</v>
      </c>
      <c r="H1037" t="s">
        <v>18</v>
      </c>
      <c r="I1037" t="s">
        <v>25</v>
      </c>
      <c r="J1037" t="s">
        <v>26</v>
      </c>
      <c r="K1037" t="s">
        <v>27</v>
      </c>
      <c r="L1037" t="s">
        <v>22</v>
      </c>
      <c r="M1037">
        <v>20000.13</v>
      </c>
      <c r="N1037">
        <v>2020</v>
      </c>
      <c r="O1037">
        <v>5</v>
      </c>
    </row>
    <row r="1038" spans="1:15" x14ac:dyDescent="0.3">
      <c r="A1038" s="1">
        <v>43969</v>
      </c>
      <c r="B1038">
        <v>1000000028</v>
      </c>
      <c r="C1038" t="s">
        <v>15</v>
      </c>
      <c r="D1038">
        <v>2</v>
      </c>
      <c r="E1038">
        <v>18500.28</v>
      </c>
      <c r="F1038" t="s">
        <v>16</v>
      </c>
      <c r="G1038" t="s">
        <v>17</v>
      </c>
      <c r="H1038" t="s">
        <v>18</v>
      </c>
      <c r="I1038" t="s">
        <v>19</v>
      </c>
      <c r="J1038" t="s">
        <v>20</v>
      </c>
      <c r="K1038" t="s">
        <v>21</v>
      </c>
      <c r="L1038" t="s">
        <v>22</v>
      </c>
      <c r="M1038">
        <v>9250.14</v>
      </c>
      <c r="N1038">
        <v>2020</v>
      </c>
      <c r="O1038">
        <v>5</v>
      </c>
    </row>
    <row r="1039" spans="1:15" x14ac:dyDescent="0.3">
      <c r="A1039" s="1">
        <v>43969</v>
      </c>
      <c r="B1039">
        <v>1000006869</v>
      </c>
      <c r="C1039" t="s">
        <v>15</v>
      </c>
      <c r="D1039">
        <v>1</v>
      </c>
      <c r="E1039">
        <v>18000.2</v>
      </c>
      <c r="F1039" t="s">
        <v>16</v>
      </c>
      <c r="G1039" t="s">
        <v>17</v>
      </c>
      <c r="H1039" t="s">
        <v>18</v>
      </c>
      <c r="I1039" t="s">
        <v>61</v>
      </c>
      <c r="J1039" t="s">
        <v>26</v>
      </c>
      <c r="K1039" t="s">
        <v>62</v>
      </c>
      <c r="L1039" t="s">
        <v>22</v>
      </c>
      <c r="M1039">
        <v>18000.2</v>
      </c>
      <c r="N1039">
        <v>2020</v>
      </c>
      <c r="O1039">
        <v>5</v>
      </c>
    </row>
    <row r="1040" spans="1:15" x14ac:dyDescent="0.3">
      <c r="A1040" s="1">
        <v>43969</v>
      </c>
      <c r="B1040">
        <v>1000000237</v>
      </c>
      <c r="C1040" t="s">
        <v>42</v>
      </c>
      <c r="D1040">
        <v>1</v>
      </c>
      <c r="E1040">
        <v>17000.46</v>
      </c>
      <c r="F1040" t="s">
        <v>16</v>
      </c>
      <c r="G1040" t="s">
        <v>43</v>
      </c>
      <c r="H1040" t="s">
        <v>18</v>
      </c>
      <c r="I1040" t="s">
        <v>40</v>
      </c>
      <c r="J1040" t="s">
        <v>26</v>
      </c>
      <c r="K1040" t="s">
        <v>41</v>
      </c>
      <c r="L1040" t="s">
        <v>22</v>
      </c>
      <c r="M1040">
        <v>17000.46</v>
      </c>
      <c r="N1040">
        <v>2020</v>
      </c>
      <c r="O1040">
        <v>5</v>
      </c>
    </row>
    <row r="1041" spans="1:15" x14ac:dyDescent="0.3">
      <c r="A1041" s="1">
        <v>43969</v>
      </c>
      <c r="B1041">
        <v>1000003926</v>
      </c>
      <c r="C1041" t="s">
        <v>23</v>
      </c>
      <c r="D1041">
        <v>1</v>
      </c>
      <c r="E1041">
        <v>16000.06</v>
      </c>
      <c r="F1041" t="s">
        <v>16</v>
      </c>
      <c r="G1041" t="s">
        <v>24</v>
      </c>
      <c r="H1041" t="s">
        <v>47</v>
      </c>
      <c r="I1041" t="s">
        <v>48</v>
      </c>
      <c r="J1041" t="s">
        <v>26</v>
      </c>
      <c r="K1041" t="s">
        <v>50</v>
      </c>
      <c r="L1041" t="s">
        <v>28</v>
      </c>
      <c r="M1041">
        <v>16000.06</v>
      </c>
      <c r="N1041">
        <v>2020</v>
      </c>
      <c r="O1041">
        <v>5</v>
      </c>
    </row>
    <row r="1042" spans="1:15" x14ac:dyDescent="0.3">
      <c r="A1042" s="1">
        <v>43969</v>
      </c>
      <c r="B1042">
        <v>1000000068</v>
      </c>
      <c r="C1042" t="s">
        <v>15</v>
      </c>
      <c r="D1042">
        <v>2</v>
      </c>
      <c r="E1042">
        <v>15500.56</v>
      </c>
      <c r="F1042" t="s">
        <v>16</v>
      </c>
      <c r="G1042" t="s">
        <v>17</v>
      </c>
      <c r="H1042" t="s">
        <v>30</v>
      </c>
      <c r="I1042" t="s">
        <v>55</v>
      </c>
      <c r="J1042" t="s">
        <v>26</v>
      </c>
      <c r="K1042" t="s">
        <v>56</v>
      </c>
      <c r="L1042" t="s">
        <v>28</v>
      </c>
      <c r="M1042">
        <v>7750.28</v>
      </c>
      <c r="N1042">
        <v>2020</v>
      </c>
      <c r="O1042">
        <v>5</v>
      </c>
    </row>
    <row r="1043" spans="1:15" x14ac:dyDescent="0.3">
      <c r="A1043" s="1">
        <v>43969</v>
      </c>
      <c r="B1043">
        <v>1000000036</v>
      </c>
      <c r="C1043" t="s">
        <v>23</v>
      </c>
      <c r="D1043">
        <v>2</v>
      </c>
      <c r="E1043">
        <v>15500.529999999999</v>
      </c>
      <c r="F1043" t="s">
        <v>16</v>
      </c>
      <c r="G1043" t="s">
        <v>24</v>
      </c>
      <c r="H1043" t="s">
        <v>47</v>
      </c>
      <c r="I1043" t="s">
        <v>48</v>
      </c>
      <c r="J1043" t="s">
        <v>36</v>
      </c>
      <c r="K1043" t="s">
        <v>49</v>
      </c>
      <c r="L1043" t="s">
        <v>28</v>
      </c>
      <c r="M1043">
        <v>7750.2650000000003</v>
      </c>
      <c r="N1043">
        <v>2020</v>
      </c>
      <c r="O1043">
        <v>5</v>
      </c>
    </row>
    <row r="1044" spans="1:15" x14ac:dyDescent="0.3">
      <c r="A1044" s="1">
        <v>43969</v>
      </c>
      <c r="B1044">
        <v>1000004256</v>
      </c>
      <c r="C1044" t="s">
        <v>42</v>
      </c>
      <c r="D1044">
        <v>1</v>
      </c>
      <c r="E1044">
        <v>15000.47</v>
      </c>
      <c r="F1044" t="s">
        <v>16</v>
      </c>
      <c r="G1044" t="s">
        <v>43</v>
      </c>
      <c r="H1044" t="s">
        <v>18</v>
      </c>
      <c r="I1044" t="s">
        <v>40</v>
      </c>
      <c r="J1044" t="s">
        <v>26</v>
      </c>
      <c r="K1044" t="s">
        <v>41</v>
      </c>
      <c r="L1044" t="s">
        <v>22</v>
      </c>
      <c r="M1044">
        <v>15000.47</v>
      </c>
      <c r="N1044">
        <v>2020</v>
      </c>
      <c r="O1044">
        <v>5</v>
      </c>
    </row>
    <row r="1045" spans="1:15" x14ac:dyDescent="0.3">
      <c r="A1045" s="1">
        <v>43969</v>
      </c>
      <c r="B1045">
        <v>1000000928</v>
      </c>
      <c r="C1045" t="s">
        <v>15</v>
      </c>
      <c r="D1045">
        <v>1</v>
      </c>
      <c r="E1045">
        <v>15000.35</v>
      </c>
      <c r="F1045" t="s">
        <v>16</v>
      </c>
      <c r="G1045" t="s">
        <v>17</v>
      </c>
      <c r="H1045" t="s">
        <v>30</v>
      </c>
      <c r="I1045" t="s">
        <v>57</v>
      </c>
      <c r="J1045" t="s">
        <v>26</v>
      </c>
      <c r="K1045" t="s">
        <v>58</v>
      </c>
      <c r="L1045" t="s">
        <v>22</v>
      </c>
      <c r="M1045">
        <v>15000.35</v>
      </c>
      <c r="N1045">
        <v>2020</v>
      </c>
      <c r="O1045">
        <v>5</v>
      </c>
    </row>
    <row r="1046" spans="1:15" x14ac:dyDescent="0.3">
      <c r="A1046" s="1">
        <v>43969</v>
      </c>
      <c r="B1046">
        <v>1000000928</v>
      </c>
      <c r="C1046" t="s">
        <v>42</v>
      </c>
      <c r="D1046">
        <v>1</v>
      </c>
      <c r="E1046">
        <v>14000.14</v>
      </c>
      <c r="F1046" t="s">
        <v>16</v>
      </c>
      <c r="G1046" t="s">
        <v>43</v>
      </c>
      <c r="H1046" t="s">
        <v>30</v>
      </c>
      <c r="I1046" t="s">
        <v>57</v>
      </c>
      <c r="J1046" t="s">
        <v>26</v>
      </c>
      <c r="K1046" t="s">
        <v>58</v>
      </c>
      <c r="L1046" t="s">
        <v>22</v>
      </c>
      <c r="M1046">
        <v>14000.14</v>
      </c>
      <c r="N1046">
        <v>2020</v>
      </c>
      <c r="O1046">
        <v>5</v>
      </c>
    </row>
    <row r="1047" spans="1:15" x14ac:dyDescent="0.3">
      <c r="A1047" s="1">
        <v>43969</v>
      </c>
      <c r="B1047">
        <v>1000005873</v>
      </c>
      <c r="C1047" t="s">
        <v>15</v>
      </c>
      <c r="D1047">
        <v>1</v>
      </c>
      <c r="E1047">
        <v>12999.97</v>
      </c>
      <c r="F1047" t="s">
        <v>16</v>
      </c>
      <c r="G1047" t="s">
        <v>17</v>
      </c>
      <c r="H1047" t="s">
        <v>18</v>
      </c>
      <c r="I1047" t="s">
        <v>19</v>
      </c>
      <c r="J1047" t="s">
        <v>20</v>
      </c>
      <c r="K1047" t="s">
        <v>21</v>
      </c>
      <c r="L1047" t="s">
        <v>28</v>
      </c>
      <c r="M1047">
        <v>12999.97</v>
      </c>
      <c r="N1047">
        <v>2020</v>
      </c>
      <c r="O1047">
        <v>5</v>
      </c>
    </row>
    <row r="1048" spans="1:15" x14ac:dyDescent="0.3">
      <c r="A1048" s="1">
        <v>43969</v>
      </c>
      <c r="B1048">
        <v>1000000032</v>
      </c>
      <c r="C1048" t="s">
        <v>15</v>
      </c>
      <c r="D1048">
        <v>1</v>
      </c>
      <c r="E1048">
        <v>11000.47</v>
      </c>
      <c r="F1048" t="s">
        <v>16</v>
      </c>
      <c r="G1048" t="s">
        <v>17</v>
      </c>
      <c r="H1048" t="s">
        <v>18</v>
      </c>
      <c r="I1048" t="s">
        <v>25</v>
      </c>
      <c r="J1048" t="s">
        <v>26</v>
      </c>
      <c r="K1048" t="s">
        <v>27</v>
      </c>
      <c r="L1048" t="s">
        <v>28</v>
      </c>
      <c r="M1048">
        <v>11000.47</v>
      </c>
      <c r="N1048">
        <v>2020</v>
      </c>
      <c r="O1048">
        <v>5</v>
      </c>
    </row>
    <row r="1049" spans="1:15" x14ac:dyDescent="0.3">
      <c r="A1049" s="1">
        <v>43969</v>
      </c>
      <c r="B1049">
        <v>1000006867</v>
      </c>
      <c r="C1049" t="s">
        <v>23</v>
      </c>
      <c r="D1049">
        <v>1</v>
      </c>
      <c r="E1049">
        <v>10000.64</v>
      </c>
      <c r="F1049" t="s">
        <v>16</v>
      </c>
      <c r="G1049" t="s">
        <v>24</v>
      </c>
      <c r="H1049" t="s">
        <v>18</v>
      </c>
      <c r="I1049" t="s">
        <v>61</v>
      </c>
      <c r="J1049" t="s">
        <v>26</v>
      </c>
      <c r="K1049" t="s">
        <v>62</v>
      </c>
      <c r="L1049" t="s">
        <v>22</v>
      </c>
      <c r="M1049">
        <v>10000.64</v>
      </c>
      <c r="N1049">
        <v>2020</v>
      </c>
      <c r="O1049">
        <v>5</v>
      </c>
    </row>
    <row r="1050" spans="1:15" x14ac:dyDescent="0.3">
      <c r="A1050" s="1">
        <v>43969</v>
      </c>
      <c r="B1050">
        <v>1000000566</v>
      </c>
      <c r="C1050" t="s">
        <v>42</v>
      </c>
      <c r="D1050">
        <v>1</v>
      </c>
      <c r="E1050">
        <v>10000.120000000001</v>
      </c>
      <c r="F1050" t="s">
        <v>16</v>
      </c>
      <c r="G1050" t="s">
        <v>43</v>
      </c>
      <c r="H1050" t="s">
        <v>47</v>
      </c>
      <c r="I1050" t="s">
        <v>48</v>
      </c>
      <c r="J1050" t="s">
        <v>36</v>
      </c>
      <c r="K1050" t="s">
        <v>49</v>
      </c>
      <c r="L1050" t="s">
        <v>22</v>
      </c>
      <c r="M1050">
        <v>10000.120000000001</v>
      </c>
      <c r="N1050">
        <v>2020</v>
      </c>
      <c r="O1050">
        <v>5</v>
      </c>
    </row>
    <row r="1051" spans="1:15" x14ac:dyDescent="0.3">
      <c r="A1051" s="1">
        <v>43969</v>
      </c>
      <c r="B1051">
        <v>1000000037</v>
      </c>
      <c r="C1051" t="s">
        <v>15</v>
      </c>
      <c r="D1051">
        <v>1</v>
      </c>
      <c r="E1051">
        <v>9000.6200000000008</v>
      </c>
      <c r="F1051" t="s">
        <v>16</v>
      </c>
      <c r="G1051" t="s">
        <v>17</v>
      </c>
      <c r="H1051" t="s">
        <v>18</v>
      </c>
      <c r="I1051" t="s">
        <v>19</v>
      </c>
      <c r="J1051" t="s">
        <v>20</v>
      </c>
      <c r="K1051" t="s">
        <v>21</v>
      </c>
      <c r="L1051" t="s">
        <v>22</v>
      </c>
      <c r="M1051">
        <v>9000.6200000000008</v>
      </c>
      <c r="N1051">
        <v>2020</v>
      </c>
      <c r="O1051">
        <v>5</v>
      </c>
    </row>
    <row r="1052" spans="1:15" x14ac:dyDescent="0.3">
      <c r="A1052" s="1">
        <v>43969</v>
      </c>
      <c r="B1052">
        <v>1000004170</v>
      </c>
      <c r="C1052" t="s">
        <v>23</v>
      </c>
      <c r="D1052">
        <v>1</v>
      </c>
      <c r="E1052">
        <v>9000.59</v>
      </c>
      <c r="F1052" t="s">
        <v>16</v>
      </c>
      <c r="G1052" t="s">
        <v>24</v>
      </c>
      <c r="H1052" t="s">
        <v>18</v>
      </c>
      <c r="I1052" t="s">
        <v>34</v>
      </c>
      <c r="J1052" t="s">
        <v>20</v>
      </c>
      <c r="K1052" t="s">
        <v>44</v>
      </c>
      <c r="L1052" t="s">
        <v>28</v>
      </c>
      <c r="M1052">
        <v>9000.59</v>
      </c>
      <c r="N1052">
        <v>2020</v>
      </c>
      <c r="O1052">
        <v>5</v>
      </c>
    </row>
    <row r="1053" spans="1:15" x14ac:dyDescent="0.3">
      <c r="A1053" s="1">
        <v>43969</v>
      </c>
      <c r="B1053">
        <v>1000000037</v>
      </c>
      <c r="C1053" t="s">
        <v>23</v>
      </c>
      <c r="D1053">
        <v>1</v>
      </c>
      <c r="E1053">
        <v>9000.49</v>
      </c>
      <c r="F1053" t="s">
        <v>16</v>
      </c>
      <c r="G1053" t="s">
        <v>24</v>
      </c>
      <c r="H1053" t="s">
        <v>18</v>
      </c>
      <c r="I1053" t="s">
        <v>19</v>
      </c>
      <c r="J1053" t="s">
        <v>20</v>
      </c>
      <c r="K1053" t="s">
        <v>21</v>
      </c>
      <c r="L1053" t="s">
        <v>22</v>
      </c>
      <c r="M1053">
        <v>9000.49</v>
      </c>
      <c r="N1053">
        <v>2020</v>
      </c>
      <c r="O1053">
        <v>5</v>
      </c>
    </row>
    <row r="1054" spans="1:15" x14ac:dyDescent="0.3">
      <c r="A1054" s="1">
        <v>43969</v>
      </c>
      <c r="B1054">
        <v>1000000104</v>
      </c>
      <c r="C1054" t="s">
        <v>23</v>
      </c>
      <c r="D1054">
        <v>1</v>
      </c>
      <c r="E1054">
        <v>9000.24</v>
      </c>
      <c r="F1054" t="s">
        <v>16</v>
      </c>
      <c r="G1054" t="s">
        <v>24</v>
      </c>
      <c r="H1054" t="s">
        <v>18</v>
      </c>
      <c r="I1054" t="s">
        <v>40</v>
      </c>
      <c r="J1054" t="s">
        <v>26</v>
      </c>
      <c r="K1054" t="s">
        <v>41</v>
      </c>
      <c r="L1054" t="s">
        <v>22</v>
      </c>
      <c r="M1054">
        <v>9000.24</v>
      </c>
      <c r="N1054">
        <v>2020</v>
      </c>
      <c r="O1054">
        <v>5</v>
      </c>
    </row>
    <row r="1055" spans="1:15" x14ac:dyDescent="0.3">
      <c r="A1055" s="1">
        <v>43969</v>
      </c>
      <c r="B1055">
        <v>1000000576</v>
      </c>
      <c r="C1055" t="s">
        <v>42</v>
      </c>
      <c r="D1055">
        <v>1</v>
      </c>
      <c r="E1055">
        <v>9000.24</v>
      </c>
      <c r="F1055" t="s">
        <v>16</v>
      </c>
      <c r="G1055" t="s">
        <v>43</v>
      </c>
      <c r="H1055" t="s">
        <v>18</v>
      </c>
      <c r="I1055" t="s">
        <v>25</v>
      </c>
      <c r="J1055" t="s">
        <v>36</v>
      </c>
      <c r="K1055" t="s">
        <v>37</v>
      </c>
      <c r="L1055" t="s">
        <v>22</v>
      </c>
      <c r="M1055">
        <v>9000.24</v>
      </c>
      <c r="N1055">
        <v>2020</v>
      </c>
      <c r="O1055">
        <v>5</v>
      </c>
    </row>
    <row r="1056" spans="1:15" x14ac:dyDescent="0.3">
      <c r="A1056" s="1">
        <v>43969</v>
      </c>
      <c r="B1056">
        <v>1000000566</v>
      </c>
      <c r="C1056" t="s">
        <v>23</v>
      </c>
      <c r="D1056">
        <v>1</v>
      </c>
      <c r="E1056">
        <v>8000.36</v>
      </c>
      <c r="F1056" t="s">
        <v>16</v>
      </c>
      <c r="G1056" t="s">
        <v>24</v>
      </c>
      <c r="H1056" t="s">
        <v>47</v>
      </c>
      <c r="I1056" t="s">
        <v>48</v>
      </c>
      <c r="J1056" t="s">
        <v>36</v>
      </c>
      <c r="K1056" t="s">
        <v>49</v>
      </c>
      <c r="L1056" t="s">
        <v>22</v>
      </c>
      <c r="M1056">
        <v>8000.36</v>
      </c>
      <c r="N1056">
        <v>2020</v>
      </c>
      <c r="O1056">
        <v>5</v>
      </c>
    </row>
    <row r="1057" spans="1:15" x14ac:dyDescent="0.3">
      <c r="A1057" s="1">
        <v>43969</v>
      </c>
      <c r="B1057">
        <v>1000006064</v>
      </c>
      <c r="C1057" t="s">
        <v>42</v>
      </c>
      <c r="D1057">
        <v>1</v>
      </c>
      <c r="E1057">
        <v>8000.23</v>
      </c>
      <c r="F1057" t="s">
        <v>16</v>
      </c>
      <c r="G1057" t="s">
        <v>43</v>
      </c>
      <c r="H1057" t="s">
        <v>18</v>
      </c>
      <c r="I1057" t="s">
        <v>40</v>
      </c>
      <c r="J1057" t="s">
        <v>26</v>
      </c>
      <c r="K1057" t="s">
        <v>41</v>
      </c>
      <c r="L1057" t="s">
        <v>22</v>
      </c>
      <c r="M1057">
        <v>8000.23</v>
      </c>
      <c r="N1057">
        <v>2020</v>
      </c>
      <c r="O1057">
        <v>5</v>
      </c>
    </row>
    <row r="1058" spans="1:15" x14ac:dyDescent="0.3">
      <c r="A1058" s="1">
        <v>43969</v>
      </c>
      <c r="B1058">
        <v>1000006860</v>
      </c>
      <c r="C1058" t="s">
        <v>23</v>
      </c>
      <c r="D1058">
        <v>1</v>
      </c>
      <c r="E1058">
        <v>5000.3100000000004</v>
      </c>
      <c r="F1058" t="s">
        <v>16</v>
      </c>
      <c r="G1058" t="s">
        <v>24</v>
      </c>
      <c r="H1058" t="s">
        <v>18</v>
      </c>
      <c r="I1058" t="s">
        <v>61</v>
      </c>
      <c r="J1058" t="s">
        <v>26</v>
      </c>
      <c r="K1058" t="s">
        <v>62</v>
      </c>
      <c r="L1058" t="s">
        <v>22</v>
      </c>
      <c r="M1058">
        <v>5000.3100000000004</v>
      </c>
      <c r="N1058">
        <v>2020</v>
      </c>
      <c r="O1058">
        <v>5</v>
      </c>
    </row>
    <row r="1059" spans="1:15" x14ac:dyDescent="0.3">
      <c r="A1059" s="1">
        <v>43969</v>
      </c>
      <c r="B1059">
        <v>1000000036</v>
      </c>
      <c r="C1059" t="s">
        <v>42</v>
      </c>
      <c r="D1059">
        <v>1</v>
      </c>
      <c r="E1059">
        <v>4030.14</v>
      </c>
      <c r="F1059" t="s">
        <v>16</v>
      </c>
      <c r="G1059" t="s">
        <v>43</v>
      </c>
      <c r="H1059" t="s">
        <v>47</v>
      </c>
      <c r="I1059" t="s">
        <v>48</v>
      </c>
      <c r="J1059" t="s">
        <v>36</v>
      </c>
      <c r="K1059" t="s">
        <v>49</v>
      </c>
      <c r="L1059" t="s">
        <v>28</v>
      </c>
      <c r="M1059">
        <v>4030.14</v>
      </c>
      <c r="N1059">
        <v>2020</v>
      </c>
      <c r="O1059">
        <v>5</v>
      </c>
    </row>
    <row r="1060" spans="1:15" x14ac:dyDescent="0.3">
      <c r="A1060" s="1">
        <v>43969</v>
      </c>
      <c r="B1060">
        <v>1000000028</v>
      </c>
      <c r="C1060" t="s">
        <v>23</v>
      </c>
      <c r="D1060">
        <v>1</v>
      </c>
      <c r="E1060">
        <v>2000.72</v>
      </c>
      <c r="F1060" t="s">
        <v>16</v>
      </c>
      <c r="G1060" t="s">
        <v>24</v>
      </c>
      <c r="H1060" t="s">
        <v>18</v>
      </c>
      <c r="I1060" t="s">
        <v>19</v>
      </c>
      <c r="J1060" t="s">
        <v>20</v>
      </c>
      <c r="K1060" t="s">
        <v>21</v>
      </c>
      <c r="L1060" t="s">
        <v>22</v>
      </c>
      <c r="M1060">
        <v>2000.72</v>
      </c>
      <c r="N1060">
        <v>2020</v>
      </c>
      <c r="O1060">
        <v>5</v>
      </c>
    </row>
    <row r="1061" spans="1:15" x14ac:dyDescent="0.3">
      <c r="A1061" s="1">
        <v>43969</v>
      </c>
      <c r="B1061">
        <v>1000000032</v>
      </c>
      <c r="C1061" t="s">
        <v>23</v>
      </c>
      <c r="D1061">
        <v>2</v>
      </c>
      <c r="E1061">
        <v>1500.39</v>
      </c>
      <c r="F1061" t="s">
        <v>16</v>
      </c>
      <c r="G1061" t="s">
        <v>24</v>
      </c>
      <c r="H1061" t="s">
        <v>18</v>
      </c>
      <c r="I1061" t="s">
        <v>25</v>
      </c>
      <c r="J1061" t="s">
        <v>26</v>
      </c>
      <c r="K1061" t="s">
        <v>27</v>
      </c>
      <c r="L1061" t="s">
        <v>28</v>
      </c>
      <c r="M1061">
        <v>750.19500000000005</v>
      </c>
      <c r="N1061">
        <v>2020</v>
      </c>
      <c r="O1061">
        <v>5</v>
      </c>
    </row>
    <row r="1062" spans="1:15" x14ac:dyDescent="0.3">
      <c r="A1062" s="1">
        <v>43969</v>
      </c>
      <c r="B1062">
        <v>1000000050</v>
      </c>
      <c r="C1062" t="s">
        <v>23</v>
      </c>
      <c r="D1062">
        <v>2</v>
      </c>
      <c r="E1062">
        <v>1486.25</v>
      </c>
      <c r="F1062" t="s">
        <v>16</v>
      </c>
      <c r="G1062" t="s">
        <v>24</v>
      </c>
      <c r="H1062" t="s">
        <v>18</v>
      </c>
      <c r="I1062" t="s">
        <v>40</v>
      </c>
      <c r="J1062" t="s">
        <v>26</v>
      </c>
      <c r="K1062" t="s">
        <v>41</v>
      </c>
      <c r="L1062" t="s">
        <v>22</v>
      </c>
      <c r="M1062">
        <v>743.125</v>
      </c>
      <c r="N1062">
        <v>2020</v>
      </c>
      <c r="O1062">
        <v>5</v>
      </c>
    </row>
    <row r="1063" spans="1:15" x14ac:dyDescent="0.3">
      <c r="A1063" s="1">
        <v>43969</v>
      </c>
      <c r="B1063">
        <v>1000000029</v>
      </c>
      <c r="C1063" t="s">
        <v>23</v>
      </c>
      <c r="D1063">
        <v>1</v>
      </c>
      <c r="E1063">
        <v>984.97</v>
      </c>
      <c r="F1063" t="s">
        <v>16</v>
      </c>
      <c r="G1063" t="s">
        <v>24</v>
      </c>
      <c r="H1063" t="s">
        <v>18</v>
      </c>
      <c r="I1063" t="s">
        <v>19</v>
      </c>
      <c r="J1063" t="s">
        <v>20</v>
      </c>
      <c r="K1063" t="s">
        <v>21</v>
      </c>
      <c r="L1063" t="s">
        <v>22</v>
      </c>
      <c r="M1063">
        <v>984.97</v>
      </c>
      <c r="N1063">
        <v>2020</v>
      </c>
      <c r="O1063">
        <v>5</v>
      </c>
    </row>
    <row r="1064" spans="1:15" x14ac:dyDescent="0.3">
      <c r="A1064" s="1">
        <v>43969</v>
      </c>
      <c r="B1064">
        <v>1000000034</v>
      </c>
      <c r="C1064" t="s">
        <v>23</v>
      </c>
      <c r="D1064">
        <v>1</v>
      </c>
      <c r="E1064">
        <v>981.99</v>
      </c>
      <c r="F1064" t="s">
        <v>16</v>
      </c>
      <c r="G1064" t="s">
        <v>24</v>
      </c>
      <c r="H1064" t="s">
        <v>18</v>
      </c>
      <c r="I1064" t="s">
        <v>25</v>
      </c>
      <c r="J1064" t="s">
        <v>26</v>
      </c>
      <c r="K1064" t="s">
        <v>27</v>
      </c>
      <c r="L1064" t="s">
        <v>22</v>
      </c>
      <c r="M1064">
        <v>981.99</v>
      </c>
      <c r="N1064">
        <v>2020</v>
      </c>
      <c r="O1064">
        <v>5</v>
      </c>
    </row>
    <row r="1065" spans="1:15" x14ac:dyDescent="0.3">
      <c r="A1065" s="1">
        <v>43969</v>
      </c>
      <c r="B1065">
        <v>1000000034</v>
      </c>
      <c r="C1065" t="s">
        <v>42</v>
      </c>
      <c r="D1065">
        <v>1</v>
      </c>
      <c r="E1065">
        <v>762.28</v>
      </c>
      <c r="F1065" t="s">
        <v>16</v>
      </c>
      <c r="G1065" t="s">
        <v>43</v>
      </c>
      <c r="H1065" t="s">
        <v>18</v>
      </c>
      <c r="I1065" t="s">
        <v>25</v>
      </c>
      <c r="J1065" t="s">
        <v>26</v>
      </c>
      <c r="K1065" t="s">
        <v>27</v>
      </c>
      <c r="L1065" t="s">
        <v>22</v>
      </c>
      <c r="M1065">
        <v>762.28</v>
      </c>
      <c r="N1065">
        <v>2020</v>
      </c>
      <c r="O1065">
        <v>5</v>
      </c>
    </row>
    <row r="1066" spans="1:15" x14ac:dyDescent="0.3">
      <c r="A1066" s="1">
        <v>43970</v>
      </c>
      <c r="B1066">
        <v>1000006064</v>
      </c>
      <c r="C1066" t="s">
        <v>42</v>
      </c>
      <c r="D1066">
        <v>2</v>
      </c>
      <c r="E1066">
        <v>32000.94</v>
      </c>
      <c r="F1066" t="s">
        <v>16</v>
      </c>
      <c r="G1066" t="s">
        <v>43</v>
      </c>
      <c r="H1066" t="s">
        <v>18</v>
      </c>
      <c r="I1066" t="s">
        <v>40</v>
      </c>
      <c r="J1066" t="s">
        <v>26</v>
      </c>
      <c r="K1066" t="s">
        <v>41</v>
      </c>
      <c r="L1066" t="s">
        <v>22</v>
      </c>
      <c r="M1066">
        <v>16000.47</v>
      </c>
      <c r="N1066">
        <v>2020</v>
      </c>
      <c r="O1066">
        <v>5</v>
      </c>
    </row>
    <row r="1067" spans="1:15" x14ac:dyDescent="0.3">
      <c r="A1067" s="1">
        <v>43970</v>
      </c>
      <c r="B1067">
        <v>1000004256</v>
      </c>
      <c r="C1067" t="s">
        <v>42</v>
      </c>
      <c r="D1067">
        <v>1</v>
      </c>
      <c r="E1067">
        <v>25000.16</v>
      </c>
      <c r="F1067" t="s">
        <v>16</v>
      </c>
      <c r="G1067" t="s">
        <v>43</v>
      </c>
      <c r="H1067" t="s">
        <v>18</v>
      </c>
      <c r="I1067" t="s">
        <v>40</v>
      </c>
      <c r="J1067" t="s">
        <v>26</v>
      </c>
      <c r="K1067" t="s">
        <v>41</v>
      </c>
      <c r="L1067" t="s">
        <v>22</v>
      </c>
      <c r="M1067">
        <v>25000.16</v>
      </c>
      <c r="N1067">
        <v>2020</v>
      </c>
      <c r="O1067">
        <v>5</v>
      </c>
    </row>
    <row r="1068" spans="1:15" x14ac:dyDescent="0.3">
      <c r="A1068" s="1">
        <v>43970</v>
      </c>
      <c r="B1068">
        <v>1000000054</v>
      </c>
      <c r="C1068" t="s">
        <v>15</v>
      </c>
      <c r="D1068">
        <v>2</v>
      </c>
      <c r="E1068">
        <v>23000.799999999999</v>
      </c>
      <c r="F1068" t="s">
        <v>16</v>
      </c>
      <c r="G1068" t="s">
        <v>17</v>
      </c>
      <c r="H1068" t="s">
        <v>18</v>
      </c>
      <c r="I1068" t="s">
        <v>34</v>
      </c>
      <c r="J1068" t="s">
        <v>26</v>
      </c>
      <c r="K1068" t="s">
        <v>35</v>
      </c>
      <c r="L1068" t="s">
        <v>22</v>
      </c>
      <c r="M1068">
        <v>11500.4</v>
      </c>
      <c r="N1068">
        <v>2020</v>
      </c>
      <c r="O1068">
        <v>5</v>
      </c>
    </row>
    <row r="1069" spans="1:15" x14ac:dyDescent="0.3">
      <c r="A1069" s="1">
        <v>43970</v>
      </c>
      <c r="B1069">
        <v>1000000036</v>
      </c>
      <c r="C1069" t="s">
        <v>15</v>
      </c>
      <c r="D1069">
        <v>1</v>
      </c>
      <c r="E1069">
        <v>22000.45</v>
      </c>
      <c r="F1069" t="s">
        <v>16</v>
      </c>
      <c r="G1069" t="s">
        <v>17</v>
      </c>
      <c r="H1069" t="s">
        <v>47</v>
      </c>
      <c r="I1069" t="s">
        <v>48</v>
      </c>
      <c r="J1069" t="s">
        <v>36</v>
      </c>
      <c r="K1069" t="s">
        <v>49</v>
      </c>
      <c r="L1069" t="s">
        <v>28</v>
      </c>
      <c r="M1069">
        <v>22000.45</v>
      </c>
      <c r="N1069">
        <v>2020</v>
      </c>
      <c r="O1069">
        <v>5</v>
      </c>
    </row>
    <row r="1070" spans="1:15" x14ac:dyDescent="0.3">
      <c r="A1070" s="1">
        <v>43970</v>
      </c>
      <c r="B1070">
        <v>1000000028</v>
      </c>
      <c r="C1070" t="s">
        <v>15</v>
      </c>
      <c r="D1070">
        <v>1</v>
      </c>
      <c r="E1070">
        <v>22000</v>
      </c>
      <c r="F1070" t="s">
        <v>16</v>
      </c>
      <c r="G1070" t="s">
        <v>17</v>
      </c>
      <c r="H1070" t="s">
        <v>18</v>
      </c>
      <c r="I1070" t="s">
        <v>19</v>
      </c>
      <c r="J1070" t="s">
        <v>20</v>
      </c>
      <c r="K1070" t="s">
        <v>21</v>
      </c>
      <c r="L1070" t="s">
        <v>22</v>
      </c>
      <c r="M1070">
        <v>22000</v>
      </c>
      <c r="N1070">
        <v>2020</v>
      </c>
      <c r="O1070">
        <v>5</v>
      </c>
    </row>
    <row r="1071" spans="1:15" x14ac:dyDescent="0.3">
      <c r="A1071" s="1">
        <v>43970</v>
      </c>
      <c r="B1071">
        <v>1000000052</v>
      </c>
      <c r="C1071" t="s">
        <v>23</v>
      </c>
      <c r="D1071">
        <v>1</v>
      </c>
      <c r="E1071">
        <v>20000.740000000002</v>
      </c>
      <c r="F1071" t="s">
        <v>16</v>
      </c>
      <c r="G1071" t="s">
        <v>24</v>
      </c>
      <c r="H1071" t="s">
        <v>18</v>
      </c>
      <c r="I1071" t="s">
        <v>34</v>
      </c>
      <c r="J1071" t="s">
        <v>20</v>
      </c>
      <c r="K1071" t="s">
        <v>44</v>
      </c>
      <c r="L1071" t="s">
        <v>22</v>
      </c>
      <c r="M1071">
        <v>20000.740000000002</v>
      </c>
      <c r="N1071">
        <v>2020</v>
      </c>
      <c r="O1071">
        <v>5</v>
      </c>
    </row>
    <row r="1072" spans="1:15" x14ac:dyDescent="0.3">
      <c r="A1072" s="1">
        <v>43970</v>
      </c>
      <c r="B1072">
        <v>1000000046</v>
      </c>
      <c r="C1072" t="s">
        <v>15</v>
      </c>
      <c r="D1072">
        <v>1</v>
      </c>
      <c r="E1072">
        <v>20000.45</v>
      </c>
      <c r="F1072" t="s">
        <v>16</v>
      </c>
      <c r="G1072" t="s">
        <v>17</v>
      </c>
      <c r="H1072" t="s">
        <v>30</v>
      </c>
      <c r="I1072" t="s">
        <v>38</v>
      </c>
      <c r="J1072" t="s">
        <v>26</v>
      </c>
      <c r="K1072" t="s">
        <v>39</v>
      </c>
      <c r="L1072" t="s">
        <v>22</v>
      </c>
      <c r="M1072">
        <v>20000.45</v>
      </c>
      <c r="N1072">
        <v>2020</v>
      </c>
      <c r="O1072">
        <v>5</v>
      </c>
    </row>
    <row r="1073" spans="1:15" x14ac:dyDescent="0.3">
      <c r="A1073" s="1">
        <v>43970</v>
      </c>
      <c r="B1073">
        <v>1000000050</v>
      </c>
      <c r="C1073" t="s">
        <v>42</v>
      </c>
      <c r="D1073">
        <v>2</v>
      </c>
      <c r="E1073">
        <v>19000.68</v>
      </c>
      <c r="F1073" t="s">
        <v>16</v>
      </c>
      <c r="G1073" t="s">
        <v>43</v>
      </c>
      <c r="H1073" t="s">
        <v>18</v>
      </c>
      <c r="I1073" t="s">
        <v>40</v>
      </c>
      <c r="J1073" t="s">
        <v>26</v>
      </c>
      <c r="K1073" t="s">
        <v>41</v>
      </c>
      <c r="L1073" t="s">
        <v>22</v>
      </c>
      <c r="M1073">
        <v>9500.34</v>
      </c>
      <c r="N1073">
        <v>2020</v>
      </c>
      <c r="O1073">
        <v>5</v>
      </c>
    </row>
    <row r="1074" spans="1:15" x14ac:dyDescent="0.3">
      <c r="A1074" s="1">
        <v>43970</v>
      </c>
      <c r="B1074">
        <v>1000000043</v>
      </c>
      <c r="C1074" t="s">
        <v>23</v>
      </c>
      <c r="D1074">
        <v>1</v>
      </c>
      <c r="E1074">
        <v>17000.259999999998</v>
      </c>
      <c r="F1074" t="s">
        <v>16</v>
      </c>
      <c r="G1074" t="s">
        <v>24</v>
      </c>
      <c r="H1074" t="s">
        <v>30</v>
      </c>
      <c r="I1074" t="s">
        <v>38</v>
      </c>
      <c r="J1074" t="s">
        <v>26</v>
      </c>
      <c r="K1074" t="s">
        <v>39</v>
      </c>
      <c r="L1074" t="s">
        <v>22</v>
      </c>
      <c r="M1074">
        <v>17000.259999999998</v>
      </c>
      <c r="N1074">
        <v>2020</v>
      </c>
      <c r="O1074">
        <v>5</v>
      </c>
    </row>
    <row r="1075" spans="1:15" x14ac:dyDescent="0.3">
      <c r="A1075" s="1">
        <v>43970</v>
      </c>
      <c r="B1075">
        <v>1000000045</v>
      </c>
      <c r="C1075" t="s">
        <v>15</v>
      </c>
      <c r="D1075">
        <v>1</v>
      </c>
      <c r="E1075">
        <v>15800.63</v>
      </c>
      <c r="F1075" t="s">
        <v>16</v>
      </c>
      <c r="G1075" t="s">
        <v>17</v>
      </c>
      <c r="H1075" t="s">
        <v>47</v>
      </c>
      <c r="I1075" t="s">
        <v>59</v>
      </c>
      <c r="J1075" t="s">
        <v>26</v>
      </c>
      <c r="K1075" t="s">
        <v>60</v>
      </c>
      <c r="L1075" t="s">
        <v>22</v>
      </c>
      <c r="M1075">
        <v>15800.63</v>
      </c>
      <c r="N1075">
        <v>2020</v>
      </c>
      <c r="O1075">
        <v>5</v>
      </c>
    </row>
    <row r="1076" spans="1:15" x14ac:dyDescent="0.3">
      <c r="A1076" s="1">
        <v>43970</v>
      </c>
      <c r="B1076">
        <v>1000000068</v>
      </c>
      <c r="C1076" t="s">
        <v>23</v>
      </c>
      <c r="D1076">
        <v>2</v>
      </c>
      <c r="E1076">
        <v>15001.130000000001</v>
      </c>
      <c r="F1076" t="s">
        <v>16</v>
      </c>
      <c r="G1076" t="s">
        <v>24</v>
      </c>
      <c r="H1076" t="s">
        <v>30</v>
      </c>
      <c r="I1076" t="s">
        <v>55</v>
      </c>
      <c r="J1076" t="s">
        <v>26</v>
      </c>
      <c r="K1076" t="s">
        <v>56</v>
      </c>
      <c r="L1076" t="s">
        <v>28</v>
      </c>
      <c r="M1076">
        <v>7500.5649999999996</v>
      </c>
      <c r="N1076">
        <v>2020</v>
      </c>
      <c r="O1076">
        <v>5</v>
      </c>
    </row>
    <row r="1077" spans="1:15" x14ac:dyDescent="0.3">
      <c r="A1077" s="1">
        <v>43970</v>
      </c>
      <c r="B1077">
        <v>1000000040</v>
      </c>
      <c r="C1077" t="s">
        <v>23</v>
      </c>
      <c r="D1077">
        <v>1</v>
      </c>
      <c r="E1077">
        <v>15000.5</v>
      </c>
      <c r="F1077" t="s">
        <v>16</v>
      </c>
      <c r="G1077" t="s">
        <v>24</v>
      </c>
      <c r="H1077" t="s">
        <v>30</v>
      </c>
      <c r="I1077" t="s">
        <v>31</v>
      </c>
      <c r="J1077" t="s">
        <v>32</v>
      </c>
      <c r="K1077" t="s">
        <v>33</v>
      </c>
      <c r="L1077" t="s">
        <v>28</v>
      </c>
      <c r="M1077">
        <v>15000.5</v>
      </c>
      <c r="N1077">
        <v>2020</v>
      </c>
      <c r="O1077">
        <v>5</v>
      </c>
    </row>
    <row r="1078" spans="1:15" x14ac:dyDescent="0.3">
      <c r="A1078" s="1">
        <v>43970</v>
      </c>
      <c r="B1078">
        <v>1000000104</v>
      </c>
      <c r="C1078" t="s">
        <v>15</v>
      </c>
      <c r="D1078">
        <v>1</v>
      </c>
      <c r="E1078">
        <v>15000.4</v>
      </c>
      <c r="F1078" t="s">
        <v>16</v>
      </c>
      <c r="G1078" t="s">
        <v>17</v>
      </c>
      <c r="H1078" t="s">
        <v>18</v>
      </c>
      <c r="I1078" t="s">
        <v>40</v>
      </c>
      <c r="J1078" t="s">
        <v>26</v>
      </c>
      <c r="K1078" t="s">
        <v>41</v>
      </c>
      <c r="L1078" t="s">
        <v>22</v>
      </c>
      <c r="M1078">
        <v>15000.4</v>
      </c>
      <c r="N1078">
        <v>2020</v>
      </c>
      <c r="O1078">
        <v>5</v>
      </c>
    </row>
    <row r="1079" spans="1:15" x14ac:dyDescent="0.3">
      <c r="A1079" s="1">
        <v>43970</v>
      </c>
      <c r="B1079">
        <v>1000000039</v>
      </c>
      <c r="C1079" t="s">
        <v>23</v>
      </c>
      <c r="D1079">
        <v>3</v>
      </c>
      <c r="E1079">
        <v>14501.84</v>
      </c>
      <c r="F1079" t="s">
        <v>16</v>
      </c>
      <c r="G1079" t="s">
        <v>24</v>
      </c>
      <c r="H1079" t="s">
        <v>18</v>
      </c>
      <c r="I1079" t="s">
        <v>25</v>
      </c>
      <c r="J1079" t="s">
        <v>20</v>
      </c>
      <c r="K1079" t="s">
        <v>51</v>
      </c>
      <c r="L1079" t="s">
        <v>28</v>
      </c>
      <c r="M1079">
        <v>4833.9466666666667</v>
      </c>
      <c r="N1079">
        <v>2020</v>
      </c>
      <c r="O1079">
        <v>5</v>
      </c>
    </row>
    <row r="1080" spans="1:15" x14ac:dyDescent="0.3">
      <c r="A1080" s="1">
        <v>43970</v>
      </c>
      <c r="B1080">
        <v>1000000566</v>
      </c>
      <c r="C1080" t="s">
        <v>42</v>
      </c>
      <c r="D1080">
        <v>1</v>
      </c>
      <c r="E1080">
        <v>14000.71</v>
      </c>
      <c r="F1080" t="s">
        <v>16</v>
      </c>
      <c r="G1080" t="s">
        <v>43</v>
      </c>
      <c r="H1080" t="s">
        <v>47</v>
      </c>
      <c r="I1080" t="s">
        <v>48</v>
      </c>
      <c r="J1080" t="s">
        <v>36</v>
      </c>
      <c r="K1080" t="s">
        <v>49</v>
      </c>
      <c r="L1080" t="s">
        <v>22</v>
      </c>
      <c r="M1080">
        <v>14000.71</v>
      </c>
      <c r="N1080">
        <v>2020</v>
      </c>
      <c r="O1080">
        <v>5</v>
      </c>
    </row>
    <row r="1081" spans="1:15" x14ac:dyDescent="0.3">
      <c r="A1081" s="1">
        <v>43970</v>
      </c>
      <c r="B1081">
        <v>1000000928</v>
      </c>
      <c r="C1081" t="s">
        <v>15</v>
      </c>
      <c r="D1081">
        <v>1</v>
      </c>
      <c r="E1081">
        <v>13000.11</v>
      </c>
      <c r="F1081" t="s">
        <v>16</v>
      </c>
      <c r="G1081" t="s">
        <v>17</v>
      </c>
      <c r="H1081" t="s">
        <v>30</v>
      </c>
      <c r="I1081" t="s">
        <v>57</v>
      </c>
      <c r="J1081" t="s">
        <v>26</v>
      </c>
      <c r="K1081" t="s">
        <v>58</v>
      </c>
      <c r="L1081" t="s">
        <v>22</v>
      </c>
      <c r="M1081">
        <v>13000.11</v>
      </c>
      <c r="N1081">
        <v>2020</v>
      </c>
      <c r="O1081">
        <v>5</v>
      </c>
    </row>
    <row r="1082" spans="1:15" x14ac:dyDescent="0.3">
      <c r="A1082" s="1">
        <v>43970</v>
      </c>
      <c r="B1082">
        <v>1000000044</v>
      </c>
      <c r="C1082" t="s">
        <v>23</v>
      </c>
      <c r="D1082">
        <v>2</v>
      </c>
      <c r="E1082">
        <v>12500.900000000001</v>
      </c>
      <c r="F1082" t="s">
        <v>16</v>
      </c>
      <c r="G1082" t="s">
        <v>24</v>
      </c>
      <c r="H1082" t="s">
        <v>30</v>
      </c>
      <c r="I1082" t="s">
        <v>31</v>
      </c>
      <c r="J1082" t="s">
        <v>36</v>
      </c>
      <c r="K1082" t="s">
        <v>52</v>
      </c>
      <c r="L1082" t="s">
        <v>28</v>
      </c>
      <c r="M1082">
        <v>6250.4500000000007</v>
      </c>
      <c r="N1082">
        <v>2020</v>
      </c>
      <c r="O1082">
        <v>5</v>
      </c>
    </row>
    <row r="1083" spans="1:15" x14ac:dyDescent="0.3">
      <c r="A1083" s="1">
        <v>43970</v>
      </c>
      <c r="B1083">
        <v>1000000056</v>
      </c>
      <c r="C1083" t="s">
        <v>15</v>
      </c>
      <c r="D1083">
        <v>1</v>
      </c>
      <c r="E1083">
        <v>12000.32</v>
      </c>
      <c r="F1083" t="s">
        <v>16</v>
      </c>
      <c r="G1083" t="s">
        <v>17</v>
      </c>
      <c r="H1083" t="s">
        <v>18</v>
      </c>
      <c r="I1083" t="s">
        <v>34</v>
      </c>
      <c r="J1083" t="s">
        <v>26</v>
      </c>
      <c r="K1083" t="s">
        <v>35</v>
      </c>
      <c r="L1083" t="s">
        <v>28</v>
      </c>
      <c r="M1083">
        <v>12000.32</v>
      </c>
      <c r="N1083">
        <v>2020</v>
      </c>
      <c r="O1083">
        <v>5</v>
      </c>
    </row>
    <row r="1084" spans="1:15" x14ac:dyDescent="0.3">
      <c r="A1084" s="1">
        <v>43970</v>
      </c>
      <c r="B1084">
        <v>1000006867</v>
      </c>
      <c r="C1084" t="s">
        <v>15</v>
      </c>
      <c r="D1084">
        <v>1</v>
      </c>
      <c r="E1084">
        <v>11000.35</v>
      </c>
      <c r="F1084" t="s">
        <v>16</v>
      </c>
      <c r="G1084" t="s">
        <v>17</v>
      </c>
      <c r="H1084" t="s">
        <v>18</v>
      </c>
      <c r="I1084" t="s">
        <v>61</v>
      </c>
      <c r="J1084" t="s">
        <v>26</v>
      </c>
      <c r="K1084" t="s">
        <v>62</v>
      </c>
      <c r="L1084" t="s">
        <v>22</v>
      </c>
      <c r="M1084">
        <v>11000.35</v>
      </c>
      <c r="N1084">
        <v>2020</v>
      </c>
      <c r="O1084">
        <v>5</v>
      </c>
    </row>
    <row r="1085" spans="1:15" x14ac:dyDescent="0.3">
      <c r="A1085" s="1">
        <v>43970</v>
      </c>
      <c r="B1085">
        <v>1000000040</v>
      </c>
      <c r="C1085" t="s">
        <v>15</v>
      </c>
      <c r="D1085">
        <v>1</v>
      </c>
      <c r="E1085">
        <v>10000.23</v>
      </c>
      <c r="F1085" t="s">
        <v>16</v>
      </c>
      <c r="G1085" t="s">
        <v>17</v>
      </c>
      <c r="H1085" t="s">
        <v>30</v>
      </c>
      <c r="I1085" t="s">
        <v>31</v>
      </c>
      <c r="J1085" t="s">
        <v>32</v>
      </c>
      <c r="K1085" t="s">
        <v>33</v>
      </c>
      <c r="L1085" t="s">
        <v>28</v>
      </c>
      <c r="M1085">
        <v>10000.23</v>
      </c>
      <c r="N1085">
        <v>2020</v>
      </c>
      <c r="O1085">
        <v>5</v>
      </c>
    </row>
    <row r="1086" spans="1:15" x14ac:dyDescent="0.3">
      <c r="A1086" s="1">
        <v>43970</v>
      </c>
      <c r="B1086">
        <v>1000000031</v>
      </c>
      <c r="C1086" t="s">
        <v>23</v>
      </c>
      <c r="D1086">
        <v>1</v>
      </c>
      <c r="E1086">
        <v>10000.17</v>
      </c>
      <c r="F1086" t="s">
        <v>16</v>
      </c>
      <c r="G1086" t="s">
        <v>24</v>
      </c>
      <c r="H1086" t="s">
        <v>18</v>
      </c>
      <c r="I1086" t="s">
        <v>19</v>
      </c>
      <c r="J1086" t="s">
        <v>26</v>
      </c>
      <c r="K1086" t="s">
        <v>29</v>
      </c>
      <c r="L1086" t="s">
        <v>28</v>
      </c>
      <c r="M1086">
        <v>10000.17</v>
      </c>
      <c r="N1086">
        <v>2020</v>
      </c>
      <c r="O1086">
        <v>5</v>
      </c>
    </row>
    <row r="1087" spans="1:15" x14ac:dyDescent="0.3">
      <c r="A1087" s="1">
        <v>43970</v>
      </c>
      <c r="B1087">
        <v>1000000044</v>
      </c>
      <c r="C1087" t="s">
        <v>15</v>
      </c>
      <c r="D1087">
        <v>1</v>
      </c>
      <c r="E1087">
        <v>9000.43</v>
      </c>
      <c r="F1087" t="s">
        <v>16</v>
      </c>
      <c r="G1087" t="s">
        <v>17</v>
      </c>
      <c r="H1087" t="s">
        <v>30</v>
      </c>
      <c r="I1087" t="s">
        <v>31</v>
      </c>
      <c r="J1087" t="s">
        <v>36</v>
      </c>
      <c r="K1087" t="s">
        <v>52</v>
      </c>
      <c r="L1087" t="s">
        <v>28</v>
      </c>
      <c r="M1087">
        <v>9000.43</v>
      </c>
      <c r="N1087">
        <v>2020</v>
      </c>
      <c r="O1087">
        <v>5</v>
      </c>
    </row>
    <row r="1088" spans="1:15" x14ac:dyDescent="0.3">
      <c r="A1088" s="1">
        <v>43970</v>
      </c>
      <c r="B1088">
        <v>1000005873</v>
      </c>
      <c r="C1088" t="s">
        <v>23</v>
      </c>
      <c r="D1088">
        <v>1</v>
      </c>
      <c r="E1088">
        <v>7000.43</v>
      </c>
      <c r="F1088" t="s">
        <v>16</v>
      </c>
      <c r="G1088" t="s">
        <v>24</v>
      </c>
      <c r="H1088" t="s">
        <v>18</v>
      </c>
      <c r="I1088" t="s">
        <v>19</v>
      </c>
      <c r="J1088" t="s">
        <v>20</v>
      </c>
      <c r="K1088" t="s">
        <v>21</v>
      </c>
      <c r="L1088" t="s">
        <v>28</v>
      </c>
      <c r="M1088">
        <v>7000.43</v>
      </c>
      <c r="N1088">
        <v>2020</v>
      </c>
      <c r="O1088">
        <v>5</v>
      </c>
    </row>
    <row r="1089" spans="1:15" x14ac:dyDescent="0.3">
      <c r="A1089" s="1">
        <v>43970</v>
      </c>
      <c r="B1089">
        <v>1000000037</v>
      </c>
      <c r="C1089" t="s">
        <v>15</v>
      </c>
      <c r="D1089">
        <v>1</v>
      </c>
      <c r="E1089">
        <v>7000.14</v>
      </c>
      <c r="F1089" t="s">
        <v>16</v>
      </c>
      <c r="G1089" t="s">
        <v>17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>
        <v>7000.14</v>
      </c>
      <c r="N1089">
        <v>2020</v>
      </c>
      <c r="O1089">
        <v>5</v>
      </c>
    </row>
    <row r="1090" spans="1:15" x14ac:dyDescent="0.3">
      <c r="A1090" s="1">
        <v>43970</v>
      </c>
      <c r="B1090">
        <v>1000000041</v>
      </c>
      <c r="C1090" t="s">
        <v>23</v>
      </c>
      <c r="D1090">
        <v>1</v>
      </c>
      <c r="E1090">
        <v>6499.99</v>
      </c>
      <c r="F1090" t="s">
        <v>16</v>
      </c>
      <c r="G1090" t="s">
        <v>24</v>
      </c>
      <c r="H1090" t="s">
        <v>30</v>
      </c>
      <c r="I1090" t="s">
        <v>31</v>
      </c>
      <c r="J1090" t="s">
        <v>32</v>
      </c>
      <c r="K1090" t="s">
        <v>33</v>
      </c>
      <c r="L1090" t="s">
        <v>22</v>
      </c>
      <c r="M1090">
        <v>6499.99</v>
      </c>
      <c r="N1090">
        <v>2020</v>
      </c>
      <c r="O1090">
        <v>5</v>
      </c>
    </row>
    <row r="1091" spans="1:15" x14ac:dyDescent="0.3">
      <c r="A1091" s="1">
        <v>43970</v>
      </c>
      <c r="B1091">
        <v>1000007320</v>
      </c>
      <c r="C1091" t="s">
        <v>15</v>
      </c>
      <c r="D1091">
        <v>1</v>
      </c>
      <c r="E1091">
        <v>5999.99</v>
      </c>
      <c r="F1091" t="s">
        <v>16</v>
      </c>
      <c r="G1091" t="s">
        <v>17</v>
      </c>
      <c r="H1091" t="s">
        <v>18</v>
      </c>
      <c r="I1091" t="s">
        <v>34</v>
      </c>
      <c r="J1091" t="s">
        <v>26</v>
      </c>
      <c r="K1091" t="s">
        <v>35</v>
      </c>
      <c r="L1091" t="s">
        <v>22</v>
      </c>
      <c r="M1091">
        <v>5999.99</v>
      </c>
      <c r="N1091">
        <v>2020</v>
      </c>
      <c r="O1091">
        <v>5</v>
      </c>
    </row>
    <row r="1092" spans="1:15" x14ac:dyDescent="0.3">
      <c r="A1092" s="1">
        <v>43970</v>
      </c>
      <c r="B1092">
        <v>1000000045</v>
      </c>
      <c r="C1092" t="s">
        <v>23</v>
      </c>
      <c r="D1092">
        <v>1</v>
      </c>
      <c r="E1092">
        <v>5500.56</v>
      </c>
      <c r="F1092" t="s">
        <v>16</v>
      </c>
      <c r="G1092" t="s">
        <v>24</v>
      </c>
      <c r="H1092" t="s">
        <v>47</v>
      </c>
      <c r="I1092" t="s">
        <v>59</v>
      </c>
      <c r="J1092" t="s">
        <v>26</v>
      </c>
      <c r="K1092" t="s">
        <v>60</v>
      </c>
      <c r="L1092" t="s">
        <v>22</v>
      </c>
      <c r="M1092">
        <v>5500.56</v>
      </c>
      <c r="N1092">
        <v>2020</v>
      </c>
      <c r="O1092">
        <v>5</v>
      </c>
    </row>
    <row r="1093" spans="1:15" x14ac:dyDescent="0.3">
      <c r="A1093" s="1">
        <v>43970</v>
      </c>
      <c r="B1093">
        <v>1000006860</v>
      </c>
      <c r="C1093" t="s">
        <v>15</v>
      </c>
      <c r="D1093">
        <v>1</v>
      </c>
      <c r="E1093">
        <v>5500.08</v>
      </c>
      <c r="F1093" t="s">
        <v>16</v>
      </c>
      <c r="G1093" t="s">
        <v>17</v>
      </c>
      <c r="H1093" t="s">
        <v>18</v>
      </c>
      <c r="I1093" t="s">
        <v>61</v>
      </c>
      <c r="J1093" t="s">
        <v>26</v>
      </c>
      <c r="K1093" t="s">
        <v>62</v>
      </c>
      <c r="L1093" t="s">
        <v>22</v>
      </c>
      <c r="M1093">
        <v>5500.08</v>
      </c>
      <c r="N1093">
        <v>2020</v>
      </c>
      <c r="O1093">
        <v>5</v>
      </c>
    </row>
    <row r="1094" spans="1:15" x14ac:dyDescent="0.3">
      <c r="A1094" s="1">
        <v>43970</v>
      </c>
      <c r="B1094">
        <v>1000000237</v>
      </c>
      <c r="C1094" t="s">
        <v>23</v>
      </c>
      <c r="D1094">
        <v>1</v>
      </c>
      <c r="E1094">
        <v>1872.26</v>
      </c>
      <c r="F1094" t="s">
        <v>16</v>
      </c>
      <c r="G1094" t="s">
        <v>24</v>
      </c>
      <c r="H1094" t="s">
        <v>18</v>
      </c>
      <c r="I1094" t="s">
        <v>40</v>
      </c>
      <c r="J1094" t="s">
        <v>26</v>
      </c>
      <c r="K1094" t="s">
        <v>41</v>
      </c>
      <c r="L1094" t="s">
        <v>22</v>
      </c>
      <c r="M1094">
        <v>1872.26</v>
      </c>
      <c r="N1094">
        <v>2020</v>
      </c>
      <c r="O1094">
        <v>5</v>
      </c>
    </row>
    <row r="1095" spans="1:15" x14ac:dyDescent="0.3">
      <c r="A1095" s="1">
        <v>43970</v>
      </c>
      <c r="B1095">
        <v>1000000030</v>
      </c>
      <c r="C1095" t="s">
        <v>23</v>
      </c>
      <c r="D1095">
        <v>1</v>
      </c>
      <c r="E1095">
        <v>1500.64</v>
      </c>
      <c r="F1095" t="s">
        <v>16</v>
      </c>
      <c r="G1095" t="s">
        <v>24</v>
      </c>
      <c r="H1095" t="s">
        <v>47</v>
      </c>
      <c r="I1095" t="s">
        <v>48</v>
      </c>
      <c r="J1095" t="s">
        <v>36</v>
      </c>
      <c r="K1095" t="s">
        <v>49</v>
      </c>
      <c r="L1095" t="s">
        <v>22</v>
      </c>
      <c r="M1095">
        <v>1500.64</v>
      </c>
      <c r="N1095">
        <v>2020</v>
      </c>
      <c r="O1095">
        <v>5</v>
      </c>
    </row>
    <row r="1096" spans="1:15" x14ac:dyDescent="0.3">
      <c r="A1096" s="1">
        <v>43970</v>
      </c>
      <c r="B1096">
        <v>1000000032</v>
      </c>
      <c r="C1096" t="s">
        <v>23</v>
      </c>
      <c r="D1096">
        <v>1</v>
      </c>
      <c r="E1096">
        <v>1200.74</v>
      </c>
      <c r="F1096" t="s">
        <v>16</v>
      </c>
      <c r="G1096" t="s">
        <v>24</v>
      </c>
      <c r="H1096" t="s">
        <v>18</v>
      </c>
      <c r="I1096" t="s">
        <v>25</v>
      </c>
      <c r="J1096" t="s">
        <v>26</v>
      </c>
      <c r="K1096" t="s">
        <v>27</v>
      </c>
      <c r="L1096" t="s">
        <v>28</v>
      </c>
      <c r="M1096">
        <v>1200.74</v>
      </c>
      <c r="N1096">
        <v>2020</v>
      </c>
      <c r="O1096">
        <v>5</v>
      </c>
    </row>
    <row r="1097" spans="1:15" x14ac:dyDescent="0.3">
      <c r="A1097" s="1">
        <v>43970</v>
      </c>
      <c r="B1097">
        <v>1000000056</v>
      </c>
      <c r="C1097" t="s">
        <v>23</v>
      </c>
      <c r="D1097">
        <v>1</v>
      </c>
      <c r="E1097">
        <v>1000.68</v>
      </c>
      <c r="F1097" t="s">
        <v>16</v>
      </c>
      <c r="G1097" t="s">
        <v>24</v>
      </c>
      <c r="H1097" t="s">
        <v>18</v>
      </c>
      <c r="I1097" t="s">
        <v>34</v>
      </c>
      <c r="J1097" t="s">
        <v>26</v>
      </c>
      <c r="K1097" t="s">
        <v>35</v>
      </c>
      <c r="L1097" t="s">
        <v>28</v>
      </c>
      <c r="M1097">
        <v>1000.68</v>
      </c>
      <c r="N1097">
        <v>2020</v>
      </c>
      <c r="O1097">
        <v>5</v>
      </c>
    </row>
    <row r="1098" spans="1:15" x14ac:dyDescent="0.3">
      <c r="A1098" s="1">
        <v>43970</v>
      </c>
      <c r="B1098">
        <v>1000000031</v>
      </c>
      <c r="C1098" t="s">
        <v>42</v>
      </c>
      <c r="D1098">
        <v>1</v>
      </c>
      <c r="E1098">
        <v>500.23</v>
      </c>
      <c r="F1098" t="s">
        <v>16</v>
      </c>
      <c r="G1098" t="s">
        <v>43</v>
      </c>
      <c r="H1098" t="s">
        <v>18</v>
      </c>
      <c r="I1098" t="s">
        <v>19</v>
      </c>
      <c r="J1098" t="s">
        <v>26</v>
      </c>
      <c r="K1098" t="s">
        <v>29</v>
      </c>
      <c r="L1098" t="s">
        <v>28</v>
      </c>
      <c r="M1098">
        <v>500.23</v>
      </c>
      <c r="N1098">
        <v>2020</v>
      </c>
      <c r="O1098">
        <v>5</v>
      </c>
    </row>
    <row r="1099" spans="1:15" x14ac:dyDescent="0.3">
      <c r="A1099" s="1">
        <v>43971</v>
      </c>
      <c r="B1099">
        <v>1000000067</v>
      </c>
      <c r="C1099" t="s">
        <v>15</v>
      </c>
      <c r="D1099">
        <v>3</v>
      </c>
      <c r="E1099">
        <v>53000.5</v>
      </c>
      <c r="F1099" t="s">
        <v>16</v>
      </c>
      <c r="G1099" t="s">
        <v>17</v>
      </c>
      <c r="H1099" t="s">
        <v>18</v>
      </c>
      <c r="I1099" t="s">
        <v>25</v>
      </c>
      <c r="J1099" t="s">
        <v>20</v>
      </c>
      <c r="K1099" t="s">
        <v>51</v>
      </c>
      <c r="L1099" t="s">
        <v>22</v>
      </c>
      <c r="M1099">
        <v>17666.833333333332</v>
      </c>
      <c r="N1099">
        <v>2020</v>
      </c>
      <c r="O1099">
        <v>5</v>
      </c>
    </row>
    <row r="1100" spans="1:15" x14ac:dyDescent="0.3">
      <c r="A1100" s="1">
        <v>43971</v>
      </c>
      <c r="B1100">
        <v>1000000035</v>
      </c>
      <c r="C1100" t="s">
        <v>42</v>
      </c>
      <c r="D1100">
        <v>3</v>
      </c>
      <c r="E1100">
        <v>47001.55</v>
      </c>
      <c r="F1100" t="s">
        <v>16</v>
      </c>
      <c r="G1100" t="s">
        <v>43</v>
      </c>
      <c r="H1100" t="s">
        <v>18</v>
      </c>
      <c r="I1100" t="s">
        <v>25</v>
      </c>
      <c r="J1100" t="s">
        <v>36</v>
      </c>
      <c r="K1100" t="s">
        <v>37</v>
      </c>
      <c r="L1100" t="s">
        <v>22</v>
      </c>
      <c r="M1100">
        <v>15667.183333333334</v>
      </c>
      <c r="N1100">
        <v>2020</v>
      </c>
      <c r="O1100">
        <v>5</v>
      </c>
    </row>
    <row r="1101" spans="1:15" x14ac:dyDescent="0.3">
      <c r="A1101" s="1">
        <v>43971</v>
      </c>
      <c r="B1101">
        <v>1000000045</v>
      </c>
      <c r="C1101" t="s">
        <v>23</v>
      </c>
      <c r="D1101">
        <v>4</v>
      </c>
      <c r="E1101">
        <v>34980.019999999997</v>
      </c>
      <c r="F1101" t="s">
        <v>16</v>
      </c>
      <c r="G1101" t="s">
        <v>24</v>
      </c>
      <c r="H1101" t="s">
        <v>47</v>
      </c>
      <c r="I1101" t="s">
        <v>59</v>
      </c>
      <c r="J1101" t="s">
        <v>26</v>
      </c>
      <c r="K1101" t="s">
        <v>60</v>
      </c>
      <c r="L1101" t="s">
        <v>22</v>
      </c>
      <c r="M1101">
        <v>8745.0049999999992</v>
      </c>
      <c r="N1101">
        <v>2020</v>
      </c>
      <c r="O1101">
        <v>5</v>
      </c>
    </row>
    <row r="1102" spans="1:15" x14ac:dyDescent="0.3">
      <c r="A1102" s="1">
        <v>43971</v>
      </c>
      <c r="B1102">
        <v>1000000029</v>
      </c>
      <c r="C1102" t="s">
        <v>15</v>
      </c>
      <c r="D1102">
        <v>3</v>
      </c>
      <c r="E1102">
        <v>34384.520000000004</v>
      </c>
      <c r="F1102" t="s">
        <v>16</v>
      </c>
      <c r="G1102" t="s">
        <v>17</v>
      </c>
      <c r="H1102" t="s">
        <v>18</v>
      </c>
      <c r="I1102" t="s">
        <v>19</v>
      </c>
      <c r="J1102" t="s">
        <v>20</v>
      </c>
      <c r="K1102" t="s">
        <v>21</v>
      </c>
      <c r="L1102" t="s">
        <v>22</v>
      </c>
      <c r="M1102">
        <v>11461.506666666668</v>
      </c>
      <c r="N1102">
        <v>2020</v>
      </c>
      <c r="O1102">
        <v>5</v>
      </c>
    </row>
    <row r="1103" spans="1:15" x14ac:dyDescent="0.3">
      <c r="A1103" s="1">
        <v>43971</v>
      </c>
      <c r="B1103">
        <v>1000000029</v>
      </c>
      <c r="C1103" t="s">
        <v>23</v>
      </c>
      <c r="D1103">
        <v>3</v>
      </c>
      <c r="E1103">
        <v>34000.630000000005</v>
      </c>
      <c r="F1103" t="s">
        <v>16</v>
      </c>
      <c r="G1103" t="s">
        <v>24</v>
      </c>
      <c r="H1103" t="s">
        <v>18</v>
      </c>
      <c r="I1103" t="s">
        <v>19</v>
      </c>
      <c r="J1103" t="s">
        <v>20</v>
      </c>
      <c r="K1103" t="s">
        <v>21</v>
      </c>
      <c r="L1103" t="s">
        <v>22</v>
      </c>
      <c r="M1103">
        <v>11333.543333333337</v>
      </c>
      <c r="N1103">
        <v>2020</v>
      </c>
      <c r="O1103">
        <v>5</v>
      </c>
    </row>
    <row r="1104" spans="1:15" x14ac:dyDescent="0.3">
      <c r="A1104" s="1">
        <v>43971</v>
      </c>
      <c r="B1104">
        <v>1000000033</v>
      </c>
      <c r="C1104" t="s">
        <v>15</v>
      </c>
      <c r="D1104">
        <v>2</v>
      </c>
      <c r="E1104">
        <v>27000.68</v>
      </c>
      <c r="F1104" t="s">
        <v>16</v>
      </c>
      <c r="G1104" t="s">
        <v>17</v>
      </c>
      <c r="H1104" t="s">
        <v>18</v>
      </c>
      <c r="I1104" t="s">
        <v>25</v>
      </c>
      <c r="J1104" t="s">
        <v>26</v>
      </c>
      <c r="K1104" t="s">
        <v>27</v>
      </c>
      <c r="L1104" t="s">
        <v>22</v>
      </c>
      <c r="M1104">
        <v>13500.34</v>
      </c>
      <c r="N1104">
        <v>2020</v>
      </c>
      <c r="O1104">
        <v>5</v>
      </c>
    </row>
    <row r="1105" spans="1:15" x14ac:dyDescent="0.3">
      <c r="A1105" s="1">
        <v>43971</v>
      </c>
      <c r="B1105">
        <v>1000000056</v>
      </c>
      <c r="C1105" t="s">
        <v>15</v>
      </c>
      <c r="D1105">
        <v>2</v>
      </c>
      <c r="E1105">
        <v>24000.16</v>
      </c>
      <c r="F1105" t="s">
        <v>16</v>
      </c>
      <c r="G1105" t="s">
        <v>17</v>
      </c>
      <c r="H1105" t="s">
        <v>18</v>
      </c>
      <c r="I1105" t="s">
        <v>34</v>
      </c>
      <c r="J1105" t="s">
        <v>26</v>
      </c>
      <c r="K1105" t="s">
        <v>35</v>
      </c>
      <c r="L1105" t="s">
        <v>28</v>
      </c>
      <c r="M1105">
        <v>12000.08</v>
      </c>
      <c r="N1105">
        <v>2020</v>
      </c>
      <c r="O1105">
        <v>5</v>
      </c>
    </row>
    <row r="1106" spans="1:15" x14ac:dyDescent="0.3">
      <c r="A1106" s="1">
        <v>43971</v>
      </c>
      <c r="B1106">
        <v>1000000041</v>
      </c>
      <c r="C1106" t="s">
        <v>23</v>
      </c>
      <c r="D1106">
        <v>2</v>
      </c>
      <c r="E1106">
        <v>23000.370000000003</v>
      </c>
      <c r="F1106" t="s">
        <v>16</v>
      </c>
      <c r="G1106" t="s">
        <v>24</v>
      </c>
      <c r="H1106" t="s">
        <v>30</v>
      </c>
      <c r="I1106" t="s">
        <v>31</v>
      </c>
      <c r="J1106" t="s">
        <v>32</v>
      </c>
      <c r="K1106" t="s">
        <v>33</v>
      </c>
      <c r="L1106" t="s">
        <v>22</v>
      </c>
      <c r="M1106">
        <v>11500.184999999999</v>
      </c>
      <c r="N1106">
        <v>2020</v>
      </c>
      <c r="O1106">
        <v>5</v>
      </c>
    </row>
    <row r="1107" spans="1:15" x14ac:dyDescent="0.3">
      <c r="A1107" s="1">
        <v>43971</v>
      </c>
      <c r="B1107">
        <v>1000000237</v>
      </c>
      <c r="C1107" t="s">
        <v>42</v>
      </c>
      <c r="D1107">
        <v>2</v>
      </c>
      <c r="E1107">
        <v>21000.620000000003</v>
      </c>
      <c r="F1107" t="s">
        <v>16</v>
      </c>
      <c r="G1107" t="s">
        <v>43</v>
      </c>
      <c r="H1107" t="s">
        <v>18</v>
      </c>
      <c r="I1107" t="s">
        <v>40</v>
      </c>
      <c r="J1107" t="s">
        <v>26</v>
      </c>
      <c r="K1107" t="s">
        <v>41</v>
      </c>
      <c r="L1107" t="s">
        <v>22</v>
      </c>
      <c r="M1107">
        <v>10500.31</v>
      </c>
      <c r="N1107">
        <v>2020</v>
      </c>
      <c r="O1107">
        <v>5</v>
      </c>
    </row>
    <row r="1108" spans="1:15" x14ac:dyDescent="0.3">
      <c r="A1108" s="1">
        <v>43971</v>
      </c>
      <c r="B1108">
        <v>1000000034</v>
      </c>
      <c r="C1108" t="s">
        <v>15</v>
      </c>
      <c r="D1108">
        <v>2</v>
      </c>
      <c r="E1108">
        <v>20000.68</v>
      </c>
      <c r="F1108" t="s">
        <v>16</v>
      </c>
      <c r="G1108" t="s">
        <v>17</v>
      </c>
      <c r="H1108" t="s">
        <v>18</v>
      </c>
      <c r="I1108" t="s">
        <v>25</v>
      </c>
      <c r="J1108" t="s">
        <v>26</v>
      </c>
      <c r="K1108" t="s">
        <v>27</v>
      </c>
      <c r="L1108" t="s">
        <v>22</v>
      </c>
      <c r="M1108">
        <v>10000.34</v>
      </c>
      <c r="N1108">
        <v>2020</v>
      </c>
      <c r="O1108">
        <v>5</v>
      </c>
    </row>
    <row r="1109" spans="1:15" x14ac:dyDescent="0.3">
      <c r="A1109" s="1">
        <v>43971</v>
      </c>
      <c r="B1109">
        <v>1000000928</v>
      </c>
      <c r="C1109" t="s">
        <v>15</v>
      </c>
      <c r="D1109">
        <v>1</v>
      </c>
      <c r="E1109">
        <v>20000.599999999999</v>
      </c>
      <c r="F1109" t="s">
        <v>16</v>
      </c>
      <c r="G1109" t="s">
        <v>17</v>
      </c>
      <c r="H1109" t="s">
        <v>30</v>
      </c>
      <c r="I1109" t="s">
        <v>57</v>
      </c>
      <c r="J1109" t="s">
        <v>26</v>
      </c>
      <c r="K1109" t="s">
        <v>58</v>
      </c>
      <c r="L1109" t="s">
        <v>22</v>
      </c>
      <c r="M1109">
        <v>20000.599999999999</v>
      </c>
      <c r="N1109">
        <v>2020</v>
      </c>
      <c r="O1109">
        <v>5</v>
      </c>
    </row>
    <row r="1110" spans="1:15" x14ac:dyDescent="0.3">
      <c r="A1110" s="1">
        <v>43971</v>
      </c>
      <c r="B1110">
        <v>1000006859</v>
      </c>
      <c r="C1110" t="s">
        <v>15</v>
      </c>
      <c r="D1110">
        <v>2</v>
      </c>
      <c r="E1110">
        <v>20000.55</v>
      </c>
      <c r="F1110" t="s">
        <v>16</v>
      </c>
      <c r="G1110" t="s">
        <v>17</v>
      </c>
      <c r="H1110" t="s">
        <v>18</v>
      </c>
      <c r="I1110" t="s">
        <v>61</v>
      </c>
      <c r="J1110" t="s">
        <v>26</v>
      </c>
      <c r="K1110" t="s">
        <v>62</v>
      </c>
      <c r="L1110" t="s">
        <v>22</v>
      </c>
      <c r="M1110">
        <v>10000.275</v>
      </c>
      <c r="N1110">
        <v>2020</v>
      </c>
      <c r="O1110">
        <v>5</v>
      </c>
    </row>
    <row r="1111" spans="1:15" x14ac:dyDescent="0.3">
      <c r="A1111" s="1">
        <v>43971</v>
      </c>
      <c r="B1111">
        <v>1000003803</v>
      </c>
      <c r="C1111" t="s">
        <v>15</v>
      </c>
      <c r="D1111">
        <v>1</v>
      </c>
      <c r="E1111">
        <v>20000.21</v>
      </c>
      <c r="F1111" t="s">
        <v>16</v>
      </c>
      <c r="G1111" t="s">
        <v>17</v>
      </c>
      <c r="H1111" t="s">
        <v>30</v>
      </c>
      <c r="I1111" t="s">
        <v>31</v>
      </c>
      <c r="J1111" t="s">
        <v>36</v>
      </c>
      <c r="K1111" t="s">
        <v>52</v>
      </c>
      <c r="L1111" t="s">
        <v>22</v>
      </c>
      <c r="M1111">
        <v>20000.21</v>
      </c>
      <c r="N1111">
        <v>2020</v>
      </c>
      <c r="O1111">
        <v>5</v>
      </c>
    </row>
    <row r="1112" spans="1:15" x14ac:dyDescent="0.3">
      <c r="A1112" s="1">
        <v>43971</v>
      </c>
      <c r="B1112">
        <v>1000000029</v>
      </c>
      <c r="C1112" t="s">
        <v>42</v>
      </c>
      <c r="D1112">
        <v>2</v>
      </c>
      <c r="E1112">
        <v>19999.96</v>
      </c>
      <c r="F1112" t="s">
        <v>16</v>
      </c>
      <c r="G1112" t="s">
        <v>43</v>
      </c>
      <c r="H1112" t="s">
        <v>18</v>
      </c>
      <c r="I1112" t="s">
        <v>19</v>
      </c>
      <c r="J1112" t="s">
        <v>20</v>
      </c>
      <c r="K1112" t="s">
        <v>21</v>
      </c>
      <c r="L1112" t="s">
        <v>22</v>
      </c>
      <c r="M1112">
        <v>9999.98</v>
      </c>
      <c r="N1112">
        <v>2020</v>
      </c>
      <c r="O1112">
        <v>5</v>
      </c>
    </row>
    <row r="1113" spans="1:15" x14ac:dyDescent="0.3">
      <c r="A1113" s="1">
        <v>43971</v>
      </c>
      <c r="B1113">
        <v>1000000036</v>
      </c>
      <c r="C1113" t="s">
        <v>23</v>
      </c>
      <c r="D1113">
        <v>1</v>
      </c>
      <c r="E1113">
        <v>18000.509999999998</v>
      </c>
      <c r="F1113" t="s">
        <v>16</v>
      </c>
      <c r="G1113" t="s">
        <v>24</v>
      </c>
      <c r="H1113" t="s">
        <v>47</v>
      </c>
      <c r="I1113" t="s">
        <v>48</v>
      </c>
      <c r="J1113" t="s">
        <v>36</v>
      </c>
      <c r="K1113" t="s">
        <v>49</v>
      </c>
      <c r="L1113" t="s">
        <v>28</v>
      </c>
      <c r="M1113">
        <v>18000.509999999998</v>
      </c>
      <c r="N1113">
        <v>2020</v>
      </c>
      <c r="O1113">
        <v>5</v>
      </c>
    </row>
    <row r="1114" spans="1:15" x14ac:dyDescent="0.3">
      <c r="A1114" s="1">
        <v>43971</v>
      </c>
      <c r="B1114">
        <v>1000006867</v>
      </c>
      <c r="C1114" t="s">
        <v>15</v>
      </c>
      <c r="D1114">
        <v>1</v>
      </c>
      <c r="E1114">
        <v>18000.27</v>
      </c>
      <c r="F1114" t="s">
        <v>16</v>
      </c>
      <c r="G1114" t="s">
        <v>17</v>
      </c>
      <c r="H1114" t="s">
        <v>18</v>
      </c>
      <c r="I1114" t="s">
        <v>61</v>
      </c>
      <c r="J1114" t="s">
        <v>26</v>
      </c>
      <c r="K1114" t="s">
        <v>62</v>
      </c>
      <c r="L1114" t="s">
        <v>22</v>
      </c>
      <c r="M1114">
        <v>18000.27</v>
      </c>
      <c r="N1114">
        <v>2020</v>
      </c>
      <c r="O1114">
        <v>5</v>
      </c>
    </row>
    <row r="1115" spans="1:15" x14ac:dyDescent="0.3">
      <c r="A1115" s="1">
        <v>43971</v>
      </c>
      <c r="B1115">
        <v>1000000043</v>
      </c>
      <c r="C1115" t="s">
        <v>42</v>
      </c>
      <c r="D1115">
        <v>1</v>
      </c>
      <c r="E1115">
        <v>17000.009999999998</v>
      </c>
      <c r="F1115" t="s">
        <v>16</v>
      </c>
      <c r="G1115" t="s">
        <v>43</v>
      </c>
      <c r="H1115" t="s">
        <v>30</v>
      </c>
      <c r="I1115" t="s">
        <v>38</v>
      </c>
      <c r="J1115" t="s">
        <v>26</v>
      </c>
      <c r="K1115" t="s">
        <v>39</v>
      </c>
      <c r="L1115" t="s">
        <v>22</v>
      </c>
      <c r="M1115">
        <v>17000.009999999998</v>
      </c>
      <c r="N1115">
        <v>2020</v>
      </c>
      <c r="O1115">
        <v>5</v>
      </c>
    </row>
    <row r="1116" spans="1:15" x14ac:dyDescent="0.3">
      <c r="A1116" s="1">
        <v>43971</v>
      </c>
      <c r="B1116">
        <v>1000000035</v>
      </c>
      <c r="C1116" t="s">
        <v>23</v>
      </c>
      <c r="D1116">
        <v>1</v>
      </c>
      <c r="E1116">
        <v>16000.69</v>
      </c>
      <c r="F1116" t="s">
        <v>16</v>
      </c>
      <c r="G1116" t="s">
        <v>24</v>
      </c>
      <c r="H1116" t="s">
        <v>18</v>
      </c>
      <c r="I1116" t="s">
        <v>25</v>
      </c>
      <c r="J1116" t="s">
        <v>36</v>
      </c>
      <c r="K1116" t="s">
        <v>37</v>
      </c>
      <c r="L1116" t="s">
        <v>22</v>
      </c>
      <c r="M1116">
        <v>16000.69</v>
      </c>
      <c r="N1116">
        <v>2020</v>
      </c>
      <c r="O1116">
        <v>5</v>
      </c>
    </row>
    <row r="1117" spans="1:15" x14ac:dyDescent="0.3">
      <c r="A1117" s="1">
        <v>43971</v>
      </c>
      <c r="B1117">
        <v>1000000054</v>
      </c>
      <c r="C1117" t="s">
        <v>15</v>
      </c>
      <c r="D1117">
        <v>2</v>
      </c>
      <c r="E1117">
        <v>15001.060000000001</v>
      </c>
      <c r="F1117" t="s">
        <v>16</v>
      </c>
      <c r="G1117" t="s">
        <v>17</v>
      </c>
      <c r="H1117" t="s">
        <v>18</v>
      </c>
      <c r="I1117" t="s">
        <v>34</v>
      </c>
      <c r="J1117" t="s">
        <v>26</v>
      </c>
      <c r="K1117" t="s">
        <v>35</v>
      </c>
      <c r="L1117" t="s">
        <v>22</v>
      </c>
      <c r="M1117">
        <v>7500.53</v>
      </c>
      <c r="N1117">
        <v>2020</v>
      </c>
      <c r="O1117">
        <v>5</v>
      </c>
    </row>
    <row r="1118" spans="1:15" x14ac:dyDescent="0.3">
      <c r="A1118" s="1">
        <v>43971</v>
      </c>
      <c r="B1118">
        <v>1000000035</v>
      </c>
      <c r="C1118" t="s">
        <v>15</v>
      </c>
      <c r="D1118">
        <v>1</v>
      </c>
      <c r="E1118">
        <v>14000.16</v>
      </c>
      <c r="F1118" t="s">
        <v>16</v>
      </c>
      <c r="G1118" t="s">
        <v>17</v>
      </c>
      <c r="H1118" t="s">
        <v>18</v>
      </c>
      <c r="I1118" t="s">
        <v>25</v>
      </c>
      <c r="J1118" t="s">
        <v>36</v>
      </c>
      <c r="K1118" t="s">
        <v>37</v>
      </c>
      <c r="L1118" t="s">
        <v>22</v>
      </c>
      <c r="M1118">
        <v>14000.16</v>
      </c>
      <c r="N1118">
        <v>2020</v>
      </c>
      <c r="O1118">
        <v>5</v>
      </c>
    </row>
    <row r="1119" spans="1:15" x14ac:dyDescent="0.3">
      <c r="A1119" s="1">
        <v>43971</v>
      </c>
      <c r="B1119">
        <v>1000000037</v>
      </c>
      <c r="C1119" t="s">
        <v>15</v>
      </c>
      <c r="D1119">
        <v>1</v>
      </c>
      <c r="E1119">
        <v>13000.69</v>
      </c>
      <c r="F1119" t="s">
        <v>16</v>
      </c>
      <c r="G1119" t="s">
        <v>17</v>
      </c>
      <c r="H1119" t="s">
        <v>18</v>
      </c>
      <c r="I1119" t="s">
        <v>19</v>
      </c>
      <c r="J1119" t="s">
        <v>20</v>
      </c>
      <c r="K1119" t="s">
        <v>21</v>
      </c>
      <c r="L1119" t="s">
        <v>22</v>
      </c>
      <c r="M1119">
        <v>13000.69</v>
      </c>
      <c r="N1119">
        <v>2020</v>
      </c>
      <c r="O1119">
        <v>5</v>
      </c>
    </row>
    <row r="1120" spans="1:15" x14ac:dyDescent="0.3">
      <c r="A1120" s="1">
        <v>43971</v>
      </c>
      <c r="B1120">
        <v>1000006064</v>
      </c>
      <c r="C1120" t="s">
        <v>42</v>
      </c>
      <c r="D1120">
        <v>1</v>
      </c>
      <c r="E1120">
        <v>11000.36</v>
      </c>
      <c r="F1120" t="s">
        <v>16</v>
      </c>
      <c r="G1120" t="s">
        <v>43</v>
      </c>
      <c r="H1120" t="s">
        <v>18</v>
      </c>
      <c r="I1120" t="s">
        <v>40</v>
      </c>
      <c r="J1120" t="s">
        <v>26</v>
      </c>
      <c r="K1120" t="s">
        <v>41</v>
      </c>
      <c r="L1120" t="s">
        <v>22</v>
      </c>
      <c r="M1120">
        <v>11000.36</v>
      </c>
      <c r="N1120">
        <v>2020</v>
      </c>
      <c r="O1120">
        <v>5</v>
      </c>
    </row>
    <row r="1121" spans="1:15" x14ac:dyDescent="0.3">
      <c r="A1121" s="1">
        <v>43971</v>
      </c>
      <c r="B1121">
        <v>1000000576</v>
      </c>
      <c r="C1121" t="s">
        <v>15</v>
      </c>
      <c r="D1121">
        <v>1</v>
      </c>
      <c r="E1121">
        <v>11000.08</v>
      </c>
      <c r="F1121" t="s">
        <v>16</v>
      </c>
      <c r="G1121" t="s">
        <v>17</v>
      </c>
      <c r="H1121" t="s">
        <v>18</v>
      </c>
      <c r="I1121" t="s">
        <v>25</v>
      </c>
      <c r="J1121" t="s">
        <v>36</v>
      </c>
      <c r="K1121" t="s">
        <v>37</v>
      </c>
      <c r="L1121" t="s">
        <v>22</v>
      </c>
      <c r="M1121">
        <v>11000.08</v>
      </c>
      <c r="N1121">
        <v>2020</v>
      </c>
      <c r="O1121">
        <v>5</v>
      </c>
    </row>
    <row r="1122" spans="1:15" x14ac:dyDescent="0.3">
      <c r="A1122" s="1">
        <v>43971</v>
      </c>
      <c r="B1122">
        <v>1000004256</v>
      </c>
      <c r="C1122" t="s">
        <v>15</v>
      </c>
      <c r="D1122">
        <v>1</v>
      </c>
      <c r="E1122">
        <v>9000.4699999999993</v>
      </c>
      <c r="F1122" t="s">
        <v>16</v>
      </c>
      <c r="G1122" t="s">
        <v>17</v>
      </c>
      <c r="H1122" t="s">
        <v>18</v>
      </c>
      <c r="I1122" t="s">
        <v>40</v>
      </c>
      <c r="J1122" t="s">
        <v>26</v>
      </c>
      <c r="K1122" t="s">
        <v>41</v>
      </c>
      <c r="L1122" t="s">
        <v>22</v>
      </c>
      <c r="M1122">
        <v>9000.4699999999993</v>
      </c>
      <c r="N1122">
        <v>2020</v>
      </c>
      <c r="O1122">
        <v>5</v>
      </c>
    </row>
    <row r="1123" spans="1:15" x14ac:dyDescent="0.3">
      <c r="A1123" s="1">
        <v>43971</v>
      </c>
      <c r="B1123">
        <v>1000000056</v>
      </c>
      <c r="C1123" t="s">
        <v>23</v>
      </c>
      <c r="D1123">
        <v>2</v>
      </c>
      <c r="E1123">
        <v>8001.07</v>
      </c>
      <c r="F1123" t="s">
        <v>16</v>
      </c>
      <c r="G1123" t="s">
        <v>24</v>
      </c>
      <c r="H1123" t="s">
        <v>18</v>
      </c>
      <c r="I1123" t="s">
        <v>34</v>
      </c>
      <c r="J1123" t="s">
        <v>26</v>
      </c>
      <c r="K1123" t="s">
        <v>35</v>
      </c>
      <c r="L1123" t="s">
        <v>28</v>
      </c>
      <c r="M1123">
        <v>4000.5349999999999</v>
      </c>
      <c r="N1123">
        <v>2020</v>
      </c>
      <c r="O1123">
        <v>5</v>
      </c>
    </row>
    <row r="1124" spans="1:15" x14ac:dyDescent="0.3">
      <c r="A1124" s="1">
        <v>43971</v>
      </c>
      <c r="B1124">
        <v>1000000067</v>
      </c>
      <c r="C1124" t="s">
        <v>42</v>
      </c>
      <c r="D1124">
        <v>1</v>
      </c>
      <c r="E1124">
        <v>8000.31</v>
      </c>
      <c r="F1124" t="s">
        <v>16</v>
      </c>
      <c r="G1124" t="s">
        <v>43</v>
      </c>
      <c r="H1124" t="s">
        <v>18</v>
      </c>
      <c r="I1124" t="s">
        <v>25</v>
      </c>
      <c r="J1124" t="s">
        <v>20</v>
      </c>
      <c r="K1124" t="s">
        <v>51</v>
      </c>
      <c r="L1124" t="s">
        <v>22</v>
      </c>
      <c r="M1124">
        <v>8000.31</v>
      </c>
      <c r="N1124">
        <v>2020</v>
      </c>
      <c r="O1124">
        <v>5</v>
      </c>
    </row>
    <row r="1125" spans="1:15" x14ac:dyDescent="0.3">
      <c r="A1125" s="1">
        <v>43971</v>
      </c>
      <c r="B1125">
        <v>1000005873</v>
      </c>
      <c r="C1125" t="s">
        <v>42</v>
      </c>
      <c r="D1125">
        <v>1</v>
      </c>
      <c r="E1125">
        <v>8000.23</v>
      </c>
      <c r="F1125" t="s">
        <v>16</v>
      </c>
      <c r="G1125" t="s">
        <v>43</v>
      </c>
      <c r="H1125" t="s">
        <v>18</v>
      </c>
      <c r="I1125" t="s">
        <v>19</v>
      </c>
      <c r="J1125" t="s">
        <v>20</v>
      </c>
      <c r="K1125" t="s">
        <v>21</v>
      </c>
      <c r="L1125" t="s">
        <v>28</v>
      </c>
      <c r="M1125">
        <v>8000.23</v>
      </c>
      <c r="N1125">
        <v>2020</v>
      </c>
      <c r="O1125">
        <v>5</v>
      </c>
    </row>
    <row r="1126" spans="1:15" x14ac:dyDescent="0.3">
      <c r="A1126" s="1">
        <v>43971</v>
      </c>
      <c r="B1126">
        <v>1000007320</v>
      </c>
      <c r="C1126" t="s">
        <v>23</v>
      </c>
      <c r="D1126">
        <v>1</v>
      </c>
      <c r="E1126">
        <v>8000</v>
      </c>
      <c r="F1126" t="s">
        <v>16</v>
      </c>
      <c r="G1126" t="s">
        <v>24</v>
      </c>
      <c r="H1126" t="s">
        <v>18</v>
      </c>
      <c r="I1126" t="s">
        <v>34</v>
      </c>
      <c r="J1126" t="s">
        <v>26</v>
      </c>
      <c r="K1126" t="s">
        <v>35</v>
      </c>
      <c r="L1126" t="s">
        <v>22</v>
      </c>
      <c r="M1126">
        <v>8000</v>
      </c>
      <c r="N1126">
        <v>2020</v>
      </c>
      <c r="O1126">
        <v>5</v>
      </c>
    </row>
    <row r="1127" spans="1:15" x14ac:dyDescent="0.3">
      <c r="A1127" s="1">
        <v>43971</v>
      </c>
      <c r="B1127">
        <v>1000003926</v>
      </c>
      <c r="C1127" t="s">
        <v>23</v>
      </c>
      <c r="D1127">
        <v>1</v>
      </c>
      <c r="E1127">
        <v>6000.61</v>
      </c>
      <c r="F1127" t="s">
        <v>16</v>
      </c>
      <c r="G1127" t="s">
        <v>24</v>
      </c>
      <c r="H1127" t="s">
        <v>47</v>
      </c>
      <c r="I1127" t="s">
        <v>48</v>
      </c>
      <c r="J1127" t="s">
        <v>26</v>
      </c>
      <c r="K1127" t="s">
        <v>50</v>
      </c>
      <c r="L1127" t="s">
        <v>28</v>
      </c>
      <c r="M1127">
        <v>6000.61</v>
      </c>
      <c r="N1127">
        <v>2020</v>
      </c>
      <c r="O1127">
        <v>5</v>
      </c>
    </row>
    <row r="1128" spans="1:15" x14ac:dyDescent="0.3">
      <c r="A1128" s="1">
        <v>43971</v>
      </c>
      <c r="B1128">
        <v>1000000037</v>
      </c>
      <c r="C1128" t="s">
        <v>42</v>
      </c>
      <c r="D1128">
        <v>1</v>
      </c>
      <c r="E1128">
        <v>5000.5200000000004</v>
      </c>
      <c r="F1128" t="s">
        <v>16</v>
      </c>
      <c r="G1128" t="s">
        <v>43</v>
      </c>
      <c r="H1128" t="s">
        <v>18</v>
      </c>
      <c r="I1128" t="s">
        <v>19</v>
      </c>
      <c r="J1128" t="s">
        <v>20</v>
      </c>
      <c r="K1128" t="s">
        <v>21</v>
      </c>
      <c r="L1128" t="s">
        <v>22</v>
      </c>
      <c r="M1128">
        <v>5000.5200000000004</v>
      </c>
      <c r="N1128">
        <v>2020</v>
      </c>
      <c r="O1128">
        <v>5</v>
      </c>
    </row>
    <row r="1129" spans="1:15" x14ac:dyDescent="0.3">
      <c r="A1129" s="1">
        <v>43971</v>
      </c>
      <c r="B1129">
        <v>1000000040</v>
      </c>
      <c r="C1129" t="s">
        <v>23</v>
      </c>
      <c r="D1129">
        <v>1</v>
      </c>
      <c r="E1129">
        <v>5000.29</v>
      </c>
      <c r="F1129" t="s">
        <v>16</v>
      </c>
      <c r="G1129" t="s">
        <v>24</v>
      </c>
      <c r="H1129" t="s">
        <v>30</v>
      </c>
      <c r="I1129" t="s">
        <v>31</v>
      </c>
      <c r="J1129" t="s">
        <v>32</v>
      </c>
      <c r="K1129" t="s">
        <v>33</v>
      </c>
      <c r="L1129" t="s">
        <v>28</v>
      </c>
      <c r="M1129">
        <v>5000.29</v>
      </c>
      <c r="N1129">
        <v>2020</v>
      </c>
      <c r="O1129">
        <v>5</v>
      </c>
    </row>
    <row r="1130" spans="1:15" x14ac:dyDescent="0.3">
      <c r="A1130" s="1">
        <v>43971</v>
      </c>
      <c r="B1130">
        <v>1000000104</v>
      </c>
      <c r="C1130" t="s">
        <v>23</v>
      </c>
      <c r="D1130">
        <v>1</v>
      </c>
      <c r="E1130">
        <v>5000.2</v>
      </c>
      <c r="F1130" t="s">
        <v>16</v>
      </c>
      <c r="G1130" t="s">
        <v>24</v>
      </c>
      <c r="H1130" t="s">
        <v>18</v>
      </c>
      <c r="I1130" t="s">
        <v>40</v>
      </c>
      <c r="J1130" t="s">
        <v>26</v>
      </c>
      <c r="K1130" t="s">
        <v>41</v>
      </c>
      <c r="L1130" t="s">
        <v>22</v>
      </c>
      <c r="M1130">
        <v>5000.2</v>
      </c>
      <c r="N1130">
        <v>2020</v>
      </c>
      <c r="O1130">
        <v>5</v>
      </c>
    </row>
    <row r="1131" spans="1:15" x14ac:dyDescent="0.3">
      <c r="A1131" s="1">
        <v>43971</v>
      </c>
      <c r="B1131">
        <v>1000000043</v>
      </c>
      <c r="C1131" t="s">
        <v>15</v>
      </c>
      <c r="D1131">
        <v>1</v>
      </c>
      <c r="E1131">
        <v>3000.72</v>
      </c>
      <c r="F1131" t="s">
        <v>16</v>
      </c>
      <c r="G1131" t="s">
        <v>17</v>
      </c>
      <c r="H1131" t="s">
        <v>30</v>
      </c>
      <c r="I1131" t="s">
        <v>38</v>
      </c>
      <c r="J1131" t="s">
        <v>26</v>
      </c>
      <c r="K1131" t="s">
        <v>39</v>
      </c>
      <c r="L1131" t="s">
        <v>22</v>
      </c>
      <c r="M1131">
        <v>3000.72</v>
      </c>
      <c r="N1131">
        <v>2020</v>
      </c>
      <c r="O1131">
        <v>5</v>
      </c>
    </row>
    <row r="1132" spans="1:15" x14ac:dyDescent="0.3">
      <c r="A1132" s="1">
        <v>43971</v>
      </c>
      <c r="B1132">
        <v>1000006064</v>
      </c>
      <c r="C1132" t="s">
        <v>23</v>
      </c>
      <c r="D1132">
        <v>1</v>
      </c>
      <c r="E1132">
        <v>3000.51</v>
      </c>
      <c r="F1132" t="s">
        <v>16</v>
      </c>
      <c r="G1132" t="s">
        <v>24</v>
      </c>
      <c r="H1132" t="s">
        <v>18</v>
      </c>
      <c r="I1132" t="s">
        <v>40</v>
      </c>
      <c r="J1132" t="s">
        <v>26</v>
      </c>
      <c r="K1132" t="s">
        <v>41</v>
      </c>
      <c r="L1132" t="s">
        <v>22</v>
      </c>
      <c r="M1132">
        <v>3000.51</v>
      </c>
      <c r="N1132">
        <v>2020</v>
      </c>
      <c r="O1132">
        <v>5</v>
      </c>
    </row>
    <row r="1133" spans="1:15" x14ac:dyDescent="0.3">
      <c r="A1133" s="1">
        <v>43971</v>
      </c>
      <c r="B1133">
        <v>1000000032</v>
      </c>
      <c r="C1133" t="s">
        <v>23</v>
      </c>
      <c r="D1133">
        <v>1</v>
      </c>
      <c r="E1133">
        <v>2100.37</v>
      </c>
      <c r="F1133" t="s">
        <v>16</v>
      </c>
      <c r="G1133" t="s">
        <v>24</v>
      </c>
      <c r="H1133" t="s">
        <v>18</v>
      </c>
      <c r="I1133" t="s">
        <v>25</v>
      </c>
      <c r="J1133" t="s">
        <v>26</v>
      </c>
      <c r="K1133" t="s">
        <v>27</v>
      </c>
      <c r="L1133" t="s">
        <v>28</v>
      </c>
      <c r="M1133">
        <v>2100.37</v>
      </c>
      <c r="N1133">
        <v>2020</v>
      </c>
      <c r="O1133">
        <v>5</v>
      </c>
    </row>
    <row r="1134" spans="1:15" x14ac:dyDescent="0.3">
      <c r="A1134" s="1">
        <v>43971</v>
      </c>
      <c r="B1134">
        <v>1000003489</v>
      </c>
      <c r="C1134" t="s">
        <v>15</v>
      </c>
      <c r="D1134">
        <v>1</v>
      </c>
      <c r="E1134">
        <v>2000.26</v>
      </c>
      <c r="F1134" t="s">
        <v>16</v>
      </c>
      <c r="G1134" t="s">
        <v>17</v>
      </c>
      <c r="H1134" t="s">
        <v>47</v>
      </c>
      <c r="I1134" t="s">
        <v>48</v>
      </c>
      <c r="J1134" t="s">
        <v>26</v>
      </c>
      <c r="K1134" t="s">
        <v>50</v>
      </c>
      <c r="L1134" t="s">
        <v>22</v>
      </c>
      <c r="M1134">
        <v>2000.26</v>
      </c>
      <c r="N1134">
        <v>2020</v>
      </c>
      <c r="O1134">
        <v>5</v>
      </c>
    </row>
    <row r="1135" spans="1:15" x14ac:dyDescent="0.3">
      <c r="A1135" s="1">
        <v>43971</v>
      </c>
      <c r="B1135">
        <v>1000000047</v>
      </c>
      <c r="C1135" t="s">
        <v>15</v>
      </c>
      <c r="D1135">
        <v>1</v>
      </c>
      <c r="E1135">
        <v>1600.72</v>
      </c>
      <c r="F1135" t="s">
        <v>16</v>
      </c>
      <c r="G1135" t="s">
        <v>17</v>
      </c>
      <c r="H1135" t="s">
        <v>47</v>
      </c>
      <c r="I1135" t="s">
        <v>48</v>
      </c>
      <c r="J1135" t="s">
        <v>26</v>
      </c>
      <c r="K1135" t="s">
        <v>50</v>
      </c>
      <c r="L1135" t="s">
        <v>22</v>
      </c>
      <c r="M1135">
        <v>1600.72</v>
      </c>
      <c r="N1135">
        <v>2020</v>
      </c>
      <c r="O1135">
        <v>5</v>
      </c>
    </row>
    <row r="1136" spans="1:15" x14ac:dyDescent="0.3">
      <c r="A1136" s="1">
        <v>43971</v>
      </c>
      <c r="B1136">
        <v>1000000576</v>
      </c>
      <c r="C1136" t="s">
        <v>23</v>
      </c>
      <c r="D1136">
        <v>1</v>
      </c>
      <c r="E1136">
        <v>1127.42</v>
      </c>
      <c r="F1136" t="s">
        <v>16</v>
      </c>
      <c r="G1136" t="s">
        <v>24</v>
      </c>
      <c r="H1136" t="s">
        <v>18</v>
      </c>
      <c r="I1136" t="s">
        <v>25</v>
      </c>
      <c r="J1136" t="s">
        <v>36</v>
      </c>
      <c r="K1136" t="s">
        <v>37</v>
      </c>
      <c r="L1136" t="s">
        <v>22</v>
      </c>
      <c r="M1136">
        <v>1127.42</v>
      </c>
      <c r="N1136">
        <v>2020</v>
      </c>
      <c r="O1136">
        <v>5</v>
      </c>
    </row>
    <row r="1137" spans="1:15" x14ac:dyDescent="0.3">
      <c r="A1137" s="1">
        <v>43971</v>
      </c>
      <c r="B1137">
        <v>1000001513</v>
      </c>
      <c r="C1137" t="s">
        <v>23</v>
      </c>
      <c r="D1137">
        <v>1</v>
      </c>
      <c r="E1137">
        <v>1000.31</v>
      </c>
      <c r="F1137" t="s">
        <v>16</v>
      </c>
      <c r="G1137" t="s">
        <v>24</v>
      </c>
      <c r="H1137" t="s">
        <v>18</v>
      </c>
      <c r="I1137" t="s">
        <v>34</v>
      </c>
      <c r="J1137" t="s">
        <v>20</v>
      </c>
      <c r="K1137" t="s">
        <v>44</v>
      </c>
      <c r="L1137" t="s">
        <v>22</v>
      </c>
      <c r="M1137">
        <v>1000.31</v>
      </c>
      <c r="N1137">
        <v>2020</v>
      </c>
      <c r="O1137">
        <v>5</v>
      </c>
    </row>
    <row r="1138" spans="1:15" x14ac:dyDescent="0.3">
      <c r="A1138" s="1">
        <v>43971</v>
      </c>
      <c r="B1138">
        <v>1000000052</v>
      </c>
      <c r="C1138" t="s">
        <v>23</v>
      </c>
      <c r="D1138">
        <v>1</v>
      </c>
      <c r="E1138">
        <v>999.98</v>
      </c>
      <c r="F1138" t="s">
        <v>16</v>
      </c>
      <c r="G1138" t="s">
        <v>24</v>
      </c>
      <c r="H1138" t="s">
        <v>18</v>
      </c>
      <c r="I1138" t="s">
        <v>34</v>
      </c>
      <c r="J1138" t="s">
        <v>20</v>
      </c>
      <c r="K1138" t="s">
        <v>44</v>
      </c>
      <c r="L1138" t="s">
        <v>22</v>
      </c>
      <c r="M1138">
        <v>999.98</v>
      </c>
      <c r="N1138">
        <v>2020</v>
      </c>
      <c r="O1138">
        <v>5</v>
      </c>
    </row>
    <row r="1139" spans="1:15" x14ac:dyDescent="0.3">
      <c r="A1139" s="1">
        <v>43971</v>
      </c>
      <c r="B1139">
        <v>1000000068</v>
      </c>
      <c r="C1139" t="s">
        <v>42</v>
      </c>
      <c r="D1139">
        <v>1</v>
      </c>
      <c r="E1139">
        <v>600.12</v>
      </c>
      <c r="F1139" t="s">
        <v>16</v>
      </c>
      <c r="G1139" t="s">
        <v>43</v>
      </c>
      <c r="H1139" t="s">
        <v>30</v>
      </c>
      <c r="I1139" t="s">
        <v>55</v>
      </c>
      <c r="J1139" t="s">
        <v>26</v>
      </c>
      <c r="K1139" t="s">
        <v>56</v>
      </c>
      <c r="L1139" t="s">
        <v>28</v>
      </c>
      <c r="M1139">
        <v>600.12</v>
      </c>
      <c r="N1139">
        <v>2020</v>
      </c>
      <c r="O1139">
        <v>5</v>
      </c>
    </row>
    <row r="1140" spans="1:15" x14ac:dyDescent="0.3">
      <c r="A1140" s="1">
        <v>43972</v>
      </c>
      <c r="B1140">
        <v>1000003926</v>
      </c>
      <c r="C1140" t="s">
        <v>23</v>
      </c>
      <c r="D1140">
        <v>2</v>
      </c>
      <c r="E1140">
        <v>38000.880000000005</v>
      </c>
      <c r="F1140" t="s">
        <v>16</v>
      </c>
      <c r="G1140" t="s">
        <v>24</v>
      </c>
      <c r="H1140" t="s">
        <v>47</v>
      </c>
      <c r="I1140" t="s">
        <v>48</v>
      </c>
      <c r="J1140" t="s">
        <v>26</v>
      </c>
      <c r="K1140" t="s">
        <v>50</v>
      </c>
      <c r="L1140" t="s">
        <v>28</v>
      </c>
      <c r="M1140">
        <v>19000.439999999999</v>
      </c>
      <c r="N1140">
        <v>2020</v>
      </c>
      <c r="O1140">
        <v>5</v>
      </c>
    </row>
    <row r="1141" spans="1:15" x14ac:dyDescent="0.3">
      <c r="A1141" s="1">
        <v>43972</v>
      </c>
      <c r="B1141">
        <v>1000000028</v>
      </c>
      <c r="C1141" t="s">
        <v>15</v>
      </c>
      <c r="D1141">
        <v>2</v>
      </c>
      <c r="E1141">
        <v>31000.170000000002</v>
      </c>
      <c r="F1141" t="s">
        <v>16</v>
      </c>
      <c r="G1141" t="s">
        <v>17</v>
      </c>
      <c r="H1141" t="s">
        <v>18</v>
      </c>
      <c r="I1141" t="s">
        <v>19</v>
      </c>
      <c r="J1141" t="s">
        <v>20</v>
      </c>
      <c r="K1141" t="s">
        <v>21</v>
      </c>
      <c r="L1141" t="s">
        <v>22</v>
      </c>
      <c r="M1141">
        <v>15500.084999999999</v>
      </c>
      <c r="N1141">
        <v>2020</v>
      </c>
      <c r="O1141">
        <v>5</v>
      </c>
    </row>
    <row r="1142" spans="1:15" x14ac:dyDescent="0.3">
      <c r="A1142" s="1">
        <v>43972</v>
      </c>
      <c r="B1142">
        <v>1000000043</v>
      </c>
      <c r="C1142" t="s">
        <v>23</v>
      </c>
      <c r="D1142">
        <v>2</v>
      </c>
      <c r="E1142">
        <v>27000.87</v>
      </c>
      <c r="F1142" t="s">
        <v>16</v>
      </c>
      <c r="G1142" t="s">
        <v>24</v>
      </c>
      <c r="H1142" t="s">
        <v>30</v>
      </c>
      <c r="I1142" t="s">
        <v>38</v>
      </c>
      <c r="J1142" t="s">
        <v>26</v>
      </c>
      <c r="K1142" t="s">
        <v>39</v>
      </c>
      <c r="L1142" t="s">
        <v>22</v>
      </c>
      <c r="M1142">
        <v>13500.434999999999</v>
      </c>
      <c r="N1142">
        <v>2020</v>
      </c>
      <c r="O1142">
        <v>5</v>
      </c>
    </row>
    <row r="1143" spans="1:15" x14ac:dyDescent="0.3">
      <c r="A1143" s="1">
        <v>43972</v>
      </c>
      <c r="B1143">
        <v>1000000043</v>
      </c>
      <c r="C1143" t="s">
        <v>42</v>
      </c>
      <c r="D1143">
        <v>1</v>
      </c>
      <c r="E1143">
        <v>25000.73</v>
      </c>
      <c r="F1143" t="s">
        <v>16</v>
      </c>
      <c r="G1143" t="s">
        <v>43</v>
      </c>
      <c r="H1143" t="s">
        <v>30</v>
      </c>
      <c r="I1143" t="s">
        <v>38</v>
      </c>
      <c r="J1143" t="s">
        <v>26</v>
      </c>
      <c r="K1143" t="s">
        <v>39</v>
      </c>
      <c r="L1143" t="s">
        <v>22</v>
      </c>
      <c r="M1143">
        <v>25000.73</v>
      </c>
      <c r="N1143">
        <v>2020</v>
      </c>
      <c r="O1143">
        <v>5</v>
      </c>
    </row>
    <row r="1144" spans="1:15" x14ac:dyDescent="0.3">
      <c r="A1144" s="1">
        <v>43972</v>
      </c>
      <c r="B1144">
        <v>1000004256</v>
      </c>
      <c r="C1144" t="s">
        <v>15</v>
      </c>
      <c r="D1144">
        <v>2</v>
      </c>
      <c r="E1144">
        <v>24000.45</v>
      </c>
      <c r="F1144" t="s">
        <v>16</v>
      </c>
      <c r="G1144" t="s">
        <v>17</v>
      </c>
      <c r="H1144" t="s">
        <v>18</v>
      </c>
      <c r="I1144" t="s">
        <v>40</v>
      </c>
      <c r="J1144" t="s">
        <v>26</v>
      </c>
      <c r="K1144" t="s">
        <v>41</v>
      </c>
      <c r="L1144" t="s">
        <v>22</v>
      </c>
      <c r="M1144">
        <v>12000.225</v>
      </c>
      <c r="N1144">
        <v>2020</v>
      </c>
      <c r="O1144">
        <v>5</v>
      </c>
    </row>
    <row r="1145" spans="1:15" x14ac:dyDescent="0.3">
      <c r="A1145" s="1">
        <v>43972</v>
      </c>
      <c r="B1145">
        <v>1000000054</v>
      </c>
      <c r="C1145" t="s">
        <v>15</v>
      </c>
      <c r="D1145">
        <v>2</v>
      </c>
      <c r="E1145">
        <v>21500.66</v>
      </c>
      <c r="F1145" t="s">
        <v>16</v>
      </c>
      <c r="G1145" t="s">
        <v>17</v>
      </c>
      <c r="H1145" t="s">
        <v>18</v>
      </c>
      <c r="I1145" t="s">
        <v>34</v>
      </c>
      <c r="J1145" t="s">
        <v>26</v>
      </c>
      <c r="K1145" t="s">
        <v>35</v>
      </c>
      <c r="L1145" t="s">
        <v>22</v>
      </c>
      <c r="M1145">
        <v>10750.33</v>
      </c>
      <c r="N1145">
        <v>2020</v>
      </c>
      <c r="O1145">
        <v>5</v>
      </c>
    </row>
    <row r="1146" spans="1:15" x14ac:dyDescent="0.3">
      <c r="A1146" s="1">
        <v>43972</v>
      </c>
      <c r="B1146">
        <v>1000000045</v>
      </c>
      <c r="C1146" t="s">
        <v>23</v>
      </c>
      <c r="D1146">
        <v>2</v>
      </c>
      <c r="E1146">
        <v>20000.510000000002</v>
      </c>
      <c r="F1146" t="s">
        <v>16</v>
      </c>
      <c r="G1146" t="s">
        <v>24</v>
      </c>
      <c r="H1146" t="s">
        <v>47</v>
      </c>
      <c r="I1146" t="s">
        <v>59</v>
      </c>
      <c r="J1146" t="s">
        <v>26</v>
      </c>
      <c r="K1146" t="s">
        <v>60</v>
      </c>
      <c r="L1146" t="s">
        <v>22</v>
      </c>
      <c r="M1146">
        <v>10000.254999999999</v>
      </c>
      <c r="N1146">
        <v>2020</v>
      </c>
      <c r="O1146">
        <v>5</v>
      </c>
    </row>
    <row r="1147" spans="1:15" x14ac:dyDescent="0.3">
      <c r="A1147" s="1">
        <v>43972</v>
      </c>
      <c r="B1147">
        <v>1000005873</v>
      </c>
      <c r="C1147" t="s">
        <v>15</v>
      </c>
      <c r="D1147">
        <v>2</v>
      </c>
      <c r="E1147">
        <v>19000.949999999997</v>
      </c>
      <c r="F1147" t="s">
        <v>16</v>
      </c>
      <c r="G1147" t="s">
        <v>17</v>
      </c>
      <c r="H1147" t="s">
        <v>18</v>
      </c>
      <c r="I1147" t="s">
        <v>19</v>
      </c>
      <c r="J1147" t="s">
        <v>20</v>
      </c>
      <c r="K1147" t="s">
        <v>21</v>
      </c>
      <c r="L1147" t="s">
        <v>28</v>
      </c>
      <c r="M1147">
        <v>9500.4749999999985</v>
      </c>
      <c r="N1147">
        <v>2020</v>
      </c>
      <c r="O1147">
        <v>5</v>
      </c>
    </row>
    <row r="1148" spans="1:15" x14ac:dyDescent="0.3">
      <c r="A1148" s="1">
        <v>43972</v>
      </c>
      <c r="B1148">
        <v>1000000576</v>
      </c>
      <c r="C1148" t="s">
        <v>15</v>
      </c>
      <c r="D1148">
        <v>1</v>
      </c>
      <c r="E1148">
        <v>17999.95</v>
      </c>
      <c r="F1148" t="s">
        <v>16</v>
      </c>
      <c r="G1148" t="s">
        <v>17</v>
      </c>
      <c r="H1148" t="s">
        <v>18</v>
      </c>
      <c r="I1148" t="s">
        <v>25</v>
      </c>
      <c r="J1148" t="s">
        <v>36</v>
      </c>
      <c r="K1148" t="s">
        <v>37</v>
      </c>
      <c r="L1148" t="s">
        <v>22</v>
      </c>
      <c r="M1148">
        <v>17999.95</v>
      </c>
      <c r="N1148">
        <v>2020</v>
      </c>
      <c r="O1148">
        <v>5</v>
      </c>
    </row>
    <row r="1149" spans="1:15" x14ac:dyDescent="0.3">
      <c r="A1149" s="1">
        <v>43972</v>
      </c>
      <c r="B1149">
        <v>1000003803</v>
      </c>
      <c r="C1149" t="s">
        <v>42</v>
      </c>
      <c r="D1149">
        <v>1</v>
      </c>
      <c r="E1149">
        <v>17000.62</v>
      </c>
      <c r="F1149" t="s">
        <v>16</v>
      </c>
      <c r="G1149" t="s">
        <v>43</v>
      </c>
      <c r="H1149" t="s">
        <v>30</v>
      </c>
      <c r="I1149" t="s">
        <v>31</v>
      </c>
      <c r="J1149" t="s">
        <v>36</v>
      </c>
      <c r="K1149" t="s">
        <v>52</v>
      </c>
      <c r="L1149" t="s">
        <v>22</v>
      </c>
      <c r="M1149">
        <v>17000.62</v>
      </c>
      <c r="N1149">
        <v>2020</v>
      </c>
      <c r="O1149">
        <v>5</v>
      </c>
    </row>
    <row r="1150" spans="1:15" x14ac:dyDescent="0.3">
      <c r="A1150" s="1">
        <v>43972</v>
      </c>
      <c r="B1150">
        <v>1000000041</v>
      </c>
      <c r="C1150" t="s">
        <v>15</v>
      </c>
      <c r="D1150">
        <v>1</v>
      </c>
      <c r="E1150">
        <v>16000.24</v>
      </c>
      <c r="F1150" t="s">
        <v>16</v>
      </c>
      <c r="G1150" t="s">
        <v>17</v>
      </c>
      <c r="H1150" t="s">
        <v>30</v>
      </c>
      <c r="I1150" t="s">
        <v>31</v>
      </c>
      <c r="J1150" t="s">
        <v>32</v>
      </c>
      <c r="K1150" t="s">
        <v>33</v>
      </c>
      <c r="L1150" t="s">
        <v>22</v>
      </c>
      <c r="M1150">
        <v>16000.24</v>
      </c>
      <c r="N1150">
        <v>2020</v>
      </c>
      <c r="O1150">
        <v>5</v>
      </c>
    </row>
    <row r="1151" spans="1:15" x14ac:dyDescent="0.3">
      <c r="A1151" s="1">
        <v>43972</v>
      </c>
      <c r="B1151">
        <v>1000000040</v>
      </c>
      <c r="C1151" t="s">
        <v>23</v>
      </c>
      <c r="D1151">
        <v>2</v>
      </c>
      <c r="E1151">
        <v>15854.02</v>
      </c>
      <c r="F1151" t="s">
        <v>16</v>
      </c>
      <c r="G1151" t="s">
        <v>24</v>
      </c>
      <c r="H1151" t="s">
        <v>30</v>
      </c>
      <c r="I1151" t="s">
        <v>31</v>
      </c>
      <c r="J1151" t="s">
        <v>32</v>
      </c>
      <c r="K1151" t="s">
        <v>33</v>
      </c>
      <c r="L1151" t="s">
        <v>28</v>
      </c>
      <c r="M1151">
        <v>7927.01</v>
      </c>
      <c r="N1151">
        <v>2020</v>
      </c>
      <c r="O1151">
        <v>5</v>
      </c>
    </row>
    <row r="1152" spans="1:15" x14ac:dyDescent="0.3">
      <c r="A1152" s="1">
        <v>43972</v>
      </c>
      <c r="B1152">
        <v>1000000068</v>
      </c>
      <c r="C1152" t="s">
        <v>15</v>
      </c>
      <c r="D1152">
        <v>1</v>
      </c>
      <c r="E1152">
        <v>15000.7</v>
      </c>
      <c r="F1152" t="s">
        <v>16</v>
      </c>
      <c r="G1152" t="s">
        <v>17</v>
      </c>
      <c r="H1152" t="s">
        <v>30</v>
      </c>
      <c r="I1152" t="s">
        <v>55</v>
      </c>
      <c r="J1152" t="s">
        <v>26</v>
      </c>
      <c r="K1152" t="s">
        <v>56</v>
      </c>
      <c r="L1152" t="s">
        <v>28</v>
      </c>
      <c r="M1152">
        <v>15000.7</v>
      </c>
      <c r="N1152">
        <v>2020</v>
      </c>
      <c r="O1152">
        <v>5</v>
      </c>
    </row>
    <row r="1153" spans="1:15" x14ac:dyDescent="0.3">
      <c r="A1153" s="1">
        <v>43972</v>
      </c>
      <c r="B1153">
        <v>1000000034</v>
      </c>
      <c r="C1153" t="s">
        <v>15</v>
      </c>
      <c r="D1153">
        <v>1</v>
      </c>
      <c r="E1153">
        <v>15000.21</v>
      </c>
      <c r="F1153" t="s">
        <v>16</v>
      </c>
      <c r="G1153" t="s">
        <v>17</v>
      </c>
      <c r="H1153" t="s">
        <v>18</v>
      </c>
      <c r="I1153" t="s">
        <v>25</v>
      </c>
      <c r="J1153" t="s">
        <v>26</v>
      </c>
      <c r="K1153" t="s">
        <v>27</v>
      </c>
      <c r="L1153" t="s">
        <v>22</v>
      </c>
      <c r="M1153">
        <v>15000.21</v>
      </c>
      <c r="N1153">
        <v>2020</v>
      </c>
      <c r="O1153">
        <v>5</v>
      </c>
    </row>
    <row r="1154" spans="1:15" x14ac:dyDescent="0.3">
      <c r="A1154" s="1">
        <v>43972</v>
      </c>
      <c r="B1154">
        <v>1000000566</v>
      </c>
      <c r="C1154" t="s">
        <v>42</v>
      </c>
      <c r="D1154">
        <v>1</v>
      </c>
      <c r="E1154">
        <v>14000.45</v>
      </c>
      <c r="F1154" t="s">
        <v>16</v>
      </c>
      <c r="G1154" t="s">
        <v>43</v>
      </c>
      <c r="H1154" t="s">
        <v>47</v>
      </c>
      <c r="I1154" t="s">
        <v>48</v>
      </c>
      <c r="J1154" t="s">
        <v>36</v>
      </c>
      <c r="K1154" t="s">
        <v>49</v>
      </c>
      <c r="L1154" t="s">
        <v>22</v>
      </c>
      <c r="M1154">
        <v>14000.45</v>
      </c>
      <c r="N1154">
        <v>2020</v>
      </c>
      <c r="O1154">
        <v>5</v>
      </c>
    </row>
    <row r="1155" spans="1:15" x14ac:dyDescent="0.3">
      <c r="A1155" s="1">
        <v>43972</v>
      </c>
      <c r="B1155">
        <v>1000006867</v>
      </c>
      <c r="C1155" t="s">
        <v>42</v>
      </c>
      <c r="D1155">
        <v>1</v>
      </c>
      <c r="E1155">
        <v>14000</v>
      </c>
      <c r="F1155" t="s">
        <v>16</v>
      </c>
      <c r="G1155" t="s">
        <v>43</v>
      </c>
      <c r="H1155" t="s">
        <v>18</v>
      </c>
      <c r="I1155" t="s">
        <v>61</v>
      </c>
      <c r="J1155" t="s">
        <v>26</v>
      </c>
      <c r="K1155" t="s">
        <v>62</v>
      </c>
      <c r="L1155" t="s">
        <v>22</v>
      </c>
      <c r="M1155">
        <v>14000</v>
      </c>
      <c r="N1155">
        <v>2020</v>
      </c>
      <c r="O1155">
        <v>5</v>
      </c>
    </row>
    <row r="1156" spans="1:15" x14ac:dyDescent="0.3">
      <c r="A1156" s="1">
        <v>43972</v>
      </c>
      <c r="B1156">
        <v>1000008239</v>
      </c>
      <c r="C1156" t="s">
        <v>15</v>
      </c>
      <c r="D1156">
        <v>1</v>
      </c>
      <c r="E1156">
        <v>13000.77</v>
      </c>
      <c r="F1156" t="s">
        <v>16</v>
      </c>
      <c r="G1156" t="s">
        <v>17</v>
      </c>
      <c r="H1156" t="s">
        <v>18</v>
      </c>
      <c r="I1156" t="s">
        <v>61</v>
      </c>
      <c r="J1156" t="s">
        <v>26</v>
      </c>
      <c r="K1156" t="s">
        <v>62</v>
      </c>
      <c r="L1156" t="s">
        <v>28</v>
      </c>
      <c r="M1156">
        <v>13000.77</v>
      </c>
      <c r="N1156">
        <v>2020</v>
      </c>
      <c r="O1156">
        <v>5</v>
      </c>
    </row>
    <row r="1157" spans="1:15" x14ac:dyDescent="0.3">
      <c r="A1157" s="1">
        <v>43972</v>
      </c>
      <c r="B1157">
        <v>1000003489</v>
      </c>
      <c r="C1157" t="s">
        <v>23</v>
      </c>
      <c r="D1157">
        <v>1</v>
      </c>
      <c r="E1157">
        <v>13000.56</v>
      </c>
      <c r="F1157" t="s">
        <v>16</v>
      </c>
      <c r="G1157" t="s">
        <v>24</v>
      </c>
      <c r="H1157" t="s">
        <v>47</v>
      </c>
      <c r="I1157" t="s">
        <v>48</v>
      </c>
      <c r="J1157" t="s">
        <v>26</v>
      </c>
      <c r="K1157" t="s">
        <v>50</v>
      </c>
      <c r="L1157" t="s">
        <v>22</v>
      </c>
      <c r="M1157">
        <v>13000.56</v>
      </c>
      <c r="N1157">
        <v>2020</v>
      </c>
      <c r="O1157">
        <v>5</v>
      </c>
    </row>
    <row r="1158" spans="1:15" x14ac:dyDescent="0.3">
      <c r="A1158" s="1">
        <v>43972</v>
      </c>
      <c r="B1158">
        <v>1000007197</v>
      </c>
      <c r="C1158" t="s">
        <v>15</v>
      </c>
      <c r="D1158">
        <v>1</v>
      </c>
      <c r="E1158">
        <v>13000.49</v>
      </c>
      <c r="F1158" t="s">
        <v>16</v>
      </c>
      <c r="G1158" t="s">
        <v>17</v>
      </c>
      <c r="H1158" t="s">
        <v>18</v>
      </c>
      <c r="I1158" t="s">
        <v>40</v>
      </c>
      <c r="J1158" t="s">
        <v>26</v>
      </c>
      <c r="K1158" t="s">
        <v>41</v>
      </c>
      <c r="L1158" t="s">
        <v>22</v>
      </c>
      <c r="M1158">
        <v>13000.49</v>
      </c>
      <c r="N1158">
        <v>2020</v>
      </c>
      <c r="O1158">
        <v>5</v>
      </c>
    </row>
    <row r="1159" spans="1:15" x14ac:dyDescent="0.3">
      <c r="A1159" s="1">
        <v>43972</v>
      </c>
      <c r="B1159">
        <v>1000000068</v>
      </c>
      <c r="C1159" t="s">
        <v>23</v>
      </c>
      <c r="D1159">
        <v>1</v>
      </c>
      <c r="E1159">
        <v>13000.33</v>
      </c>
      <c r="F1159" t="s">
        <v>16</v>
      </c>
      <c r="G1159" t="s">
        <v>24</v>
      </c>
      <c r="H1159" t="s">
        <v>30</v>
      </c>
      <c r="I1159" t="s">
        <v>55</v>
      </c>
      <c r="J1159" t="s">
        <v>26</v>
      </c>
      <c r="K1159" t="s">
        <v>56</v>
      </c>
      <c r="L1159" t="s">
        <v>28</v>
      </c>
      <c r="M1159">
        <v>13000.33</v>
      </c>
      <c r="N1159">
        <v>2020</v>
      </c>
      <c r="O1159">
        <v>5</v>
      </c>
    </row>
    <row r="1160" spans="1:15" x14ac:dyDescent="0.3">
      <c r="A1160" s="1">
        <v>43972</v>
      </c>
      <c r="B1160">
        <v>1000000566</v>
      </c>
      <c r="C1160" t="s">
        <v>15</v>
      </c>
      <c r="D1160">
        <v>1</v>
      </c>
      <c r="E1160">
        <v>13000.24</v>
      </c>
      <c r="F1160" t="s">
        <v>16</v>
      </c>
      <c r="G1160" t="s">
        <v>17</v>
      </c>
      <c r="H1160" t="s">
        <v>47</v>
      </c>
      <c r="I1160" t="s">
        <v>48</v>
      </c>
      <c r="J1160" t="s">
        <v>36</v>
      </c>
      <c r="K1160" t="s">
        <v>49</v>
      </c>
      <c r="L1160" t="s">
        <v>22</v>
      </c>
      <c r="M1160">
        <v>13000.24</v>
      </c>
      <c r="N1160">
        <v>2020</v>
      </c>
      <c r="O1160">
        <v>5</v>
      </c>
    </row>
    <row r="1161" spans="1:15" x14ac:dyDescent="0.3">
      <c r="A1161" s="1">
        <v>43972</v>
      </c>
      <c r="B1161">
        <v>1000000928</v>
      </c>
      <c r="C1161" t="s">
        <v>23</v>
      </c>
      <c r="D1161">
        <v>1</v>
      </c>
      <c r="E1161">
        <v>11000.31</v>
      </c>
      <c r="F1161" t="s">
        <v>16</v>
      </c>
      <c r="G1161" t="s">
        <v>24</v>
      </c>
      <c r="H1161" t="s">
        <v>30</v>
      </c>
      <c r="I1161" t="s">
        <v>57</v>
      </c>
      <c r="J1161" t="s">
        <v>26</v>
      </c>
      <c r="K1161" t="s">
        <v>58</v>
      </c>
      <c r="L1161" t="s">
        <v>22</v>
      </c>
      <c r="M1161">
        <v>11000.31</v>
      </c>
      <c r="N1161">
        <v>2020</v>
      </c>
      <c r="O1161">
        <v>5</v>
      </c>
    </row>
    <row r="1162" spans="1:15" x14ac:dyDescent="0.3">
      <c r="A1162" s="1">
        <v>43972</v>
      </c>
      <c r="B1162">
        <v>1000001524</v>
      </c>
      <c r="C1162" t="s">
        <v>15</v>
      </c>
      <c r="D1162">
        <v>1</v>
      </c>
      <c r="E1162">
        <v>10000.73</v>
      </c>
      <c r="F1162" t="s">
        <v>16</v>
      </c>
      <c r="G1162" t="s">
        <v>17</v>
      </c>
      <c r="H1162" t="s">
        <v>18</v>
      </c>
      <c r="I1162" t="s">
        <v>25</v>
      </c>
      <c r="J1162" t="s">
        <v>20</v>
      </c>
      <c r="K1162" t="s">
        <v>51</v>
      </c>
      <c r="L1162" t="s">
        <v>22</v>
      </c>
      <c r="M1162">
        <v>10000.73</v>
      </c>
      <c r="N1162">
        <v>2020</v>
      </c>
      <c r="O1162">
        <v>5</v>
      </c>
    </row>
    <row r="1163" spans="1:15" x14ac:dyDescent="0.3">
      <c r="A1163" s="1">
        <v>43972</v>
      </c>
      <c r="B1163">
        <v>1000000104</v>
      </c>
      <c r="C1163" t="s">
        <v>23</v>
      </c>
      <c r="D1163">
        <v>1</v>
      </c>
      <c r="E1163">
        <v>10000.4</v>
      </c>
      <c r="F1163" t="s">
        <v>16</v>
      </c>
      <c r="G1163" t="s">
        <v>24</v>
      </c>
      <c r="H1163" t="s">
        <v>18</v>
      </c>
      <c r="I1163" t="s">
        <v>40</v>
      </c>
      <c r="J1163" t="s">
        <v>26</v>
      </c>
      <c r="K1163" t="s">
        <v>41</v>
      </c>
      <c r="L1163" t="s">
        <v>22</v>
      </c>
      <c r="M1163">
        <v>10000.4</v>
      </c>
      <c r="N1163">
        <v>2020</v>
      </c>
      <c r="O1163">
        <v>5</v>
      </c>
    </row>
    <row r="1164" spans="1:15" x14ac:dyDescent="0.3">
      <c r="A1164" s="1">
        <v>43972</v>
      </c>
      <c r="B1164">
        <v>1000003926</v>
      </c>
      <c r="C1164" t="s">
        <v>42</v>
      </c>
      <c r="D1164">
        <v>1</v>
      </c>
      <c r="E1164">
        <v>10000.32</v>
      </c>
      <c r="F1164" t="s">
        <v>16</v>
      </c>
      <c r="G1164" t="s">
        <v>43</v>
      </c>
      <c r="H1164" t="s">
        <v>47</v>
      </c>
      <c r="I1164" t="s">
        <v>48</v>
      </c>
      <c r="J1164" t="s">
        <v>26</v>
      </c>
      <c r="K1164" t="s">
        <v>50</v>
      </c>
      <c r="L1164" t="s">
        <v>28</v>
      </c>
      <c r="M1164">
        <v>10000.32</v>
      </c>
      <c r="N1164">
        <v>2020</v>
      </c>
      <c r="O1164">
        <v>5</v>
      </c>
    </row>
    <row r="1165" spans="1:15" x14ac:dyDescent="0.3">
      <c r="A1165" s="1">
        <v>43972</v>
      </c>
      <c r="B1165">
        <v>1000006064</v>
      </c>
      <c r="C1165" t="s">
        <v>42</v>
      </c>
      <c r="D1165">
        <v>1</v>
      </c>
      <c r="E1165">
        <v>9999.94</v>
      </c>
      <c r="F1165" t="s">
        <v>16</v>
      </c>
      <c r="G1165" t="s">
        <v>43</v>
      </c>
      <c r="H1165" t="s">
        <v>18</v>
      </c>
      <c r="I1165" t="s">
        <v>40</v>
      </c>
      <c r="J1165" t="s">
        <v>26</v>
      </c>
      <c r="K1165" t="s">
        <v>41</v>
      </c>
      <c r="L1165" t="s">
        <v>22</v>
      </c>
      <c r="M1165">
        <v>9999.94</v>
      </c>
      <c r="N1165">
        <v>2020</v>
      </c>
      <c r="O1165">
        <v>5</v>
      </c>
    </row>
    <row r="1166" spans="1:15" x14ac:dyDescent="0.3">
      <c r="A1166" s="1">
        <v>43972</v>
      </c>
      <c r="B1166">
        <v>1000000029</v>
      </c>
      <c r="C1166" t="s">
        <v>23</v>
      </c>
      <c r="D1166">
        <v>1</v>
      </c>
      <c r="E1166">
        <v>9000.06</v>
      </c>
      <c r="F1166" t="s">
        <v>16</v>
      </c>
      <c r="G1166" t="s">
        <v>24</v>
      </c>
      <c r="H1166" t="s">
        <v>18</v>
      </c>
      <c r="I1166" t="s">
        <v>19</v>
      </c>
      <c r="J1166" t="s">
        <v>20</v>
      </c>
      <c r="K1166" t="s">
        <v>21</v>
      </c>
      <c r="L1166" t="s">
        <v>22</v>
      </c>
      <c r="M1166">
        <v>9000.06</v>
      </c>
      <c r="N1166">
        <v>2020</v>
      </c>
      <c r="O1166">
        <v>5</v>
      </c>
    </row>
    <row r="1167" spans="1:15" x14ac:dyDescent="0.3">
      <c r="A1167" s="1">
        <v>43972</v>
      </c>
      <c r="B1167">
        <v>1000000041</v>
      </c>
      <c r="C1167" t="s">
        <v>23</v>
      </c>
      <c r="D1167">
        <v>2</v>
      </c>
      <c r="E1167">
        <v>8000.02</v>
      </c>
      <c r="F1167" t="s">
        <v>16</v>
      </c>
      <c r="G1167" t="s">
        <v>24</v>
      </c>
      <c r="H1167" t="s">
        <v>30</v>
      </c>
      <c r="I1167" t="s">
        <v>31</v>
      </c>
      <c r="J1167" t="s">
        <v>32</v>
      </c>
      <c r="K1167" t="s">
        <v>33</v>
      </c>
      <c r="L1167" t="s">
        <v>22</v>
      </c>
      <c r="M1167">
        <v>4000.01</v>
      </c>
      <c r="N1167">
        <v>2020</v>
      </c>
      <c r="O1167">
        <v>5</v>
      </c>
    </row>
    <row r="1168" spans="1:15" x14ac:dyDescent="0.3">
      <c r="A1168" s="1">
        <v>43972</v>
      </c>
      <c r="B1168">
        <v>1000006869</v>
      </c>
      <c r="C1168" t="s">
        <v>15</v>
      </c>
      <c r="D1168">
        <v>1</v>
      </c>
      <c r="E1168">
        <v>7000.64</v>
      </c>
      <c r="F1168" t="s">
        <v>16</v>
      </c>
      <c r="G1168" t="s">
        <v>17</v>
      </c>
      <c r="H1168" t="s">
        <v>18</v>
      </c>
      <c r="I1168" t="s">
        <v>61</v>
      </c>
      <c r="J1168" t="s">
        <v>26</v>
      </c>
      <c r="K1168" t="s">
        <v>62</v>
      </c>
      <c r="L1168" t="s">
        <v>22</v>
      </c>
      <c r="M1168">
        <v>7000.64</v>
      </c>
      <c r="N1168">
        <v>2020</v>
      </c>
      <c r="O1168">
        <v>5</v>
      </c>
    </row>
    <row r="1169" spans="1:15" x14ac:dyDescent="0.3">
      <c r="A1169" s="1">
        <v>43972</v>
      </c>
      <c r="B1169">
        <v>1000000056</v>
      </c>
      <c r="C1169" t="s">
        <v>23</v>
      </c>
      <c r="D1169">
        <v>1</v>
      </c>
      <c r="E1169">
        <v>7000.26</v>
      </c>
      <c r="F1169" t="s">
        <v>16</v>
      </c>
      <c r="G1169" t="s">
        <v>24</v>
      </c>
      <c r="H1169" t="s">
        <v>18</v>
      </c>
      <c r="I1169" t="s">
        <v>34</v>
      </c>
      <c r="J1169" t="s">
        <v>26</v>
      </c>
      <c r="K1169" t="s">
        <v>35</v>
      </c>
      <c r="L1169" t="s">
        <v>28</v>
      </c>
      <c r="M1169">
        <v>7000.26</v>
      </c>
      <c r="N1169">
        <v>2020</v>
      </c>
      <c r="O1169">
        <v>5</v>
      </c>
    </row>
    <row r="1170" spans="1:15" x14ac:dyDescent="0.3">
      <c r="A1170" s="1">
        <v>43972</v>
      </c>
      <c r="B1170">
        <v>1000000032</v>
      </c>
      <c r="C1170" t="s">
        <v>23</v>
      </c>
      <c r="D1170">
        <v>1</v>
      </c>
      <c r="E1170">
        <v>6500.59</v>
      </c>
      <c r="F1170" t="s">
        <v>16</v>
      </c>
      <c r="G1170" t="s">
        <v>24</v>
      </c>
      <c r="H1170" t="s">
        <v>18</v>
      </c>
      <c r="I1170" t="s">
        <v>25</v>
      </c>
      <c r="J1170" t="s">
        <v>26</v>
      </c>
      <c r="K1170" t="s">
        <v>27</v>
      </c>
      <c r="L1170" t="s">
        <v>28</v>
      </c>
      <c r="M1170">
        <v>6500.59</v>
      </c>
      <c r="N1170">
        <v>2020</v>
      </c>
      <c r="O1170">
        <v>5</v>
      </c>
    </row>
    <row r="1171" spans="1:15" x14ac:dyDescent="0.3">
      <c r="A1171" s="1">
        <v>43972</v>
      </c>
      <c r="B1171">
        <v>1000000056</v>
      </c>
      <c r="C1171" t="s">
        <v>15</v>
      </c>
      <c r="D1171">
        <v>1</v>
      </c>
      <c r="E1171">
        <v>6500.33</v>
      </c>
      <c r="F1171" t="s">
        <v>16</v>
      </c>
      <c r="G1171" t="s">
        <v>17</v>
      </c>
      <c r="H1171" t="s">
        <v>18</v>
      </c>
      <c r="I1171" t="s">
        <v>34</v>
      </c>
      <c r="J1171" t="s">
        <v>26</v>
      </c>
      <c r="K1171" t="s">
        <v>35</v>
      </c>
      <c r="L1171" t="s">
        <v>28</v>
      </c>
      <c r="M1171">
        <v>6500.33</v>
      </c>
      <c r="N1171">
        <v>2020</v>
      </c>
      <c r="O1171">
        <v>5</v>
      </c>
    </row>
    <row r="1172" spans="1:15" x14ac:dyDescent="0.3">
      <c r="A1172" s="1">
        <v>43972</v>
      </c>
      <c r="B1172">
        <v>1000000237</v>
      </c>
      <c r="C1172" t="s">
        <v>23</v>
      </c>
      <c r="D1172">
        <v>1</v>
      </c>
      <c r="E1172">
        <v>6376.04</v>
      </c>
      <c r="F1172" t="s">
        <v>16</v>
      </c>
      <c r="G1172" t="s">
        <v>24</v>
      </c>
      <c r="H1172" t="s">
        <v>18</v>
      </c>
      <c r="I1172" t="s">
        <v>40</v>
      </c>
      <c r="J1172" t="s">
        <v>26</v>
      </c>
      <c r="K1172" t="s">
        <v>41</v>
      </c>
      <c r="L1172" t="s">
        <v>22</v>
      </c>
      <c r="M1172">
        <v>6376.04</v>
      </c>
      <c r="N1172">
        <v>2020</v>
      </c>
      <c r="O1172">
        <v>5</v>
      </c>
    </row>
    <row r="1173" spans="1:15" x14ac:dyDescent="0.3">
      <c r="A1173" s="1">
        <v>43972</v>
      </c>
      <c r="B1173">
        <v>1000000039</v>
      </c>
      <c r="C1173" t="s">
        <v>23</v>
      </c>
      <c r="D1173">
        <v>2</v>
      </c>
      <c r="E1173">
        <v>6000.71</v>
      </c>
      <c r="F1173" t="s">
        <v>16</v>
      </c>
      <c r="G1173" t="s">
        <v>24</v>
      </c>
      <c r="H1173" t="s">
        <v>18</v>
      </c>
      <c r="I1173" t="s">
        <v>25</v>
      </c>
      <c r="J1173" t="s">
        <v>20</v>
      </c>
      <c r="K1173" t="s">
        <v>51</v>
      </c>
      <c r="L1173" t="s">
        <v>28</v>
      </c>
      <c r="M1173">
        <v>3000.355</v>
      </c>
      <c r="N1173">
        <v>2020</v>
      </c>
      <c r="O1173">
        <v>5</v>
      </c>
    </row>
    <row r="1174" spans="1:15" x14ac:dyDescent="0.3">
      <c r="A1174" s="1">
        <v>43972</v>
      </c>
      <c r="B1174">
        <v>1000000032</v>
      </c>
      <c r="C1174" t="s">
        <v>15</v>
      </c>
      <c r="D1174">
        <v>1</v>
      </c>
      <c r="E1174">
        <v>5500.07</v>
      </c>
      <c r="F1174" t="s">
        <v>16</v>
      </c>
      <c r="G1174" t="s">
        <v>17</v>
      </c>
      <c r="H1174" t="s">
        <v>18</v>
      </c>
      <c r="I1174" t="s">
        <v>25</v>
      </c>
      <c r="J1174" t="s">
        <v>26</v>
      </c>
      <c r="K1174" t="s">
        <v>27</v>
      </c>
      <c r="L1174" t="s">
        <v>28</v>
      </c>
      <c r="M1174">
        <v>5500.07</v>
      </c>
      <c r="N1174">
        <v>2020</v>
      </c>
      <c r="O1174">
        <v>5</v>
      </c>
    </row>
    <row r="1175" spans="1:15" x14ac:dyDescent="0.3">
      <c r="A1175" s="1">
        <v>43972</v>
      </c>
      <c r="B1175">
        <v>1000006064</v>
      </c>
      <c r="C1175" t="s">
        <v>23</v>
      </c>
      <c r="D1175">
        <v>1</v>
      </c>
      <c r="E1175">
        <v>5000.71</v>
      </c>
      <c r="F1175" t="s">
        <v>16</v>
      </c>
      <c r="G1175" t="s">
        <v>24</v>
      </c>
      <c r="H1175" t="s">
        <v>18</v>
      </c>
      <c r="I1175" t="s">
        <v>40</v>
      </c>
      <c r="J1175" t="s">
        <v>26</v>
      </c>
      <c r="K1175" t="s">
        <v>41</v>
      </c>
      <c r="L1175" t="s">
        <v>22</v>
      </c>
      <c r="M1175">
        <v>5000.71</v>
      </c>
      <c r="N1175">
        <v>2020</v>
      </c>
      <c r="O1175">
        <v>5</v>
      </c>
    </row>
    <row r="1176" spans="1:15" x14ac:dyDescent="0.3">
      <c r="A1176" s="1">
        <v>43972</v>
      </c>
      <c r="B1176">
        <v>1000000052</v>
      </c>
      <c r="C1176" t="s">
        <v>23</v>
      </c>
      <c r="D1176">
        <v>1</v>
      </c>
      <c r="E1176">
        <v>5000.18</v>
      </c>
      <c r="F1176" t="s">
        <v>16</v>
      </c>
      <c r="G1176" t="s">
        <v>24</v>
      </c>
      <c r="H1176" t="s">
        <v>18</v>
      </c>
      <c r="I1176" t="s">
        <v>34</v>
      </c>
      <c r="J1176" t="s">
        <v>20</v>
      </c>
      <c r="K1176" t="s">
        <v>44</v>
      </c>
      <c r="L1176" t="s">
        <v>22</v>
      </c>
      <c r="M1176">
        <v>5000.18</v>
      </c>
      <c r="N1176">
        <v>2020</v>
      </c>
      <c r="O1176">
        <v>5</v>
      </c>
    </row>
    <row r="1177" spans="1:15" x14ac:dyDescent="0.3">
      <c r="A1177" s="1">
        <v>43972</v>
      </c>
      <c r="B1177">
        <v>1000000036</v>
      </c>
      <c r="C1177" t="s">
        <v>15</v>
      </c>
      <c r="D1177">
        <v>1</v>
      </c>
      <c r="E1177">
        <v>4400.6400000000003</v>
      </c>
      <c r="F1177" t="s">
        <v>16</v>
      </c>
      <c r="G1177" t="s">
        <v>17</v>
      </c>
      <c r="H1177" t="s">
        <v>47</v>
      </c>
      <c r="I1177" t="s">
        <v>48</v>
      </c>
      <c r="J1177" t="s">
        <v>36</v>
      </c>
      <c r="K1177" t="s">
        <v>49</v>
      </c>
      <c r="L1177" t="s">
        <v>28</v>
      </c>
      <c r="M1177">
        <v>4400.6400000000003</v>
      </c>
      <c r="N1177">
        <v>2020</v>
      </c>
      <c r="O1177">
        <v>5</v>
      </c>
    </row>
    <row r="1178" spans="1:15" x14ac:dyDescent="0.3">
      <c r="A1178" s="1">
        <v>43972</v>
      </c>
      <c r="B1178">
        <v>1000000036</v>
      </c>
      <c r="C1178" t="s">
        <v>23</v>
      </c>
      <c r="D1178">
        <v>1</v>
      </c>
      <c r="E1178">
        <v>2000.08</v>
      </c>
      <c r="F1178" t="s">
        <v>16</v>
      </c>
      <c r="G1178" t="s">
        <v>24</v>
      </c>
      <c r="H1178" t="s">
        <v>47</v>
      </c>
      <c r="I1178" t="s">
        <v>48</v>
      </c>
      <c r="J1178" t="s">
        <v>36</v>
      </c>
      <c r="K1178" t="s">
        <v>49</v>
      </c>
      <c r="L1178" t="s">
        <v>28</v>
      </c>
      <c r="M1178">
        <v>2000.08</v>
      </c>
      <c r="N1178">
        <v>2020</v>
      </c>
      <c r="O1178">
        <v>5</v>
      </c>
    </row>
    <row r="1179" spans="1:15" x14ac:dyDescent="0.3">
      <c r="A1179" s="1">
        <v>43972</v>
      </c>
      <c r="B1179">
        <v>1000000044</v>
      </c>
      <c r="C1179" t="s">
        <v>42</v>
      </c>
      <c r="D1179">
        <v>1</v>
      </c>
      <c r="E1179">
        <v>1326.93</v>
      </c>
      <c r="F1179" t="s">
        <v>16</v>
      </c>
      <c r="G1179" t="s">
        <v>43</v>
      </c>
      <c r="H1179" t="s">
        <v>30</v>
      </c>
      <c r="I1179" t="s">
        <v>31</v>
      </c>
      <c r="J1179" t="s">
        <v>36</v>
      </c>
      <c r="K1179" t="s">
        <v>52</v>
      </c>
      <c r="L1179" t="s">
        <v>28</v>
      </c>
      <c r="M1179">
        <v>1326.93</v>
      </c>
      <c r="N1179">
        <v>2020</v>
      </c>
      <c r="O1179">
        <v>5</v>
      </c>
    </row>
    <row r="1180" spans="1:15" x14ac:dyDescent="0.3">
      <c r="A1180" s="1">
        <v>43972</v>
      </c>
      <c r="B1180">
        <v>1000000031</v>
      </c>
      <c r="C1180" t="s">
        <v>42</v>
      </c>
      <c r="D1180">
        <v>1</v>
      </c>
      <c r="E1180">
        <v>1133.5899999999999</v>
      </c>
      <c r="F1180" t="s">
        <v>16</v>
      </c>
      <c r="G1180" t="s">
        <v>43</v>
      </c>
      <c r="H1180" t="s">
        <v>18</v>
      </c>
      <c r="I1180" t="s">
        <v>19</v>
      </c>
      <c r="J1180" t="s">
        <v>26</v>
      </c>
      <c r="K1180" t="s">
        <v>29</v>
      </c>
      <c r="L1180" t="s">
        <v>28</v>
      </c>
      <c r="M1180">
        <v>1133.5899999999999</v>
      </c>
      <c r="N1180">
        <v>2020</v>
      </c>
      <c r="O1180">
        <v>5</v>
      </c>
    </row>
    <row r="1181" spans="1:15" x14ac:dyDescent="0.3">
      <c r="A1181" s="1">
        <v>43972</v>
      </c>
      <c r="B1181">
        <v>1000000034</v>
      </c>
      <c r="C1181" t="s">
        <v>23</v>
      </c>
      <c r="D1181">
        <v>1</v>
      </c>
      <c r="E1181">
        <v>1038.5899999999999</v>
      </c>
      <c r="F1181" t="s">
        <v>16</v>
      </c>
      <c r="G1181" t="s">
        <v>24</v>
      </c>
      <c r="H1181" t="s">
        <v>18</v>
      </c>
      <c r="I1181" t="s">
        <v>25</v>
      </c>
      <c r="J1181" t="s">
        <v>26</v>
      </c>
      <c r="K1181" t="s">
        <v>27</v>
      </c>
      <c r="L1181" t="s">
        <v>22</v>
      </c>
      <c r="M1181">
        <v>1038.5899999999999</v>
      </c>
      <c r="N1181">
        <v>2020</v>
      </c>
      <c r="O1181">
        <v>5</v>
      </c>
    </row>
    <row r="1182" spans="1:15" x14ac:dyDescent="0.3">
      <c r="A1182" s="1">
        <v>43972</v>
      </c>
      <c r="B1182">
        <v>1000000058</v>
      </c>
      <c r="C1182" t="s">
        <v>23</v>
      </c>
      <c r="D1182">
        <v>1</v>
      </c>
      <c r="E1182">
        <v>1000.28</v>
      </c>
      <c r="F1182" t="s">
        <v>16</v>
      </c>
      <c r="G1182" t="s">
        <v>24</v>
      </c>
      <c r="H1182" t="s">
        <v>18</v>
      </c>
      <c r="I1182" t="s">
        <v>34</v>
      </c>
      <c r="J1182" t="s">
        <v>20</v>
      </c>
      <c r="K1182" t="s">
        <v>44</v>
      </c>
      <c r="L1182" t="s">
        <v>22</v>
      </c>
      <c r="M1182">
        <v>1000.28</v>
      </c>
      <c r="N1182">
        <v>2020</v>
      </c>
      <c r="O1182">
        <v>5</v>
      </c>
    </row>
    <row r="1183" spans="1:15" x14ac:dyDescent="0.3">
      <c r="A1183" s="1">
        <v>43972</v>
      </c>
      <c r="B1183">
        <v>1000000067</v>
      </c>
      <c r="C1183" t="s">
        <v>42</v>
      </c>
      <c r="D1183">
        <v>1</v>
      </c>
      <c r="E1183">
        <v>931.43</v>
      </c>
      <c r="F1183" t="s">
        <v>16</v>
      </c>
      <c r="G1183" t="s">
        <v>43</v>
      </c>
      <c r="H1183" t="s">
        <v>18</v>
      </c>
      <c r="I1183" t="s">
        <v>25</v>
      </c>
      <c r="J1183" t="s">
        <v>20</v>
      </c>
      <c r="K1183" t="s">
        <v>51</v>
      </c>
      <c r="L1183" t="s">
        <v>22</v>
      </c>
      <c r="M1183">
        <v>931.43</v>
      </c>
      <c r="N1183">
        <v>2020</v>
      </c>
      <c r="O1183">
        <v>5</v>
      </c>
    </row>
    <row r="1184" spans="1:15" x14ac:dyDescent="0.3">
      <c r="A1184" s="1">
        <v>43972</v>
      </c>
      <c r="B1184">
        <v>1000000031</v>
      </c>
      <c r="C1184" t="s">
        <v>15</v>
      </c>
      <c r="D1184">
        <v>1</v>
      </c>
      <c r="E1184">
        <v>600.16999999999996</v>
      </c>
      <c r="F1184" t="s">
        <v>16</v>
      </c>
      <c r="G1184" t="s">
        <v>17</v>
      </c>
      <c r="H1184" t="s">
        <v>18</v>
      </c>
      <c r="I1184" t="s">
        <v>19</v>
      </c>
      <c r="J1184" t="s">
        <v>26</v>
      </c>
      <c r="K1184" t="s">
        <v>29</v>
      </c>
      <c r="L1184" t="s">
        <v>28</v>
      </c>
      <c r="M1184">
        <v>600.16999999999996</v>
      </c>
      <c r="N1184">
        <v>2020</v>
      </c>
      <c r="O1184">
        <v>5</v>
      </c>
    </row>
    <row r="1185" spans="1:15" x14ac:dyDescent="0.3">
      <c r="A1185" s="1">
        <v>43972</v>
      </c>
      <c r="B1185">
        <v>1000003989</v>
      </c>
      <c r="C1185" t="s">
        <v>54</v>
      </c>
      <c r="D1185">
        <v>1</v>
      </c>
      <c r="E1185">
        <v>59.63</v>
      </c>
      <c r="F1185" t="s">
        <v>46</v>
      </c>
      <c r="G1185" t="s">
        <v>24</v>
      </c>
      <c r="H1185" t="s">
        <v>30</v>
      </c>
      <c r="I1185" t="s">
        <v>31</v>
      </c>
      <c r="J1185" t="s">
        <v>36</v>
      </c>
      <c r="K1185" t="s">
        <v>52</v>
      </c>
      <c r="L1185" t="s">
        <v>22</v>
      </c>
      <c r="M1185">
        <v>59.63</v>
      </c>
      <c r="N1185">
        <v>2020</v>
      </c>
      <c r="O1185">
        <v>5</v>
      </c>
    </row>
    <row r="1186" spans="1:15" x14ac:dyDescent="0.3">
      <c r="A1186" s="1">
        <v>43973</v>
      </c>
      <c r="B1186">
        <v>1000008239</v>
      </c>
      <c r="C1186" t="s">
        <v>15</v>
      </c>
      <c r="D1186">
        <v>7</v>
      </c>
      <c r="E1186">
        <v>80003.180000000008</v>
      </c>
      <c r="F1186" t="s">
        <v>16</v>
      </c>
      <c r="G1186" t="s">
        <v>17</v>
      </c>
      <c r="H1186" t="s">
        <v>18</v>
      </c>
      <c r="I1186" t="s">
        <v>61</v>
      </c>
      <c r="J1186" t="s">
        <v>26</v>
      </c>
      <c r="K1186" t="s">
        <v>62</v>
      </c>
      <c r="L1186" t="s">
        <v>28</v>
      </c>
      <c r="M1186">
        <v>11429.025714285715</v>
      </c>
      <c r="N1186">
        <v>2020</v>
      </c>
      <c r="O1186">
        <v>5</v>
      </c>
    </row>
    <row r="1187" spans="1:15" x14ac:dyDescent="0.3">
      <c r="A1187" s="1">
        <v>43973</v>
      </c>
      <c r="B1187">
        <v>1000000928</v>
      </c>
      <c r="C1187" t="s">
        <v>15</v>
      </c>
      <c r="D1187">
        <v>3</v>
      </c>
      <c r="E1187">
        <v>41884.36</v>
      </c>
      <c r="F1187" t="s">
        <v>16</v>
      </c>
      <c r="G1187" t="s">
        <v>17</v>
      </c>
      <c r="H1187" t="s">
        <v>30</v>
      </c>
      <c r="I1187" t="s">
        <v>57</v>
      </c>
      <c r="J1187" t="s">
        <v>26</v>
      </c>
      <c r="K1187" t="s">
        <v>58</v>
      </c>
      <c r="L1187" t="s">
        <v>22</v>
      </c>
      <c r="M1187">
        <v>13961.453333333331</v>
      </c>
      <c r="N1187">
        <v>2020</v>
      </c>
      <c r="O1187">
        <v>5</v>
      </c>
    </row>
    <row r="1188" spans="1:15" x14ac:dyDescent="0.3">
      <c r="A1188" s="1">
        <v>43973</v>
      </c>
      <c r="B1188">
        <v>1000000036</v>
      </c>
      <c r="C1188" t="s">
        <v>15</v>
      </c>
      <c r="D1188">
        <v>2</v>
      </c>
      <c r="E1188">
        <v>34000.480000000003</v>
      </c>
      <c r="F1188" t="s">
        <v>16</v>
      </c>
      <c r="G1188" t="s">
        <v>17</v>
      </c>
      <c r="H1188" t="s">
        <v>47</v>
      </c>
      <c r="I1188" t="s">
        <v>48</v>
      </c>
      <c r="J1188" t="s">
        <v>36</v>
      </c>
      <c r="K1188" t="s">
        <v>49</v>
      </c>
      <c r="L1188" t="s">
        <v>28</v>
      </c>
      <c r="M1188">
        <v>17000.240000000002</v>
      </c>
      <c r="N1188">
        <v>2020</v>
      </c>
      <c r="O1188">
        <v>5</v>
      </c>
    </row>
    <row r="1189" spans="1:15" x14ac:dyDescent="0.3">
      <c r="A1189" s="1">
        <v>43973</v>
      </c>
      <c r="B1189">
        <v>1000007197</v>
      </c>
      <c r="C1189" t="s">
        <v>42</v>
      </c>
      <c r="D1189">
        <v>1</v>
      </c>
      <c r="E1189">
        <v>30000.720000000001</v>
      </c>
      <c r="F1189" t="s">
        <v>16</v>
      </c>
      <c r="G1189" t="s">
        <v>43</v>
      </c>
      <c r="H1189" t="s">
        <v>18</v>
      </c>
      <c r="I1189" t="s">
        <v>40</v>
      </c>
      <c r="J1189" t="s">
        <v>26</v>
      </c>
      <c r="K1189" t="s">
        <v>41</v>
      </c>
      <c r="L1189" t="s">
        <v>22</v>
      </c>
      <c r="M1189">
        <v>30000.720000000001</v>
      </c>
      <c r="N1189">
        <v>2020</v>
      </c>
      <c r="O1189">
        <v>5</v>
      </c>
    </row>
    <row r="1190" spans="1:15" x14ac:dyDescent="0.3">
      <c r="A1190" s="1">
        <v>43973</v>
      </c>
      <c r="B1190">
        <v>1000003926</v>
      </c>
      <c r="C1190" t="s">
        <v>23</v>
      </c>
      <c r="D1190">
        <v>2</v>
      </c>
      <c r="E1190">
        <v>29000.47</v>
      </c>
      <c r="F1190" t="s">
        <v>16</v>
      </c>
      <c r="G1190" t="s">
        <v>24</v>
      </c>
      <c r="H1190" t="s">
        <v>47</v>
      </c>
      <c r="I1190" t="s">
        <v>48</v>
      </c>
      <c r="J1190" t="s">
        <v>26</v>
      </c>
      <c r="K1190" t="s">
        <v>50</v>
      </c>
      <c r="L1190" t="s">
        <v>28</v>
      </c>
      <c r="M1190">
        <v>14500.235000000001</v>
      </c>
      <c r="N1190">
        <v>2020</v>
      </c>
      <c r="O1190">
        <v>5</v>
      </c>
    </row>
    <row r="1191" spans="1:15" x14ac:dyDescent="0.3">
      <c r="A1191" s="1">
        <v>43973</v>
      </c>
      <c r="B1191">
        <v>1000001524</v>
      </c>
      <c r="C1191" t="s">
        <v>23</v>
      </c>
      <c r="D1191">
        <v>1</v>
      </c>
      <c r="E1191">
        <v>25000.560000000001</v>
      </c>
      <c r="F1191" t="s">
        <v>16</v>
      </c>
      <c r="G1191" t="s">
        <v>24</v>
      </c>
      <c r="H1191" t="s">
        <v>18</v>
      </c>
      <c r="I1191" t="s">
        <v>25</v>
      </c>
      <c r="J1191" t="s">
        <v>20</v>
      </c>
      <c r="K1191" t="s">
        <v>51</v>
      </c>
      <c r="L1191" t="s">
        <v>22</v>
      </c>
      <c r="M1191">
        <v>25000.560000000001</v>
      </c>
      <c r="N1191">
        <v>2020</v>
      </c>
      <c r="O1191">
        <v>5</v>
      </c>
    </row>
    <row r="1192" spans="1:15" x14ac:dyDescent="0.3">
      <c r="A1192" s="1">
        <v>43973</v>
      </c>
      <c r="B1192">
        <v>1000000043</v>
      </c>
      <c r="C1192" t="s">
        <v>23</v>
      </c>
      <c r="D1192">
        <v>1</v>
      </c>
      <c r="E1192">
        <v>25000.34</v>
      </c>
      <c r="F1192" t="s">
        <v>16</v>
      </c>
      <c r="G1192" t="s">
        <v>24</v>
      </c>
      <c r="H1192" t="s">
        <v>30</v>
      </c>
      <c r="I1192" t="s">
        <v>38</v>
      </c>
      <c r="J1192" t="s">
        <v>26</v>
      </c>
      <c r="K1192" t="s">
        <v>39</v>
      </c>
      <c r="L1192" t="s">
        <v>22</v>
      </c>
      <c r="M1192">
        <v>25000.34</v>
      </c>
      <c r="N1192">
        <v>2020</v>
      </c>
      <c r="O1192">
        <v>5</v>
      </c>
    </row>
    <row r="1193" spans="1:15" x14ac:dyDescent="0.3">
      <c r="A1193" s="1">
        <v>43973</v>
      </c>
      <c r="B1193">
        <v>1000000056</v>
      </c>
      <c r="C1193" t="s">
        <v>23</v>
      </c>
      <c r="D1193">
        <v>3</v>
      </c>
      <c r="E1193">
        <v>22500.639999999999</v>
      </c>
      <c r="F1193" t="s">
        <v>16</v>
      </c>
      <c r="G1193" t="s">
        <v>24</v>
      </c>
      <c r="H1193" t="s">
        <v>18</v>
      </c>
      <c r="I1193" t="s">
        <v>34</v>
      </c>
      <c r="J1193" t="s">
        <v>26</v>
      </c>
      <c r="K1193" t="s">
        <v>35</v>
      </c>
      <c r="L1193" t="s">
        <v>28</v>
      </c>
      <c r="M1193">
        <v>7500.2133333333331</v>
      </c>
      <c r="N1193">
        <v>2020</v>
      </c>
      <c r="O1193">
        <v>5</v>
      </c>
    </row>
    <row r="1194" spans="1:15" x14ac:dyDescent="0.3">
      <c r="A1194" s="1">
        <v>43973</v>
      </c>
      <c r="B1194">
        <v>1000000031</v>
      </c>
      <c r="C1194" t="s">
        <v>23</v>
      </c>
      <c r="D1194">
        <v>3</v>
      </c>
      <c r="E1194">
        <v>22000.59</v>
      </c>
      <c r="F1194" t="s">
        <v>16</v>
      </c>
      <c r="G1194" t="s">
        <v>24</v>
      </c>
      <c r="H1194" t="s">
        <v>18</v>
      </c>
      <c r="I1194" t="s">
        <v>19</v>
      </c>
      <c r="J1194" t="s">
        <v>26</v>
      </c>
      <c r="K1194" t="s">
        <v>29</v>
      </c>
      <c r="L1194" t="s">
        <v>28</v>
      </c>
      <c r="M1194">
        <v>7333.53</v>
      </c>
      <c r="N1194">
        <v>2020</v>
      </c>
      <c r="O1194">
        <v>5</v>
      </c>
    </row>
    <row r="1195" spans="1:15" x14ac:dyDescent="0.3">
      <c r="A1195" s="1">
        <v>43973</v>
      </c>
      <c r="B1195">
        <v>1000000041</v>
      </c>
      <c r="C1195" t="s">
        <v>23</v>
      </c>
      <c r="D1195">
        <v>1</v>
      </c>
      <c r="E1195">
        <v>22000.53</v>
      </c>
      <c r="F1195" t="s">
        <v>16</v>
      </c>
      <c r="G1195" t="s">
        <v>24</v>
      </c>
      <c r="H1195" t="s">
        <v>30</v>
      </c>
      <c r="I1195" t="s">
        <v>31</v>
      </c>
      <c r="J1195" t="s">
        <v>32</v>
      </c>
      <c r="K1195" t="s">
        <v>33</v>
      </c>
      <c r="L1195" t="s">
        <v>22</v>
      </c>
      <c r="M1195">
        <v>22000.53</v>
      </c>
      <c r="N1195">
        <v>2020</v>
      </c>
      <c r="O1195">
        <v>5</v>
      </c>
    </row>
    <row r="1196" spans="1:15" x14ac:dyDescent="0.3">
      <c r="A1196" s="1">
        <v>43973</v>
      </c>
      <c r="B1196">
        <v>1000003989</v>
      </c>
      <c r="C1196" t="s">
        <v>15</v>
      </c>
      <c r="D1196">
        <v>1</v>
      </c>
      <c r="E1196">
        <v>22000.53</v>
      </c>
      <c r="F1196" t="s">
        <v>16</v>
      </c>
      <c r="G1196" t="s">
        <v>17</v>
      </c>
      <c r="H1196" t="s">
        <v>30</v>
      </c>
      <c r="I1196" t="s">
        <v>31</v>
      </c>
      <c r="J1196" t="s">
        <v>36</v>
      </c>
      <c r="K1196" t="s">
        <v>52</v>
      </c>
      <c r="L1196" t="s">
        <v>22</v>
      </c>
      <c r="M1196">
        <v>22000.53</v>
      </c>
      <c r="N1196">
        <v>2020</v>
      </c>
      <c r="O1196">
        <v>5</v>
      </c>
    </row>
    <row r="1197" spans="1:15" x14ac:dyDescent="0.3">
      <c r="A1197" s="1">
        <v>43973</v>
      </c>
      <c r="B1197">
        <v>1000000028</v>
      </c>
      <c r="C1197" t="s">
        <v>23</v>
      </c>
      <c r="D1197">
        <v>2</v>
      </c>
      <c r="E1197">
        <v>21778.47</v>
      </c>
      <c r="F1197" t="s">
        <v>16</v>
      </c>
      <c r="G1197" t="s">
        <v>24</v>
      </c>
      <c r="H1197" t="s">
        <v>18</v>
      </c>
      <c r="I1197" t="s">
        <v>19</v>
      </c>
      <c r="J1197" t="s">
        <v>20</v>
      </c>
      <c r="K1197" t="s">
        <v>21</v>
      </c>
      <c r="L1197" t="s">
        <v>22</v>
      </c>
      <c r="M1197">
        <v>10889.235000000001</v>
      </c>
      <c r="N1197">
        <v>2020</v>
      </c>
      <c r="O1197">
        <v>5</v>
      </c>
    </row>
    <row r="1198" spans="1:15" x14ac:dyDescent="0.3">
      <c r="A1198" s="1">
        <v>43973</v>
      </c>
      <c r="B1198">
        <v>1000000029</v>
      </c>
      <c r="C1198" t="s">
        <v>23</v>
      </c>
      <c r="D1198">
        <v>1</v>
      </c>
      <c r="E1198">
        <v>20000.599999999999</v>
      </c>
      <c r="F1198" t="s">
        <v>16</v>
      </c>
      <c r="G1198" t="s">
        <v>24</v>
      </c>
      <c r="H1198" t="s">
        <v>18</v>
      </c>
      <c r="I1198" t="s">
        <v>19</v>
      </c>
      <c r="J1198" t="s">
        <v>20</v>
      </c>
      <c r="K1198" t="s">
        <v>21</v>
      </c>
      <c r="L1198" t="s">
        <v>22</v>
      </c>
      <c r="M1198">
        <v>20000.599999999999</v>
      </c>
      <c r="N1198">
        <v>2020</v>
      </c>
      <c r="O1198">
        <v>5</v>
      </c>
    </row>
    <row r="1199" spans="1:15" x14ac:dyDescent="0.3">
      <c r="A1199" s="1">
        <v>43973</v>
      </c>
      <c r="B1199">
        <v>1000000068</v>
      </c>
      <c r="C1199" t="s">
        <v>23</v>
      </c>
      <c r="D1199">
        <v>2</v>
      </c>
      <c r="E1199">
        <v>19701.96</v>
      </c>
      <c r="F1199" t="s">
        <v>16</v>
      </c>
      <c r="G1199" t="s">
        <v>24</v>
      </c>
      <c r="H1199" t="s">
        <v>30</v>
      </c>
      <c r="I1199" t="s">
        <v>55</v>
      </c>
      <c r="J1199" t="s">
        <v>26</v>
      </c>
      <c r="K1199" t="s">
        <v>56</v>
      </c>
      <c r="L1199" t="s">
        <v>28</v>
      </c>
      <c r="M1199">
        <v>9850.98</v>
      </c>
      <c r="N1199">
        <v>2020</v>
      </c>
      <c r="O1199">
        <v>5</v>
      </c>
    </row>
    <row r="1200" spans="1:15" x14ac:dyDescent="0.3">
      <c r="A1200" s="1">
        <v>43973</v>
      </c>
      <c r="B1200">
        <v>1000006064</v>
      </c>
      <c r="C1200" t="s">
        <v>23</v>
      </c>
      <c r="D1200">
        <v>2</v>
      </c>
      <c r="E1200">
        <v>17001.25</v>
      </c>
      <c r="F1200" t="s">
        <v>16</v>
      </c>
      <c r="G1200" t="s">
        <v>24</v>
      </c>
      <c r="H1200" t="s">
        <v>18</v>
      </c>
      <c r="I1200" t="s">
        <v>40</v>
      </c>
      <c r="J1200" t="s">
        <v>26</v>
      </c>
      <c r="K1200" t="s">
        <v>41</v>
      </c>
      <c r="L1200" t="s">
        <v>22</v>
      </c>
      <c r="M1200">
        <v>8500.625</v>
      </c>
      <c r="N1200">
        <v>2020</v>
      </c>
      <c r="O1200">
        <v>5</v>
      </c>
    </row>
    <row r="1201" spans="1:15" x14ac:dyDescent="0.3">
      <c r="A1201" s="1">
        <v>43973</v>
      </c>
      <c r="B1201">
        <v>1000000045</v>
      </c>
      <c r="C1201" t="s">
        <v>23</v>
      </c>
      <c r="D1201">
        <v>1</v>
      </c>
      <c r="E1201">
        <v>16000.67</v>
      </c>
      <c r="F1201" t="s">
        <v>16</v>
      </c>
      <c r="G1201" t="s">
        <v>24</v>
      </c>
      <c r="H1201" t="s">
        <v>47</v>
      </c>
      <c r="I1201" t="s">
        <v>59</v>
      </c>
      <c r="J1201" t="s">
        <v>26</v>
      </c>
      <c r="K1201" t="s">
        <v>60</v>
      </c>
      <c r="L1201" t="s">
        <v>22</v>
      </c>
      <c r="M1201">
        <v>16000.67</v>
      </c>
      <c r="N1201">
        <v>2020</v>
      </c>
      <c r="O1201">
        <v>5</v>
      </c>
    </row>
    <row r="1202" spans="1:15" x14ac:dyDescent="0.3">
      <c r="A1202" s="1">
        <v>43973</v>
      </c>
      <c r="B1202">
        <v>1000000029</v>
      </c>
      <c r="C1202" t="s">
        <v>15</v>
      </c>
      <c r="D1202">
        <v>1</v>
      </c>
      <c r="E1202">
        <v>16000.24</v>
      </c>
      <c r="F1202" t="s">
        <v>16</v>
      </c>
      <c r="G1202" t="s">
        <v>17</v>
      </c>
      <c r="H1202" t="s">
        <v>18</v>
      </c>
      <c r="I1202" t="s">
        <v>19</v>
      </c>
      <c r="J1202" t="s">
        <v>20</v>
      </c>
      <c r="K1202" t="s">
        <v>21</v>
      </c>
      <c r="L1202" t="s">
        <v>22</v>
      </c>
      <c r="M1202">
        <v>16000.24</v>
      </c>
      <c r="N1202">
        <v>2020</v>
      </c>
      <c r="O1202">
        <v>5</v>
      </c>
    </row>
    <row r="1203" spans="1:15" x14ac:dyDescent="0.3">
      <c r="A1203" s="1">
        <v>43973</v>
      </c>
      <c r="B1203">
        <v>1000006869</v>
      </c>
      <c r="C1203" t="s">
        <v>23</v>
      </c>
      <c r="D1203">
        <v>2</v>
      </c>
      <c r="E1203">
        <v>15500.48</v>
      </c>
      <c r="F1203" t="s">
        <v>16</v>
      </c>
      <c r="G1203" t="s">
        <v>24</v>
      </c>
      <c r="H1203" t="s">
        <v>18</v>
      </c>
      <c r="I1203" t="s">
        <v>61</v>
      </c>
      <c r="J1203" t="s">
        <v>26</v>
      </c>
      <c r="K1203" t="s">
        <v>62</v>
      </c>
      <c r="L1203" t="s">
        <v>22</v>
      </c>
      <c r="M1203">
        <v>7750.24</v>
      </c>
      <c r="N1203">
        <v>2020</v>
      </c>
      <c r="O1203">
        <v>5</v>
      </c>
    </row>
    <row r="1204" spans="1:15" x14ac:dyDescent="0.3">
      <c r="A1204" s="1">
        <v>43973</v>
      </c>
      <c r="B1204">
        <v>1000000046</v>
      </c>
      <c r="C1204" t="s">
        <v>15</v>
      </c>
      <c r="D1204">
        <v>1</v>
      </c>
      <c r="E1204">
        <v>15000.6</v>
      </c>
      <c r="F1204" t="s">
        <v>16</v>
      </c>
      <c r="G1204" t="s">
        <v>17</v>
      </c>
      <c r="H1204" t="s">
        <v>30</v>
      </c>
      <c r="I1204" t="s">
        <v>38</v>
      </c>
      <c r="J1204" t="s">
        <v>26</v>
      </c>
      <c r="K1204" t="s">
        <v>39</v>
      </c>
      <c r="L1204" t="s">
        <v>22</v>
      </c>
      <c r="M1204">
        <v>15000.6</v>
      </c>
      <c r="N1204">
        <v>2020</v>
      </c>
      <c r="O1204">
        <v>5</v>
      </c>
    </row>
    <row r="1205" spans="1:15" x14ac:dyDescent="0.3">
      <c r="A1205" s="1">
        <v>43973</v>
      </c>
      <c r="B1205">
        <v>1000000044</v>
      </c>
      <c r="C1205" t="s">
        <v>15</v>
      </c>
      <c r="D1205">
        <v>1</v>
      </c>
      <c r="E1205">
        <v>15000.32</v>
      </c>
      <c r="F1205" t="s">
        <v>16</v>
      </c>
      <c r="G1205" t="s">
        <v>17</v>
      </c>
      <c r="H1205" t="s">
        <v>30</v>
      </c>
      <c r="I1205" t="s">
        <v>31</v>
      </c>
      <c r="J1205" t="s">
        <v>36</v>
      </c>
      <c r="K1205" t="s">
        <v>52</v>
      </c>
      <c r="L1205" t="s">
        <v>28</v>
      </c>
      <c r="M1205">
        <v>15000.32</v>
      </c>
      <c r="N1205">
        <v>2020</v>
      </c>
      <c r="O1205">
        <v>5</v>
      </c>
    </row>
    <row r="1206" spans="1:15" x14ac:dyDescent="0.3">
      <c r="A1206" s="1">
        <v>43973</v>
      </c>
      <c r="B1206">
        <v>1000000045</v>
      </c>
      <c r="C1206" t="s">
        <v>15</v>
      </c>
      <c r="D1206">
        <v>1</v>
      </c>
      <c r="E1206">
        <v>15000.17</v>
      </c>
      <c r="F1206" t="s">
        <v>16</v>
      </c>
      <c r="G1206" t="s">
        <v>17</v>
      </c>
      <c r="H1206" t="s">
        <v>47</v>
      </c>
      <c r="I1206" t="s">
        <v>59</v>
      </c>
      <c r="J1206" t="s">
        <v>26</v>
      </c>
      <c r="K1206" t="s">
        <v>60</v>
      </c>
      <c r="L1206" t="s">
        <v>22</v>
      </c>
      <c r="M1206">
        <v>15000.17</v>
      </c>
      <c r="N1206">
        <v>2020</v>
      </c>
      <c r="O1206">
        <v>5</v>
      </c>
    </row>
    <row r="1207" spans="1:15" x14ac:dyDescent="0.3">
      <c r="A1207" s="1">
        <v>43973</v>
      </c>
      <c r="B1207">
        <v>1000001524</v>
      </c>
      <c r="C1207" t="s">
        <v>15</v>
      </c>
      <c r="D1207">
        <v>1</v>
      </c>
      <c r="E1207">
        <v>14000.72</v>
      </c>
      <c r="F1207" t="s">
        <v>16</v>
      </c>
      <c r="G1207" t="s">
        <v>17</v>
      </c>
      <c r="H1207" t="s">
        <v>18</v>
      </c>
      <c r="I1207" t="s">
        <v>25</v>
      </c>
      <c r="J1207" t="s">
        <v>20</v>
      </c>
      <c r="K1207" t="s">
        <v>51</v>
      </c>
      <c r="L1207" t="s">
        <v>22</v>
      </c>
      <c r="M1207">
        <v>14000.72</v>
      </c>
      <c r="N1207">
        <v>2020</v>
      </c>
      <c r="O1207">
        <v>5</v>
      </c>
    </row>
    <row r="1208" spans="1:15" x14ac:dyDescent="0.3">
      <c r="A1208" s="1">
        <v>43973</v>
      </c>
      <c r="B1208">
        <v>1000006867</v>
      </c>
      <c r="C1208" t="s">
        <v>15</v>
      </c>
      <c r="D1208">
        <v>1</v>
      </c>
      <c r="E1208">
        <v>14000.54</v>
      </c>
      <c r="F1208" t="s">
        <v>16</v>
      </c>
      <c r="G1208" t="s">
        <v>17</v>
      </c>
      <c r="H1208" t="s">
        <v>18</v>
      </c>
      <c r="I1208" t="s">
        <v>61</v>
      </c>
      <c r="J1208" t="s">
        <v>26</v>
      </c>
      <c r="K1208" t="s">
        <v>62</v>
      </c>
      <c r="L1208" t="s">
        <v>22</v>
      </c>
      <c r="M1208">
        <v>14000.54</v>
      </c>
      <c r="N1208">
        <v>2020</v>
      </c>
      <c r="O1208">
        <v>5</v>
      </c>
    </row>
    <row r="1209" spans="1:15" x14ac:dyDescent="0.3">
      <c r="A1209" s="1">
        <v>43973</v>
      </c>
      <c r="B1209">
        <v>1000000032</v>
      </c>
      <c r="C1209" t="s">
        <v>15</v>
      </c>
      <c r="D1209">
        <v>1</v>
      </c>
      <c r="E1209">
        <v>13000.27</v>
      </c>
      <c r="F1209" t="s">
        <v>16</v>
      </c>
      <c r="G1209" t="s">
        <v>17</v>
      </c>
      <c r="H1209" t="s">
        <v>18</v>
      </c>
      <c r="I1209" t="s">
        <v>25</v>
      </c>
      <c r="J1209" t="s">
        <v>26</v>
      </c>
      <c r="K1209" t="s">
        <v>27</v>
      </c>
      <c r="L1209" t="s">
        <v>28</v>
      </c>
      <c r="M1209">
        <v>13000.27</v>
      </c>
      <c r="N1209">
        <v>2020</v>
      </c>
      <c r="O1209">
        <v>5</v>
      </c>
    </row>
    <row r="1210" spans="1:15" x14ac:dyDescent="0.3">
      <c r="A1210" s="1">
        <v>43973</v>
      </c>
      <c r="B1210">
        <v>1000006860</v>
      </c>
      <c r="C1210" t="s">
        <v>15</v>
      </c>
      <c r="D1210">
        <v>1</v>
      </c>
      <c r="E1210">
        <v>13000.13</v>
      </c>
      <c r="F1210" t="s">
        <v>16</v>
      </c>
      <c r="G1210" t="s">
        <v>17</v>
      </c>
      <c r="H1210" t="s">
        <v>18</v>
      </c>
      <c r="I1210" t="s">
        <v>61</v>
      </c>
      <c r="J1210" t="s">
        <v>26</v>
      </c>
      <c r="K1210" t="s">
        <v>62</v>
      </c>
      <c r="L1210" t="s">
        <v>22</v>
      </c>
      <c r="M1210">
        <v>13000.13</v>
      </c>
      <c r="N1210">
        <v>2020</v>
      </c>
      <c r="O1210">
        <v>5</v>
      </c>
    </row>
    <row r="1211" spans="1:15" x14ac:dyDescent="0.3">
      <c r="A1211" s="1">
        <v>43973</v>
      </c>
      <c r="B1211">
        <v>1000000040</v>
      </c>
      <c r="C1211" t="s">
        <v>23</v>
      </c>
      <c r="D1211">
        <v>2</v>
      </c>
      <c r="E1211">
        <v>12549.58</v>
      </c>
      <c r="F1211" t="s">
        <v>16</v>
      </c>
      <c r="G1211" t="s">
        <v>24</v>
      </c>
      <c r="H1211" t="s">
        <v>30</v>
      </c>
      <c r="I1211" t="s">
        <v>31</v>
      </c>
      <c r="J1211" t="s">
        <v>32</v>
      </c>
      <c r="K1211" t="s">
        <v>33</v>
      </c>
      <c r="L1211" t="s">
        <v>28</v>
      </c>
      <c r="M1211">
        <v>6274.79</v>
      </c>
      <c r="N1211">
        <v>2020</v>
      </c>
      <c r="O1211">
        <v>5</v>
      </c>
    </row>
    <row r="1212" spans="1:15" x14ac:dyDescent="0.3">
      <c r="A1212" s="1">
        <v>43973</v>
      </c>
      <c r="B1212">
        <v>1000000104</v>
      </c>
      <c r="C1212" t="s">
        <v>42</v>
      </c>
      <c r="D1212">
        <v>1</v>
      </c>
      <c r="E1212">
        <v>12000.51</v>
      </c>
      <c r="F1212" t="s">
        <v>16</v>
      </c>
      <c r="G1212" t="s">
        <v>43</v>
      </c>
      <c r="H1212" t="s">
        <v>18</v>
      </c>
      <c r="I1212" t="s">
        <v>40</v>
      </c>
      <c r="J1212" t="s">
        <v>26</v>
      </c>
      <c r="K1212" t="s">
        <v>41</v>
      </c>
      <c r="L1212" t="s">
        <v>22</v>
      </c>
      <c r="M1212">
        <v>12000.51</v>
      </c>
      <c r="N1212">
        <v>2020</v>
      </c>
      <c r="O1212">
        <v>5</v>
      </c>
    </row>
    <row r="1213" spans="1:15" x14ac:dyDescent="0.3">
      <c r="A1213" s="1">
        <v>43973</v>
      </c>
      <c r="B1213">
        <v>1000000566</v>
      </c>
      <c r="C1213" t="s">
        <v>15</v>
      </c>
      <c r="D1213">
        <v>1</v>
      </c>
      <c r="E1213">
        <v>11000.42</v>
      </c>
      <c r="F1213" t="s">
        <v>16</v>
      </c>
      <c r="G1213" t="s">
        <v>17</v>
      </c>
      <c r="H1213" t="s">
        <v>47</v>
      </c>
      <c r="I1213" t="s">
        <v>48</v>
      </c>
      <c r="J1213" t="s">
        <v>36</v>
      </c>
      <c r="K1213" t="s">
        <v>49</v>
      </c>
      <c r="L1213" t="s">
        <v>22</v>
      </c>
      <c r="M1213">
        <v>11000.42</v>
      </c>
      <c r="N1213">
        <v>2020</v>
      </c>
      <c r="O1213">
        <v>5</v>
      </c>
    </row>
    <row r="1214" spans="1:15" x14ac:dyDescent="0.3">
      <c r="A1214" s="1">
        <v>43973</v>
      </c>
      <c r="B1214">
        <v>1000000576</v>
      </c>
      <c r="C1214" t="s">
        <v>15</v>
      </c>
      <c r="D1214">
        <v>1</v>
      </c>
      <c r="E1214">
        <v>10000.14</v>
      </c>
      <c r="F1214" t="s">
        <v>16</v>
      </c>
      <c r="G1214" t="s">
        <v>17</v>
      </c>
      <c r="H1214" t="s">
        <v>18</v>
      </c>
      <c r="I1214" t="s">
        <v>25</v>
      </c>
      <c r="J1214" t="s">
        <v>36</v>
      </c>
      <c r="K1214" t="s">
        <v>37</v>
      </c>
      <c r="L1214" t="s">
        <v>22</v>
      </c>
      <c r="M1214">
        <v>10000.14</v>
      </c>
      <c r="N1214">
        <v>2020</v>
      </c>
      <c r="O1214">
        <v>5</v>
      </c>
    </row>
    <row r="1215" spans="1:15" x14ac:dyDescent="0.3">
      <c r="A1215" s="1">
        <v>43973</v>
      </c>
      <c r="B1215">
        <v>1000000104</v>
      </c>
      <c r="C1215" t="s">
        <v>23</v>
      </c>
      <c r="D1215">
        <v>1</v>
      </c>
      <c r="E1215">
        <v>10000.120000000001</v>
      </c>
      <c r="F1215" t="s">
        <v>16</v>
      </c>
      <c r="G1215" t="s">
        <v>24</v>
      </c>
      <c r="H1215" t="s">
        <v>18</v>
      </c>
      <c r="I1215" t="s">
        <v>40</v>
      </c>
      <c r="J1215" t="s">
        <v>26</v>
      </c>
      <c r="K1215" t="s">
        <v>41</v>
      </c>
      <c r="L1215" t="s">
        <v>22</v>
      </c>
      <c r="M1215">
        <v>10000.120000000001</v>
      </c>
      <c r="N1215">
        <v>2020</v>
      </c>
      <c r="O1215">
        <v>5</v>
      </c>
    </row>
    <row r="1216" spans="1:15" x14ac:dyDescent="0.3">
      <c r="A1216" s="1">
        <v>43973</v>
      </c>
      <c r="B1216">
        <v>1000000067</v>
      </c>
      <c r="C1216" t="s">
        <v>15</v>
      </c>
      <c r="D1216">
        <v>1</v>
      </c>
      <c r="E1216">
        <v>7000.69</v>
      </c>
      <c r="F1216" t="s">
        <v>16</v>
      </c>
      <c r="G1216" t="s">
        <v>17</v>
      </c>
      <c r="H1216" t="s">
        <v>18</v>
      </c>
      <c r="I1216" t="s">
        <v>25</v>
      </c>
      <c r="J1216" t="s">
        <v>20</v>
      </c>
      <c r="K1216" t="s">
        <v>51</v>
      </c>
      <c r="L1216" t="s">
        <v>22</v>
      </c>
      <c r="M1216">
        <v>7000.69</v>
      </c>
      <c r="N1216">
        <v>2020</v>
      </c>
      <c r="O1216">
        <v>5</v>
      </c>
    </row>
    <row r="1217" spans="1:15" x14ac:dyDescent="0.3">
      <c r="A1217" s="1">
        <v>43973</v>
      </c>
      <c r="B1217">
        <v>1000000039</v>
      </c>
      <c r="C1217" t="s">
        <v>15</v>
      </c>
      <c r="D1217">
        <v>1</v>
      </c>
      <c r="E1217">
        <v>7000.24</v>
      </c>
      <c r="F1217" t="s">
        <v>16</v>
      </c>
      <c r="G1217" t="s">
        <v>17</v>
      </c>
      <c r="H1217" t="s">
        <v>18</v>
      </c>
      <c r="I1217" t="s">
        <v>25</v>
      </c>
      <c r="J1217" t="s">
        <v>20</v>
      </c>
      <c r="K1217" t="s">
        <v>51</v>
      </c>
      <c r="L1217" t="s">
        <v>28</v>
      </c>
      <c r="M1217">
        <v>7000.24</v>
      </c>
      <c r="N1217">
        <v>2020</v>
      </c>
      <c r="O1217">
        <v>5</v>
      </c>
    </row>
    <row r="1218" spans="1:15" x14ac:dyDescent="0.3">
      <c r="A1218" s="1">
        <v>43973</v>
      </c>
      <c r="B1218">
        <v>1000000566</v>
      </c>
      <c r="C1218" t="s">
        <v>23</v>
      </c>
      <c r="D1218">
        <v>1</v>
      </c>
      <c r="E1218">
        <v>6000.65</v>
      </c>
      <c r="F1218" t="s">
        <v>16</v>
      </c>
      <c r="G1218" t="s">
        <v>24</v>
      </c>
      <c r="H1218" t="s">
        <v>47</v>
      </c>
      <c r="I1218" t="s">
        <v>48</v>
      </c>
      <c r="J1218" t="s">
        <v>36</v>
      </c>
      <c r="K1218" t="s">
        <v>49</v>
      </c>
      <c r="L1218" t="s">
        <v>22</v>
      </c>
      <c r="M1218">
        <v>6000.65</v>
      </c>
      <c r="N1218">
        <v>2020</v>
      </c>
      <c r="O1218">
        <v>5</v>
      </c>
    </row>
    <row r="1219" spans="1:15" x14ac:dyDescent="0.3">
      <c r="A1219" s="1">
        <v>43973</v>
      </c>
      <c r="B1219">
        <v>1000000054</v>
      </c>
      <c r="C1219" t="s">
        <v>23</v>
      </c>
      <c r="D1219">
        <v>1</v>
      </c>
      <c r="E1219">
        <v>6000.48</v>
      </c>
      <c r="F1219" t="s">
        <v>16</v>
      </c>
      <c r="G1219" t="s">
        <v>24</v>
      </c>
      <c r="H1219" t="s">
        <v>18</v>
      </c>
      <c r="I1219" t="s">
        <v>34</v>
      </c>
      <c r="J1219" t="s">
        <v>26</v>
      </c>
      <c r="K1219" t="s">
        <v>35</v>
      </c>
      <c r="L1219" t="s">
        <v>22</v>
      </c>
      <c r="M1219">
        <v>6000.48</v>
      </c>
      <c r="N1219">
        <v>2020</v>
      </c>
      <c r="O1219">
        <v>5</v>
      </c>
    </row>
    <row r="1220" spans="1:15" x14ac:dyDescent="0.3">
      <c r="A1220" s="1">
        <v>43973</v>
      </c>
      <c r="B1220">
        <v>1000000044</v>
      </c>
      <c r="C1220" t="s">
        <v>23</v>
      </c>
      <c r="D1220">
        <v>1</v>
      </c>
      <c r="E1220">
        <v>5000.1099999999997</v>
      </c>
      <c r="F1220" t="s">
        <v>16</v>
      </c>
      <c r="G1220" t="s">
        <v>24</v>
      </c>
      <c r="H1220" t="s">
        <v>30</v>
      </c>
      <c r="I1220" t="s">
        <v>31</v>
      </c>
      <c r="J1220" t="s">
        <v>36</v>
      </c>
      <c r="K1220" t="s">
        <v>52</v>
      </c>
      <c r="L1220" t="s">
        <v>28</v>
      </c>
      <c r="M1220">
        <v>5000.1099999999997</v>
      </c>
      <c r="N1220">
        <v>2020</v>
      </c>
      <c r="O1220">
        <v>5</v>
      </c>
    </row>
    <row r="1221" spans="1:15" x14ac:dyDescent="0.3">
      <c r="A1221" s="1">
        <v>43973</v>
      </c>
      <c r="B1221">
        <v>1000000034</v>
      </c>
      <c r="C1221" t="s">
        <v>23</v>
      </c>
      <c r="D1221">
        <v>1</v>
      </c>
      <c r="E1221">
        <v>1456.95</v>
      </c>
      <c r="F1221" t="s">
        <v>16</v>
      </c>
      <c r="G1221" t="s">
        <v>24</v>
      </c>
      <c r="H1221" t="s">
        <v>18</v>
      </c>
      <c r="I1221" t="s">
        <v>25</v>
      </c>
      <c r="J1221" t="s">
        <v>26</v>
      </c>
      <c r="K1221" t="s">
        <v>27</v>
      </c>
      <c r="L1221" t="s">
        <v>22</v>
      </c>
      <c r="M1221">
        <v>1456.95</v>
      </c>
      <c r="N1221">
        <v>2020</v>
      </c>
      <c r="O1221">
        <v>5</v>
      </c>
    </row>
    <row r="1222" spans="1:15" x14ac:dyDescent="0.3">
      <c r="A1222" s="1">
        <v>43973</v>
      </c>
      <c r="B1222">
        <v>1000000067</v>
      </c>
      <c r="C1222" t="s">
        <v>42</v>
      </c>
      <c r="D1222">
        <v>1</v>
      </c>
      <c r="E1222">
        <v>1000.68</v>
      </c>
      <c r="F1222" t="s">
        <v>16</v>
      </c>
      <c r="G1222" t="s">
        <v>43</v>
      </c>
      <c r="H1222" t="s">
        <v>18</v>
      </c>
      <c r="I1222" t="s">
        <v>25</v>
      </c>
      <c r="J1222" t="s">
        <v>20</v>
      </c>
      <c r="K1222" t="s">
        <v>51</v>
      </c>
      <c r="L1222" t="s">
        <v>22</v>
      </c>
      <c r="M1222">
        <v>1000.68</v>
      </c>
      <c r="N1222">
        <v>2020</v>
      </c>
      <c r="O1222">
        <v>5</v>
      </c>
    </row>
    <row r="1223" spans="1:15" x14ac:dyDescent="0.3">
      <c r="A1223" s="1">
        <v>43973</v>
      </c>
      <c r="B1223">
        <v>1000003926</v>
      </c>
      <c r="C1223" t="s">
        <v>15</v>
      </c>
      <c r="D1223">
        <v>1</v>
      </c>
      <c r="E1223">
        <v>1000.01</v>
      </c>
      <c r="F1223" t="s">
        <v>16</v>
      </c>
      <c r="G1223" t="s">
        <v>17</v>
      </c>
      <c r="H1223" t="s">
        <v>47</v>
      </c>
      <c r="I1223" t="s">
        <v>48</v>
      </c>
      <c r="J1223" t="s">
        <v>26</v>
      </c>
      <c r="K1223" t="s">
        <v>50</v>
      </c>
      <c r="L1223" t="s">
        <v>28</v>
      </c>
      <c r="M1223">
        <v>1000.01</v>
      </c>
      <c r="N1223">
        <v>2020</v>
      </c>
      <c r="O1223">
        <v>5</v>
      </c>
    </row>
    <row r="1224" spans="1:15" x14ac:dyDescent="0.3">
      <c r="A1224" s="1">
        <v>43974</v>
      </c>
      <c r="B1224">
        <v>1000003926</v>
      </c>
      <c r="C1224" t="s">
        <v>23</v>
      </c>
      <c r="D1224">
        <v>4</v>
      </c>
      <c r="E1224">
        <v>56001.590000000004</v>
      </c>
      <c r="F1224" t="s">
        <v>16</v>
      </c>
      <c r="G1224" t="s">
        <v>24</v>
      </c>
      <c r="H1224" t="s">
        <v>47</v>
      </c>
      <c r="I1224" t="s">
        <v>48</v>
      </c>
      <c r="J1224" t="s">
        <v>26</v>
      </c>
      <c r="K1224" t="s">
        <v>50</v>
      </c>
      <c r="L1224" t="s">
        <v>28</v>
      </c>
      <c r="M1224">
        <v>14000.397499999999</v>
      </c>
      <c r="N1224">
        <v>2020</v>
      </c>
      <c r="O1224">
        <v>5</v>
      </c>
    </row>
    <row r="1225" spans="1:15" x14ac:dyDescent="0.3">
      <c r="A1225" s="1">
        <v>43974</v>
      </c>
      <c r="B1225">
        <v>1000004170</v>
      </c>
      <c r="C1225" t="s">
        <v>15</v>
      </c>
      <c r="D1225">
        <v>2</v>
      </c>
      <c r="E1225">
        <v>45000.56</v>
      </c>
      <c r="F1225" t="s">
        <v>16</v>
      </c>
      <c r="G1225" t="s">
        <v>17</v>
      </c>
      <c r="H1225" t="s">
        <v>18</v>
      </c>
      <c r="I1225" t="s">
        <v>34</v>
      </c>
      <c r="J1225" t="s">
        <v>20</v>
      </c>
      <c r="K1225" t="s">
        <v>44</v>
      </c>
      <c r="L1225" t="s">
        <v>28</v>
      </c>
      <c r="M1225">
        <v>22500.28</v>
      </c>
      <c r="N1225">
        <v>2020</v>
      </c>
      <c r="O1225">
        <v>5</v>
      </c>
    </row>
    <row r="1226" spans="1:15" x14ac:dyDescent="0.3">
      <c r="A1226" s="1">
        <v>43974</v>
      </c>
      <c r="B1226">
        <v>1000004256</v>
      </c>
      <c r="C1226" t="s">
        <v>42</v>
      </c>
      <c r="D1226">
        <v>2</v>
      </c>
      <c r="E1226">
        <v>44000.05</v>
      </c>
      <c r="F1226" t="s">
        <v>16</v>
      </c>
      <c r="G1226" t="s">
        <v>43</v>
      </c>
      <c r="H1226" t="s">
        <v>18</v>
      </c>
      <c r="I1226" t="s">
        <v>40</v>
      </c>
      <c r="J1226" t="s">
        <v>26</v>
      </c>
      <c r="K1226" t="s">
        <v>41</v>
      </c>
      <c r="L1226" t="s">
        <v>22</v>
      </c>
      <c r="M1226">
        <v>22000.025000000001</v>
      </c>
      <c r="N1226">
        <v>2020</v>
      </c>
      <c r="O1226">
        <v>5</v>
      </c>
    </row>
    <row r="1227" spans="1:15" x14ac:dyDescent="0.3">
      <c r="A1227" s="1">
        <v>43974</v>
      </c>
      <c r="B1227">
        <v>1000000104</v>
      </c>
      <c r="C1227" t="s">
        <v>23</v>
      </c>
      <c r="D1227">
        <v>3</v>
      </c>
      <c r="E1227">
        <v>40500.879999999997</v>
      </c>
      <c r="F1227" t="s">
        <v>16</v>
      </c>
      <c r="G1227" t="s">
        <v>24</v>
      </c>
      <c r="H1227" t="s">
        <v>18</v>
      </c>
      <c r="I1227" t="s">
        <v>40</v>
      </c>
      <c r="J1227" t="s">
        <v>26</v>
      </c>
      <c r="K1227" t="s">
        <v>41</v>
      </c>
      <c r="L1227" t="s">
        <v>22</v>
      </c>
      <c r="M1227">
        <v>13500.293333333331</v>
      </c>
      <c r="N1227">
        <v>2020</v>
      </c>
      <c r="O1227">
        <v>5</v>
      </c>
    </row>
    <row r="1228" spans="1:15" x14ac:dyDescent="0.3">
      <c r="A1228" s="1">
        <v>43974</v>
      </c>
      <c r="B1228">
        <v>1000008239</v>
      </c>
      <c r="C1228" t="s">
        <v>15</v>
      </c>
      <c r="D1228">
        <v>3</v>
      </c>
      <c r="E1228">
        <v>39001.24</v>
      </c>
      <c r="F1228" t="s">
        <v>16</v>
      </c>
      <c r="G1228" t="s">
        <v>17</v>
      </c>
      <c r="H1228" t="s">
        <v>18</v>
      </c>
      <c r="I1228" t="s">
        <v>61</v>
      </c>
      <c r="J1228" t="s">
        <v>26</v>
      </c>
      <c r="K1228" t="s">
        <v>62</v>
      </c>
      <c r="L1228" t="s">
        <v>28</v>
      </c>
      <c r="M1228">
        <v>13000.413333333332</v>
      </c>
      <c r="N1228">
        <v>2020</v>
      </c>
      <c r="O1228">
        <v>5</v>
      </c>
    </row>
    <row r="1229" spans="1:15" x14ac:dyDescent="0.3">
      <c r="A1229" s="1">
        <v>43974</v>
      </c>
      <c r="B1229">
        <v>1000000040</v>
      </c>
      <c r="C1229" t="s">
        <v>15</v>
      </c>
      <c r="D1229">
        <v>2</v>
      </c>
      <c r="E1229">
        <v>36001.160000000003</v>
      </c>
      <c r="F1229" t="s">
        <v>16</v>
      </c>
      <c r="G1229" t="s">
        <v>17</v>
      </c>
      <c r="H1229" t="s">
        <v>30</v>
      </c>
      <c r="I1229" t="s">
        <v>31</v>
      </c>
      <c r="J1229" t="s">
        <v>32</v>
      </c>
      <c r="K1229" t="s">
        <v>33</v>
      </c>
      <c r="L1229" t="s">
        <v>28</v>
      </c>
      <c r="M1229">
        <v>18000.580000000002</v>
      </c>
      <c r="N1229">
        <v>2020</v>
      </c>
      <c r="O1229">
        <v>5</v>
      </c>
    </row>
    <row r="1230" spans="1:15" x14ac:dyDescent="0.3">
      <c r="A1230" s="1">
        <v>43974</v>
      </c>
      <c r="B1230">
        <v>1000000028</v>
      </c>
      <c r="C1230" t="s">
        <v>15</v>
      </c>
      <c r="D1230">
        <v>2</v>
      </c>
      <c r="E1230">
        <v>31000.92</v>
      </c>
      <c r="F1230" t="s">
        <v>16</v>
      </c>
      <c r="G1230" t="s">
        <v>17</v>
      </c>
      <c r="H1230" t="s">
        <v>18</v>
      </c>
      <c r="I1230" t="s">
        <v>19</v>
      </c>
      <c r="J1230" t="s">
        <v>20</v>
      </c>
      <c r="K1230" t="s">
        <v>21</v>
      </c>
      <c r="L1230" t="s">
        <v>22</v>
      </c>
      <c r="M1230">
        <v>15500.46</v>
      </c>
      <c r="N1230">
        <v>2020</v>
      </c>
      <c r="O1230">
        <v>5</v>
      </c>
    </row>
    <row r="1231" spans="1:15" x14ac:dyDescent="0.3">
      <c r="A1231" s="1">
        <v>43974</v>
      </c>
      <c r="B1231">
        <v>1000000566</v>
      </c>
      <c r="C1231" t="s">
        <v>23</v>
      </c>
      <c r="D1231">
        <v>3</v>
      </c>
      <c r="E1231">
        <v>30501.05</v>
      </c>
      <c r="F1231" t="s">
        <v>16</v>
      </c>
      <c r="G1231" t="s">
        <v>24</v>
      </c>
      <c r="H1231" t="s">
        <v>47</v>
      </c>
      <c r="I1231" t="s">
        <v>48</v>
      </c>
      <c r="J1231" t="s">
        <v>36</v>
      </c>
      <c r="K1231" t="s">
        <v>49</v>
      </c>
      <c r="L1231" t="s">
        <v>22</v>
      </c>
      <c r="M1231">
        <v>10167.016666666666</v>
      </c>
      <c r="N1231">
        <v>2020</v>
      </c>
      <c r="O1231">
        <v>5</v>
      </c>
    </row>
    <row r="1232" spans="1:15" x14ac:dyDescent="0.3">
      <c r="A1232" s="1">
        <v>43974</v>
      </c>
      <c r="B1232">
        <v>1000007197</v>
      </c>
      <c r="C1232" t="s">
        <v>15</v>
      </c>
      <c r="D1232">
        <v>3</v>
      </c>
      <c r="E1232">
        <v>30000.77</v>
      </c>
      <c r="F1232" t="s">
        <v>16</v>
      </c>
      <c r="G1232" t="s">
        <v>17</v>
      </c>
      <c r="H1232" t="s">
        <v>18</v>
      </c>
      <c r="I1232" t="s">
        <v>40</v>
      </c>
      <c r="J1232" t="s">
        <v>26</v>
      </c>
      <c r="K1232" t="s">
        <v>41</v>
      </c>
      <c r="L1232" t="s">
        <v>22</v>
      </c>
      <c r="M1232">
        <v>10000.256666666666</v>
      </c>
      <c r="N1232">
        <v>2020</v>
      </c>
      <c r="O1232">
        <v>5</v>
      </c>
    </row>
    <row r="1233" spans="1:15" x14ac:dyDescent="0.3">
      <c r="A1233" s="1">
        <v>43974</v>
      </c>
      <c r="B1233">
        <v>1000004256</v>
      </c>
      <c r="C1233" t="s">
        <v>15</v>
      </c>
      <c r="D1233">
        <v>2</v>
      </c>
      <c r="E1233">
        <v>29000.84</v>
      </c>
      <c r="F1233" t="s">
        <v>16</v>
      </c>
      <c r="G1233" t="s">
        <v>17</v>
      </c>
      <c r="H1233" t="s">
        <v>18</v>
      </c>
      <c r="I1233" t="s">
        <v>40</v>
      </c>
      <c r="J1233" t="s">
        <v>26</v>
      </c>
      <c r="K1233" t="s">
        <v>41</v>
      </c>
      <c r="L1233" t="s">
        <v>22</v>
      </c>
      <c r="M1233">
        <v>14500.42</v>
      </c>
      <c r="N1233">
        <v>2020</v>
      </c>
      <c r="O1233">
        <v>5</v>
      </c>
    </row>
    <row r="1234" spans="1:15" x14ac:dyDescent="0.3">
      <c r="A1234" s="1">
        <v>43974</v>
      </c>
      <c r="B1234">
        <v>1000000034</v>
      </c>
      <c r="C1234" t="s">
        <v>15</v>
      </c>
      <c r="D1234">
        <v>2</v>
      </c>
      <c r="E1234">
        <v>27000.78</v>
      </c>
      <c r="F1234" t="s">
        <v>16</v>
      </c>
      <c r="G1234" t="s">
        <v>17</v>
      </c>
      <c r="H1234" t="s">
        <v>18</v>
      </c>
      <c r="I1234" t="s">
        <v>25</v>
      </c>
      <c r="J1234" t="s">
        <v>26</v>
      </c>
      <c r="K1234" t="s">
        <v>27</v>
      </c>
      <c r="L1234" t="s">
        <v>22</v>
      </c>
      <c r="M1234">
        <v>13500.39</v>
      </c>
      <c r="N1234">
        <v>2020</v>
      </c>
      <c r="O1234">
        <v>5</v>
      </c>
    </row>
    <row r="1235" spans="1:15" x14ac:dyDescent="0.3">
      <c r="A1235" s="1">
        <v>43974</v>
      </c>
      <c r="B1235">
        <v>1000000054</v>
      </c>
      <c r="C1235" t="s">
        <v>23</v>
      </c>
      <c r="D1235">
        <v>1</v>
      </c>
      <c r="E1235">
        <v>22000.67</v>
      </c>
      <c r="F1235" t="s">
        <v>16</v>
      </c>
      <c r="G1235" t="s">
        <v>24</v>
      </c>
      <c r="H1235" t="s">
        <v>18</v>
      </c>
      <c r="I1235" t="s">
        <v>34</v>
      </c>
      <c r="J1235" t="s">
        <v>26</v>
      </c>
      <c r="K1235" t="s">
        <v>35</v>
      </c>
      <c r="L1235" t="s">
        <v>22</v>
      </c>
      <c r="M1235">
        <v>22000.67</v>
      </c>
      <c r="N1235">
        <v>2020</v>
      </c>
      <c r="O1235">
        <v>5</v>
      </c>
    </row>
    <row r="1236" spans="1:15" x14ac:dyDescent="0.3">
      <c r="A1236" s="1">
        <v>43974</v>
      </c>
      <c r="B1236">
        <v>1000006859</v>
      </c>
      <c r="C1236" t="s">
        <v>23</v>
      </c>
      <c r="D1236">
        <v>1</v>
      </c>
      <c r="E1236">
        <v>22000.400000000001</v>
      </c>
      <c r="F1236" t="s">
        <v>16</v>
      </c>
      <c r="G1236" t="s">
        <v>24</v>
      </c>
      <c r="H1236" t="s">
        <v>18</v>
      </c>
      <c r="I1236" t="s">
        <v>61</v>
      </c>
      <c r="J1236" t="s">
        <v>26</v>
      </c>
      <c r="K1236" t="s">
        <v>62</v>
      </c>
      <c r="L1236" t="s">
        <v>22</v>
      </c>
      <c r="M1236">
        <v>22000.400000000001</v>
      </c>
      <c r="N1236">
        <v>2020</v>
      </c>
      <c r="O1236">
        <v>5</v>
      </c>
    </row>
    <row r="1237" spans="1:15" x14ac:dyDescent="0.3">
      <c r="A1237" s="1">
        <v>43974</v>
      </c>
      <c r="B1237">
        <v>1000005873</v>
      </c>
      <c r="C1237" t="s">
        <v>42</v>
      </c>
      <c r="D1237">
        <v>1</v>
      </c>
      <c r="E1237">
        <v>22000.29</v>
      </c>
      <c r="F1237" t="s">
        <v>16</v>
      </c>
      <c r="G1237" t="s">
        <v>43</v>
      </c>
      <c r="H1237" t="s">
        <v>18</v>
      </c>
      <c r="I1237" t="s">
        <v>19</v>
      </c>
      <c r="J1237" t="s">
        <v>20</v>
      </c>
      <c r="K1237" t="s">
        <v>21</v>
      </c>
      <c r="L1237" t="s">
        <v>28</v>
      </c>
      <c r="M1237">
        <v>22000.29</v>
      </c>
      <c r="N1237">
        <v>2020</v>
      </c>
      <c r="O1237">
        <v>5</v>
      </c>
    </row>
    <row r="1238" spans="1:15" x14ac:dyDescent="0.3">
      <c r="A1238" s="1">
        <v>43974</v>
      </c>
      <c r="B1238">
        <v>1000000566</v>
      </c>
      <c r="C1238" t="s">
        <v>42</v>
      </c>
      <c r="D1238">
        <v>1</v>
      </c>
      <c r="E1238">
        <v>20000.509999999998</v>
      </c>
      <c r="F1238" t="s">
        <v>16</v>
      </c>
      <c r="G1238" t="s">
        <v>43</v>
      </c>
      <c r="H1238" t="s">
        <v>47</v>
      </c>
      <c r="I1238" t="s">
        <v>48</v>
      </c>
      <c r="J1238" t="s">
        <v>36</v>
      </c>
      <c r="K1238" t="s">
        <v>49</v>
      </c>
      <c r="L1238" t="s">
        <v>22</v>
      </c>
      <c r="M1238">
        <v>20000.509999999998</v>
      </c>
      <c r="N1238">
        <v>2020</v>
      </c>
      <c r="O1238">
        <v>5</v>
      </c>
    </row>
    <row r="1239" spans="1:15" x14ac:dyDescent="0.3">
      <c r="A1239" s="1">
        <v>43974</v>
      </c>
      <c r="B1239">
        <v>1000000104</v>
      </c>
      <c r="C1239" t="s">
        <v>15</v>
      </c>
      <c r="D1239">
        <v>1</v>
      </c>
      <c r="E1239">
        <v>20000.27</v>
      </c>
      <c r="F1239" t="s">
        <v>16</v>
      </c>
      <c r="G1239" t="s">
        <v>17</v>
      </c>
      <c r="H1239" t="s">
        <v>18</v>
      </c>
      <c r="I1239" t="s">
        <v>40</v>
      </c>
      <c r="J1239" t="s">
        <v>26</v>
      </c>
      <c r="K1239" t="s">
        <v>41</v>
      </c>
      <c r="L1239" t="s">
        <v>22</v>
      </c>
      <c r="M1239">
        <v>20000.27</v>
      </c>
      <c r="N1239">
        <v>2020</v>
      </c>
      <c r="O1239">
        <v>5</v>
      </c>
    </row>
    <row r="1240" spans="1:15" x14ac:dyDescent="0.3">
      <c r="A1240" s="1">
        <v>43974</v>
      </c>
      <c r="B1240">
        <v>1000000033</v>
      </c>
      <c r="C1240" t="s">
        <v>15</v>
      </c>
      <c r="D1240">
        <v>2</v>
      </c>
      <c r="E1240">
        <v>18000.71</v>
      </c>
      <c r="F1240" t="s">
        <v>16</v>
      </c>
      <c r="G1240" t="s">
        <v>17</v>
      </c>
      <c r="H1240" t="s">
        <v>18</v>
      </c>
      <c r="I1240" t="s">
        <v>25</v>
      </c>
      <c r="J1240" t="s">
        <v>26</v>
      </c>
      <c r="K1240" t="s">
        <v>27</v>
      </c>
      <c r="L1240" t="s">
        <v>22</v>
      </c>
      <c r="M1240">
        <v>9000.3549999999996</v>
      </c>
      <c r="N1240">
        <v>2020</v>
      </c>
      <c r="O1240">
        <v>5</v>
      </c>
    </row>
    <row r="1241" spans="1:15" x14ac:dyDescent="0.3">
      <c r="A1241" s="1">
        <v>43974</v>
      </c>
      <c r="B1241">
        <v>1000000045</v>
      </c>
      <c r="C1241" t="s">
        <v>42</v>
      </c>
      <c r="D1241">
        <v>1</v>
      </c>
      <c r="E1241">
        <v>18000.62</v>
      </c>
      <c r="F1241" t="s">
        <v>16</v>
      </c>
      <c r="G1241" t="s">
        <v>43</v>
      </c>
      <c r="H1241" t="s">
        <v>47</v>
      </c>
      <c r="I1241" t="s">
        <v>59</v>
      </c>
      <c r="J1241" t="s">
        <v>26</v>
      </c>
      <c r="K1241" t="s">
        <v>60</v>
      </c>
      <c r="L1241" t="s">
        <v>22</v>
      </c>
      <c r="M1241">
        <v>18000.62</v>
      </c>
      <c r="N1241">
        <v>2020</v>
      </c>
      <c r="O1241">
        <v>5</v>
      </c>
    </row>
    <row r="1242" spans="1:15" x14ac:dyDescent="0.3">
      <c r="A1242" s="1">
        <v>43974</v>
      </c>
      <c r="B1242">
        <v>1000006867</v>
      </c>
      <c r="C1242" t="s">
        <v>23</v>
      </c>
      <c r="D1242">
        <v>1</v>
      </c>
      <c r="E1242">
        <v>17000.57</v>
      </c>
      <c r="F1242" t="s">
        <v>16</v>
      </c>
      <c r="G1242" t="s">
        <v>24</v>
      </c>
      <c r="H1242" t="s">
        <v>18</v>
      </c>
      <c r="I1242" t="s">
        <v>61</v>
      </c>
      <c r="J1242" t="s">
        <v>26</v>
      </c>
      <c r="K1242" t="s">
        <v>62</v>
      </c>
      <c r="L1242" t="s">
        <v>22</v>
      </c>
      <c r="M1242">
        <v>17000.57</v>
      </c>
      <c r="N1242">
        <v>2020</v>
      </c>
      <c r="O1242">
        <v>5</v>
      </c>
    </row>
    <row r="1243" spans="1:15" x14ac:dyDescent="0.3">
      <c r="A1243" s="1">
        <v>43974</v>
      </c>
      <c r="B1243">
        <v>1000000928</v>
      </c>
      <c r="C1243" t="s">
        <v>42</v>
      </c>
      <c r="D1243">
        <v>1</v>
      </c>
      <c r="E1243">
        <v>17000.53</v>
      </c>
      <c r="F1243" t="s">
        <v>16</v>
      </c>
      <c r="G1243" t="s">
        <v>43</v>
      </c>
      <c r="H1243" t="s">
        <v>30</v>
      </c>
      <c r="I1243" t="s">
        <v>57</v>
      </c>
      <c r="J1243" t="s">
        <v>26</v>
      </c>
      <c r="K1243" t="s">
        <v>58</v>
      </c>
      <c r="L1243" t="s">
        <v>22</v>
      </c>
      <c r="M1243">
        <v>17000.53</v>
      </c>
      <c r="N1243">
        <v>2020</v>
      </c>
      <c r="O1243">
        <v>5</v>
      </c>
    </row>
    <row r="1244" spans="1:15" x14ac:dyDescent="0.3">
      <c r="A1244" s="1">
        <v>43974</v>
      </c>
      <c r="B1244">
        <v>1000000046</v>
      </c>
      <c r="C1244" t="s">
        <v>23</v>
      </c>
      <c r="D1244">
        <v>3</v>
      </c>
      <c r="E1244">
        <v>16600.89</v>
      </c>
      <c r="F1244" t="s">
        <v>16</v>
      </c>
      <c r="G1244" t="s">
        <v>24</v>
      </c>
      <c r="H1244" t="s">
        <v>30</v>
      </c>
      <c r="I1244" t="s">
        <v>38</v>
      </c>
      <c r="J1244" t="s">
        <v>26</v>
      </c>
      <c r="K1244" t="s">
        <v>39</v>
      </c>
      <c r="L1244" t="s">
        <v>22</v>
      </c>
      <c r="M1244">
        <v>5533.63</v>
      </c>
      <c r="N1244">
        <v>2020</v>
      </c>
      <c r="O1244">
        <v>5</v>
      </c>
    </row>
    <row r="1245" spans="1:15" x14ac:dyDescent="0.3">
      <c r="A1245" s="1">
        <v>43974</v>
      </c>
      <c r="B1245">
        <v>1000000928</v>
      </c>
      <c r="C1245" t="s">
        <v>15</v>
      </c>
      <c r="D1245">
        <v>1</v>
      </c>
      <c r="E1245">
        <v>16000.73</v>
      </c>
      <c r="F1245" t="s">
        <v>16</v>
      </c>
      <c r="G1245" t="s">
        <v>17</v>
      </c>
      <c r="H1245" t="s">
        <v>30</v>
      </c>
      <c r="I1245" t="s">
        <v>57</v>
      </c>
      <c r="J1245" t="s">
        <v>26</v>
      </c>
      <c r="K1245" t="s">
        <v>58</v>
      </c>
      <c r="L1245" t="s">
        <v>22</v>
      </c>
      <c r="M1245">
        <v>16000.73</v>
      </c>
      <c r="N1245">
        <v>2020</v>
      </c>
      <c r="O1245">
        <v>5</v>
      </c>
    </row>
    <row r="1246" spans="1:15" x14ac:dyDescent="0.3">
      <c r="A1246" s="1">
        <v>43974</v>
      </c>
      <c r="B1246">
        <v>1000000030</v>
      </c>
      <c r="C1246" t="s">
        <v>42</v>
      </c>
      <c r="D1246">
        <v>1</v>
      </c>
      <c r="E1246">
        <v>16000.5</v>
      </c>
      <c r="F1246" t="s">
        <v>16</v>
      </c>
      <c r="G1246" t="s">
        <v>43</v>
      </c>
      <c r="H1246" t="s">
        <v>47</v>
      </c>
      <c r="I1246" t="s">
        <v>48</v>
      </c>
      <c r="J1246" t="s">
        <v>36</v>
      </c>
      <c r="K1246" t="s">
        <v>49</v>
      </c>
      <c r="L1246" t="s">
        <v>22</v>
      </c>
      <c r="M1246">
        <v>16000.5</v>
      </c>
      <c r="N1246">
        <v>2020</v>
      </c>
      <c r="O1246">
        <v>5</v>
      </c>
    </row>
    <row r="1247" spans="1:15" x14ac:dyDescent="0.3">
      <c r="A1247" s="1">
        <v>43974</v>
      </c>
      <c r="B1247">
        <v>1000000050</v>
      </c>
      <c r="C1247" t="s">
        <v>42</v>
      </c>
      <c r="D1247">
        <v>1</v>
      </c>
      <c r="E1247">
        <v>16000.4</v>
      </c>
      <c r="F1247" t="s">
        <v>16</v>
      </c>
      <c r="G1247" t="s">
        <v>43</v>
      </c>
      <c r="H1247" t="s">
        <v>18</v>
      </c>
      <c r="I1247" t="s">
        <v>40</v>
      </c>
      <c r="J1247" t="s">
        <v>26</v>
      </c>
      <c r="K1247" t="s">
        <v>41</v>
      </c>
      <c r="L1247" t="s">
        <v>22</v>
      </c>
      <c r="M1247">
        <v>16000.4</v>
      </c>
      <c r="N1247">
        <v>2020</v>
      </c>
      <c r="O1247">
        <v>5</v>
      </c>
    </row>
    <row r="1248" spans="1:15" x14ac:dyDescent="0.3">
      <c r="A1248" s="1">
        <v>43974</v>
      </c>
      <c r="B1248">
        <v>1000000104</v>
      </c>
      <c r="C1248" t="s">
        <v>42</v>
      </c>
      <c r="D1248">
        <v>1</v>
      </c>
      <c r="E1248">
        <v>14000.03</v>
      </c>
      <c r="F1248" t="s">
        <v>16</v>
      </c>
      <c r="G1248" t="s">
        <v>43</v>
      </c>
      <c r="H1248" t="s">
        <v>18</v>
      </c>
      <c r="I1248" t="s">
        <v>40</v>
      </c>
      <c r="J1248" t="s">
        <v>26</v>
      </c>
      <c r="K1248" t="s">
        <v>41</v>
      </c>
      <c r="L1248" t="s">
        <v>22</v>
      </c>
      <c r="M1248">
        <v>14000.03</v>
      </c>
      <c r="N1248">
        <v>2020</v>
      </c>
      <c r="O1248">
        <v>5</v>
      </c>
    </row>
    <row r="1249" spans="1:15" x14ac:dyDescent="0.3">
      <c r="A1249" s="1">
        <v>43974</v>
      </c>
      <c r="B1249">
        <v>1000000029</v>
      </c>
      <c r="C1249" t="s">
        <v>23</v>
      </c>
      <c r="D1249">
        <v>2</v>
      </c>
      <c r="E1249">
        <v>13000.470000000001</v>
      </c>
      <c r="F1249" t="s">
        <v>16</v>
      </c>
      <c r="G1249" t="s">
        <v>24</v>
      </c>
      <c r="H1249" t="s">
        <v>18</v>
      </c>
      <c r="I1249" t="s">
        <v>19</v>
      </c>
      <c r="J1249" t="s">
        <v>20</v>
      </c>
      <c r="K1249" t="s">
        <v>21</v>
      </c>
      <c r="L1249" t="s">
        <v>22</v>
      </c>
      <c r="M1249">
        <v>6500.2350000000006</v>
      </c>
      <c r="N1249">
        <v>2020</v>
      </c>
      <c r="O1249">
        <v>5</v>
      </c>
    </row>
    <row r="1250" spans="1:15" x14ac:dyDescent="0.3">
      <c r="A1250" s="1">
        <v>43974</v>
      </c>
      <c r="B1250">
        <v>1000000045</v>
      </c>
      <c r="C1250" t="s">
        <v>23</v>
      </c>
      <c r="D1250">
        <v>1</v>
      </c>
      <c r="E1250">
        <v>13000.26</v>
      </c>
      <c r="F1250" t="s">
        <v>16</v>
      </c>
      <c r="G1250" t="s">
        <v>24</v>
      </c>
      <c r="H1250" t="s">
        <v>47</v>
      </c>
      <c r="I1250" t="s">
        <v>59</v>
      </c>
      <c r="J1250" t="s">
        <v>26</v>
      </c>
      <c r="K1250" t="s">
        <v>60</v>
      </c>
      <c r="L1250" t="s">
        <v>22</v>
      </c>
      <c r="M1250">
        <v>13000.26</v>
      </c>
      <c r="N1250">
        <v>2020</v>
      </c>
      <c r="O1250">
        <v>5</v>
      </c>
    </row>
    <row r="1251" spans="1:15" x14ac:dyDescent="0.3">
      <c r="A1251" s="1">
        <v>43974</v>
      </c>
      <c r="B1251">
        <v>1000000035</v>
      </c>
      <c r="C1251" t="s">
        <v>15</v>
      </c>
      <c r="D1251">
        <v>1</v>
      </c>
      <c r="E1251">
        <v>13000.15</v>
      </c>
      <c r="F1251" t="s">
        <v>16</v>
      </c>
      <c r="G1251" t="s">
        <v>17</v>
      </c>
      <c r="H1251" t="s">
        <v>18</v>
      </c>
      <c r="I1251" t="s">
        <v>25</v>
      </c>
      <c r="J1251" t="s">
        <v>36</v>
      </c>
      <c r="K1251" t="s">
        <v>37</v>
      </c>
      <c r="L1251" t="s">
        <v>22</v>
      </c>
      <c r="M1251">
        <v>13000.15</v>
      </c>
      <c r="N1251">
        <v>2020</v>
      </c>
      <c r="O1251">
        <v>5</v>
      </c>
    </row>
    <row r="1252" spans="1:15" x14ac:dyDescent="0.3">
      <c r="A1252" s="1">
        <v>43974</v>
      </c>
      <c r="B1252">
        <v>1000003489</v>
      </c>
      <c r="C1252" t="s">
        <v>15</v>
      </c>
      <c r="D1252">
        <v>1</v>
      </c>
      <c r="E1252">
        <v>12000.5</v>
      </c>
      <c r="F1252" t="s">
        <v>16</v>
      </c>
      <c r="G1252" t="s">
        <v>17</v>
      </c>
      <c r="H1252" t="s">
        <v>47</v>
      </c>
      <c r="I1252" t="s">
        <v>48</v>
      </c>
      <c r="J1252" t="s">
        <v>26</v>
      </c>
      <c r="K1252" t="s">
        <v>50</v>
      </c>
      <c r="L1252" t="s">
        <v>22</v>
      </c>
      <c r="M1252">
        <v>12000.5</v>
      </c>
      <c r="N1252">
        <v>2020</v>
      </c>
      <c r="O1252">
        <v>5</v>
      </c>
    </row>
    <row r="1253" spans="1:15" x14ac:dyDescent="0.3">
      <c r="A1253" s="1">
        <v>43974</v>
      </c>
      <c r="B1253">
        <v>1000000041</v>
      </c>
      <c r="C1253" t="s">
        <v>23</v>
      </c>
      <c r="D1253">
        <v>1</v>
      </c>
      <c r="E1253">
        <v>11000.65</v>
      </c>
      <c r="F1253" t="s">
        <v>16</v>
      </c>
      <c r="G1253" t="s">
        <v>24</v>
      </c>
      <c r="H1253" t="s">
        <v>30</v>
      </c>
      <c r="I1253" t="s">
        <v>31</v>
      </c>
      <c r="J1253" t="s">
        <v>32</v>
      </c>
      <c r="K1253" t="s">
        <v>33</v>
      </c>
      <c r="L1253" t="s">
        <v>22</v>
      </c>
      <c r="M1253">
        <v>11000.65</v>
      </c>
      <c r="N1253">
        <v>2020</v>
      </c>
      <c r="O1253">
        <v>5</v>
      </c>
    </row>
    <row r="1254" spans="1:15" x14ac:dyDescent="0.3">
      <c r="A1254" s="1">
        <v>43974</v>
      </c>
      <c r="B1254">
        <v>1000000031</v>
      </c>
      <c r="C1254" t="s">
        <v>42</v>
      </c>
      <c r="D1254">
        <v>2</v>
      </c>
      <c r="E1254">
        <v>10738.320000000002</v>
      </c>
      <c r="F1254" t="s">
        <v>16</v>
      </c>
      <c r="G1254" t="s">
        <v>43</v>
      </c>
      <c r="H1254" t="s">
        <v>18</v>
      </c>
      <c r="I1254" t="s">
        <v>19</v>
      </c>
      <c r="J1254" t="s">
        <v>26</v>
      </c>
      <c r="K1254" t="s">
        <v>29</v>
      </c>
      <c r="L1254" t="s">
        <v>28</v>
      </c>
      <c r="M1254">
        <v>5369.1600000000008</v>
      </c>
      <c r="N1254">
        <v>2020</v>
      </c>
      <c r="O1254">
        <v>5</v>
      </c>
    </row>
    <row r="1255" spans="1:15" x14ac:dyDescent="0.3">
      <c r="A1255" s="1">
        <v>43974</v>
      </c>
      <c r="B1255">
        <v>1000003989</v>
      </c>
      <c r="C1255" t="s">
        <v>15</v>
      </c>
      <c r="D1255">
        <v>1</v>
      </c>
      <c r="E1255">
        <v>10000.69</v>
      </c>
      <c r="F1255" t="s">
        <v>16</v>
      </c>
      <c r="G1255" t="s">
        <v>17</v>
      </c>
      <c r="H1255" t="s">
        <v>30</v>
      </c>
      <c r="I1255" t="s">
        <v>31</v>
      </c>
      <c r="J1255" t="s">
        <v>36</v>
      </c>
      <c r="K1255" t="s">
        <v>52</v>
      </c>
      <c r="L1255" t="s">
        <v>22</v>
      </c>
      <c r="M1255">
        <v>10000.69</v>
      </c>
      <c r="N1255">
        <v>2020</v>
      </c>
      <c r="O1255">
        <v>5</v>
      </c>
    </row>
    <row r="1256" spans="1:15" x14ac:dyDescent="0.3">
      <c r="A1256" s="1">
        <v>43974</v>
      </c>
      <c r="B1256">
        <v>1000000031</v>
      </c>
      <c r="C1256" t="s">
        <v>15</v>
      </c>
      <c r="D1256">
        <v>1</v>
      </c>
      <c r="E1256">
        <v>10000.68</v>
      </c>
      <c r="F1256" t="s">
        <v>16</v>
      </c>
      <c r="G1256" t="s">
        <v>17</v>
      </c>
      <c r="H1256" t="s">
        <v>18</v>
      </c>
      <c r="I1256" t="s">
        <v>19</v>
      </c>
      <c r="J1256" t="s">
        <v>26</v>
      </c>
      <c r="K1256" t="s">
        <v>29</v>
      </c>
      <c r="L1256" t="s">
        <v>28</v>
      </c>
      <c r="M1256">
        <v>10000.68</v>
      </c>
      <c r="N1256">
        <v>2020</v>
      </c>
      <c r="O1256">
        <v>5</v>
      </c>
    </row>
    <row r="1257" spans="1:15" x14ac:dyDescent="0.3">
      <c r="A1257" s="1">
        <v>43974</v>
      </c>
      <c r="B1257">
        <v>1000007197</v>
      </c>
      <c r="C1257" t="s">
        <v>23</v>
      </c>
      <c r="D1257">
        <v>1</v>
      </c>
      <c r="E1257">
        <v>10000.66</v>
      </c>
      <c r="F1257" t="s">
        <v>16</v>
      </c>
      <c r="G1257" t="s">
        <v>24</v>
      </c>
      <c r="H1257" t="s">
        <v>18</v>
      </c>
      <c r="I1257" t="s">
        <v>40</v>
      </c>
      <c r="J1257" t="s">
        <v>26</v>
      </c>
      <c r="K1257" t="s">
        <v>41</v>
      </c>
      <c r="L1257" t="s">
        <v>22</v>
      </c>
      <c r="M1257">
        <v>10000.66</v>
      </c>
      <c r="N1257">
        <v>2020</v>
      </c>
      <c r="O1257">
        <v>5</v>
      </c>
    </row>
    <row r="1258" spans="1:15" x14ac:dyDescent="0.3">
      <c r="A1258" s="1">
        <v>43974</v>
      </c>
      <c r="B1258">
        <v>1000000044</v>
      </c>
      <c r="C1258" t="s">
        <v>23</v>
      </c>
      <c r="D1258">
        <v>1</v>
      </c>
      <c r="E1258">
        <v>10000.370000000001</v>
      </c>
      <c r="F1258" t="s">
        <v>16</v>
      </c>
      <c r="G1258" t="s">
        <v>24</v>
      </c>
      <c r="H1258" t="s">
        <v>30</v>
      </c>
      <c r="I1258" t="s">
        <v>31</v>
      </c>
      <c r="J1258" t="s">
        <v>36</v>
      </c>
      <c r="K1258" t="s">
        <v>52</v>
      </c>
      <c r="L1258" t="s">
        <v>28</v>
      </c>
      <c r="M1258">
        <v>10000.370000000001</v>
      </c>
      <c r="N1258">
        <v>2020</v>
      </c>
      <c r="O1258">
        <v>5</v>
      </c>
    </row>
    <row r="1259" spans="1:15" x14ac:dyDescent="0.3">
      <c r="A1259" s="1">
        <v>43974</v>
      </c>
      <c r="B1259">
        <v>1000003489</v>
      </c>
      <c r="C1259" t="s">
        <v>23</v>
      </c>
      <c r="D1259">
        <v>1</v>
      </c>
      <c r="E1259">
        <v>10000.36</v>
      </c>
      <c r="F1259" t="s">
        <v>16</v>
      </c>
      <c r="G1259" t="s">
        <v>24</v>
      </c>
      <c r="H1259" t="s">
        <v>47</v>
      </c>
      <c r="I1259" t="s">
        <v>48</v>
      </c>
      <c r="J1259" t="s">
        <v>26</v>
      </c>
      <c r="K1259" t="s">
        <v>50</v>
      </c>
      <c r="L1259" t="s">
        <v>22</v>
      </c>
      <c r="M1259">
        <v>10000.36</v>
      </c>
      <c r="N1259">
        <v>2020</v>
      </c>
      <c r="O1259">
        <v>5</v>
      </c>
    </row>
    <row r="1260" spans="1:15" x14ac:dyDescent="0.3">
      <c r="A1260" s="1">
        <v>43974</v>
      </c>
      <c r="B1260">
        <v>1000003803</v>
      </c>
      <c r="C1260" t="s">
        <v>15</v>
      </c>
      <c r="D1260">
        <v>1</v>
      </c>
      <c r="E1260">
        <v>10000.33</v>
      </c>
      <c r="F1260" t="s">
        <v>16</v>
      </c>
      <c r="G1260" t="s">
        <v>17</v>
      </c>
      <c r="H1260" t="s">
        <v>30</v>
      </c>
      <c r="I1260" t="s">
        <v>31</v>
      </c>
      <c r="J1260" t="s">
        <v>36</v>
      </c>
      <c r="K1260" t="s">
        <v>52</v>
      </c>
      <c r="L1260" t="s">
        <v>22</v>
      </c>
      <c r="M1260">
        <v>10000.33</v>
      </c>
      <c r="N1260">
        <v>2020</v>
      </c>
      <c r="O1260">
        <v>5</v>
      </c>
    </row>
    <row r="1261" spans="1:15" x14ac:dyDescent="0.3">
      <c r="A1261" s="1">
        <v>43974</v>
      </c>
      <c r="B1261">
        <v>1000000036</v>
      </c>
      <c r="C1261" t="s">
        <v>23</v>
      </c>
      <c r="D1261">
        <v>1</v>
      </c>
      <c r="E1261">
        <v>10000.030000000001</v>
      </c>
      <c r="F1261" t="s">
        <v>16</v>
      </c>
      <c r="G1261" t="s">
        <v>24</v>
      </c>
      <c r="H1261" t="s">
        <v>47</v>
      </c>
      <c r="I1261" t="s">
        <v>48</v>
      </c>
      <c r="J1261" t="s">
        <v>36</v>
      </c>
      <c r="K1261" t="s">
        <v>49</v>
      </c>
      <c r="L1261" t="s">
        <v>28</v>
      </c>
      <c r="M1261">
        <v>10000.030000000001</v>
      </c>
      <c r="N1261">
        <v>2020</v>
      </c>
      <c r="O1261">
        <v>5</v>
      </c>
    </row>
    <row r="1262" spans="1:15" x14ac:dyDescent="0.3">
      <c r="A1262" s="1">
        <v>43974</v>
      </c>
      <c r="B1262">
        <v>1000000031</v>
      </c>
      <c r="C1262" t="s">
        <v>23</v>
      </c>
      <c r="D1262">
        <v>1</v>
      </c>
      <c r="E1262">
        <v>9000.76</v>
      </c>
      <c r="F1262" t="s">
        <v>16</v>
      </c>
      <c r="G1262" t="s">
        <v>24</v>
      </c>
      <c r="H1262" t="s">
        <v>18</v>
      </c>
      <c r="I1262" t="s">
        <v>19</v>
      </c>
      <c r="J1262" t="s">
        <v>26</v>
      </c>
      <c r="K1262" t="s">
        <v>29</v>
      </c>
      <c r="L1262" t="s">
        <v>28</v>
      </c>
      <c r="M1262">
        <v>9000.76</v>
      </c>
      <c r="N1262">
        <v>2020</v>
      </c>
      <c r="O1262">
        <v>5</v>
      </c>
    </row>
    <row r="1263" spans="1:15" x14ac:dyDescent="0.3">
      <c r="A1263" s="1">
        <v>43974</v>
      </c>
      <c r="B1263">
        <v>1000000056</v>
      </c>
      <c r="C1263" t="s">
        <v>23</v>
      </c>
      <c r="D1263">
        <v>2</v>
      </c>
      <c r="E1263">
        <v>8200.75</v>
      </c>
      <c r="F1263" t="s">
        <v>16</v>
      </c>
      <c r="G1263" t="s">
        <v>24</v>
      </c>
      <c r="H1263" t="s">
        <v>18</v>
      </c>
      <c r="I1263" t="s">
        <v>34</v>
      </c>
      <c r="J1263" t="s">
        <v>26</v>
      </c>
      <c r="K1263" t="s">
        <v>35</v>
      </c>
      <c r="L1263" t="s">
        <v>28</v>
      </c>
      <c r="M1263">
        <v>4100.375</v>
      </c>
      <c r="N1263">
        <v>2020</v>
      </c>
      <c r="O1263">
        <v>5</v>
      </c>
    </row>
    <row r="1264" spans="1:15" x14ac:dyDescent="0.3">
      <c r="A1264" s="1">
        <v>43974</v>
      </c>
      <c r="B1264">
        <v>1000003803</v>
      </c>
      <c r="C1264" t="s">
        <v>23</v>
      </c>
      <c r="D1264">
        <v>1</v>
      </c>
      <c r="E1264">
        <v>8000.3</v>
      </c>
      <c r="F1264" t="s">
        <v>16</v>
      </c>
      <c r="G1264" t="s">
        <v>24</v>
      </c>
      <c r="H1264" t="s">
        <v>30</v>
      </c>
      <c r="I1264" t="s">
        <v>31</v>
      </c>
      <c r="J1264" t="s">
        <v>36</v>
      </c>
      <c r="K1264" t="s">
        <v>52</v>
      </c>
      <c r="L1264" t="s">
        <v>22</v>
      </c>
      <c r="M1264">
        <v>8000.3</v>
      </c>
      <c r="N1264">
        <v>2020</v>
      </c>
      <c r="O1264">
        <v>5</v>
      </c>
    </row>
    <row r="1265" spans="1:15" x14ac:dyDescent="0.3">
      <c r="A1265" s="1">
        <v>43974</v>
      </c>
      <c r="B1265">
        <v>1000000034</v>
      </c>
      <c r="C1265" t="s">
        <v>23</v>
      </c>
      <c r="D1265">
        <v>1</v>
      </c>
      <c r="E1265">
        <v>7999.96</v>
      </c>
      <c r="F1265" t="s">
        <v>16</v>
      </c>
      <c r="G1265" t="s">
        <v>24</v>
      </c>
      <c r="H1265" t="s">
        <v>18</v>
      </c>
      <c r="I1265" t="s">
        <v>25</v>
      </c>
      <c r="J1265" t="s">
        <v>26</v>
      </c>
      <c r="K1265" t="s">
        <v>27</v>
      </c>
      <c r="L1265" t="s">
        <v>22</v>
      </c>
      <c r="M1265">
        <v>7999.96</v>
      </c>
      <c r="N1265">
        <v>2020</v>
      </c>
      <c r="O1265">
        <v>5</v>
      </c>
    </row>
    <row r="1266" spans="1:15" x14ac:dyDescent="0.3">
      <c r="A1266" s="1">
        <v>43974</v>
      </c>
      <c r="B1266">
        <v>1000000032</v>
      </c>
      <c r="C1266" t="s">
        <v>15</v>
      </c>
      <c r="D1266">
        <v>1</v>
      </c>
      <c r="E1266">
        <v>7999.94</v>
      </c>
      <c r="F1266" t="s">
        <v>16</v>
      </c>
      <c r="G1266" t="s">
        <v>17</v>
      </c>
      <c r="H1266" t="s">
        <v>18</v>
      </c>
      <c r="I1266" t="s">
        <v>25</v>
      </c>
      <c r="J1266" t="s">
        <v>26</v>
      </c>
      <c r="K1266" t="s">
        <v>27</v>
      </c>
      <c r="L1266" t="s">
        <v>28</v>
      </c>
      <c r="M1266">
        <v>7999.94</v>
      </c>
      <c r="N1266">
        <v>2020</v>
      </c>
      <c r="O1266">
        <v>5</v>
      </c>
    </row>
    <row r="1267" spans="1:15" x14ac:dyDescent="0.3">
      <c r="A1267" s="1">
        <v>43974</v>
      </c>
      <c r="B1267">
        <v>1000000056</v>
      </c>
      <c r="C1267" t="s">
        <v>15</v>
      </c>
      <c r="D1267">
        <v>1</v>
      </c>
      <c r="E1267">
        <v>7500.42</v>
      </c>
      <c r="F1267" t="s">
        <v>16</v>
      </c>
      <c r="G1267" t="s">
        <v>17</v>
      </c>
      <c r="H1267" t="s">
        <v>18</v>
      </c>
      <c r="I1267" t="s">
        <v>34</v>
      </c>
      <c r="J1267" t="s">
        <v>26</v>
      </c>
      <c r="K1267" t="s">
        <v>35</v>
      </c>
      <c r="L1267" t="s">
        <v>28</v>
      </c>
      <c r="M1267">
        <v>7500.42</v>
      </c>
      <c r="N1267">
        <v>2020</v>
      </c>
      <c r="O1267">
        <v>5</v>
      </c>
    </row>
    <row r="1268" spans="1:15" x14ac:dyDescent="0.3">
      <c r="A1268" s="1">
        <v>43974</v>
      </c>
      <c r="B1268">
        <v>1000000566</v>
      </c>
      <c r="C1268" t="s">
        <v>15</v>
      </c>
      <c r="D1268">
        <v>1</v>
      </c>
      <c r="E1268">
        <v>7000.6</v>
      </c>
      <c r="F1268" t="s">
        <v>16</v>
      </c>
      <c r="G1268" t="s">
        <v>17</v>
      </c>
      <c r="H1268" t="s">
        <v>47</v>
      </c>
      <c r="I1268" t="s">
        <v>48</v>
      </c>
      <c r="J1268" t="s">
        <v>36</v>
      </c>
      <c r="K1268" t="s">
        <v>49</v>
      </c>
      <c r="L1268" t="s">
        <v>22</v>
      </c>
      <c r="M1268">
        <v>7000.6</v>
      </c>
      <c r="N1268">
        <v>2020</v>
      </c>
      <c r="O1268">
        <v>5</v>
      </c>
    </row>
    <row r="1269" spans="1:15" x14ac:dyDescent="0.3">
      <c r="A1269" s="1">
        <v>43974</v>
      </c>
      <c r="B1269">
        <v>1000000068</v>
      </c>
      <c r="C1269" t="s">
        <v>23</v>
      </c>
      <c r="D1269">
        <v>1</v>
      </c>
      <c r="E1269">
        <v>7000.53</v>
      </c>
      <c r="F1269" t="s">
        <v>16</v>
      </c>
      <c r="G1269" t="s">
        <v>24</v>
      </c>
      <c r="H1269" t="s">
        <v>30</v>
      </c>
      <c r="I1269" t="s">
        <v>55</v>
      </c>
      <c r="J1269" t="s">
        <v>26</v>
      </c>
      <c r="K1269" t="s">
        <v>56</v>
      </c>
      <c r="L1269" t="s">
        <v>28</v>
      </c>
      <c r="M1269">
        <v>7000.53</v>
      </c>
      <c r="N1269">
        <v>2020</v>
      </c>
      <c r="O1269">
        <v>5</v>
      </c>
    </row>
    <row r="1270" spans="1:15" x14ac:dyDescent="0.3">
      <c r="A1270" s="1">
        <v>43974</v>
      </c>
      <c r="B1270">
        <v>1000008239</v>
      </c>
      <c r="C1270" t="s">
        <v>42</v>
      </c>
      <c r="D1270">
        <v>1</v>
      </c>
      <c r="E1270">
        <v>7000.26</v>
      </c>
      <c r="F1270" t="s">
        <v>16</v>
      </c>
      <c r="G1270" t="s">
        <v>43</v>
      </c>
      <c r="H1270" t="s">
        <v>18</v>
      </c>
      <c r="I1270" t="s">
        <v>61</v>
      </c>
      <c r="J1270" t="s">
        <v>26</v>
      </c>
      <c r="K1270" t="s">
        <v>62</v>
      </c>
      <c r="L1270" t="s">
        <v>28</v>
      </c>
      <c r="M1270">
        <v>7000.26</v>
      </c>
      <c r="N1270">
        <v>2020</v>
      </c>
      <c r="O1270">
        <v>5</v>
      </c>
    </row>
    <row r="1271" spans="1:15" x14ac:dyDescent="0.3">
      <c r="A1271" s="1">
        <v>43974</v>
      </c>
      <c r="B1271">
        <v>1000007320</v>
      </c>
      <c r="C1271" t="s">
        <v>15</v>
      </c>
      <c r="D1271">
        <v>1</v>
      </c>
      <c r="E1271">
        <v>6000.75</v>
      </c>
      <c r="F1271" t="s">
        <v>16</v>
      </c>
      <c r="G1271" t="s">
        <v>17</v>
      </c>
      <c r="H1271" t="s">
        <v>18</v>
      </c>
      <c r="I1271" t="s">
        <v>34</v>
      </c>
      <c r="J1271" t="s">
        <v>26</v>
      </c>
      <c r="K1271" t="s">
        <v>35</v>
      </c>
      <c r="L1271" t="s">
        <v>22</v>
      </c>
      <c r="M1271">
        <v>6000.75</v>
      </c>
      <c r="N1271">
        <v>2020</v>
      </c>
      <c r="O1271">
        <v>5</v>
      </c>
    </row>
    <row r="1272" spans="1:15" x14ac:dyDescent="0.3">
      <c r="A1272" s="1">
        <v>43974</v>
      </c>
      <c r="B1272">
        <v>1000005873</v>
      </c>
      <c r="C1272" t="s">
        <v>23</v>
      </c>
      <c r="D1272">
        <v>1</v>
      </c>
      <c r="E1272">
        <v>6000.42</v>
      </c>
      <c r="F1272" t="s">
        <v>16</v>
      </c>
      <c r="G1272" t="s">
        <v>24</v>
      </c>
      <c r="H1272" t="s">
        <v>18</v>
      </c>
      <c r="I1272" t="s">
        <v>19</v>
      </c>
      <c r="J1272" t="s">
        <v>20</v>
      </c>
      <c r="K1272" t="s">
        <v>21</v>
      </c>
      <c r="L1272" t="s">
        <v>28</v>
      </c>
      <c r="M1272">
        <v>6000.42</v>
      </c>
      <c r="N1272">
        <v>2020</v>
      </c>
      <c r="O1272">
        <v>5</v>
      </c>
    </row>
    <row r="1273" spans="1:15" x14ac:dyDescent="0.3">
      <c r="A1273" s="1">
        <v>43974</v>
      </c>
      <c r="B1273">
        <v>1000000037</v>
      </c>
      <c r="C1273" t="s">
        <v>23</v>
      </c>
      <c r="D1273">
        <v>1</v>
      </c>
      <c r="E1273">
        <v>5499.98</v>
      </c>
      <c r="F1273" t="s">
        <v>16</v>
      </c>
      <c r="G1273" t="s">
        <v>24</v>
      </c>
      <c r="H1273" t="s">
        <v>18</v>
      </c>
      <c r="I1273" t="s">
        <v>19</v>
      </c>
      <c r="J1273" t="s">
        <v>20</v>
      </c>
      <c r="K1273" t="s">
        <v>21</v>
      </c>
      <c r="L1273" t="s">
        <v>22</v>
      </c>
      <c r="M1273">
        <v>5499.98</v>
      </c>
      <c r="N1273">
        <v>2020</v>
      </c>
      <c r="O1273">
        <v>5</v>
      </c>
    </row>
    <row r="1274" spans="1:15" x14ac:dyDescent="0.3">
      <c r="A1274" s="1">
        <v>43974</v>
      </c>
      <c r="B1274">
        <v>1000000036</v>
      </c>
      <c r="C1274" t="s">
        <v>15</v>
      </c>
      <c r="D1274">
        <v>1</v>
      </c>
      <c r="E1274">
        <v>3400.39</v>
      </c>
      <c r="F1274" t="s">
        <v>16</v>
      </c>
      <c r="G1274" t="s">
        <v>17</v>
      </c>
      <c r="H1274" t="s">
        <v>47</v>
      </c>
      <c r="I1274" t="s">
        <v>48</v>
      </c>
      <c r="J1274" t="s">
        <v>36</v>
      </c>
      <c r="K1274" t="s">
        <v>49</v>
      </c>
      <c r="L1274" t="s">
        <v>28</v>
      </c>
      <c r="M1274">
        <v>3400.39</v>
      </c>
      <c r="N1274">
        <v>2020</v>
      </c>
      <c r="O1274">
        <v>5</v>
      </c>
    </row>
    <row r="1275" spans="1:15" x14ac:dyDescent="0.3">
      <c r="A1275" s="1">
        <v>43974</v>
      </c>
      <c r="B1275">
        <v>1000000033</v>
      </c>
      <c r="C1275" t="s">
        <v>23</v>
      </c>
      <c r="D1275">
        <v>1</v>
      </c>
      <c r="E1275">
        <v>2051.9299999999998</v>
      </c>
      <c r="F1275" t="s">
        <v>16</v>
      </c>
      <c r="G1275" t="s">
        <v>24</v>
      </c>
      <c r="H1275" t="s">
        <v>18</v>
      </c>
      <c r="I1275" t="s">
        <v>25</v>
      </c>
      <c r="J1275" t="s">
        <v>26</v>
      </c>
      <c r="K1275" t="s">
        <v>27</v>
      </c>
      <c r="L1275" t="s">
        <v>22</v>
      </c>
      <c r="M1275">
        <v>2051.9299999999998</v>
      </c>
      <c r="N1275">
        <v>2020</v>
      </c>
      <c r="O1275">
        <v>5</v>
      </c>
    </row>
    <row r="1276" spans="1:15" x14ac:dyDescent="0.3">
      <c r="A1276" s="1">
        <v>43974</v>
      </c>
      <c r="B1276">
        <v>1000000052</v>
      </c>
      <c r="C1276" t="s">
        <v>15</v>
      </c>
      <c r="D1276">
        <v>1</v>
      </c>
      <c r="E1276">
        <v>1999.95</v>
      </c>
      <c r="F1276" t="s">
        <v>16</v>
      </c>
      <c r="G1276" t="s">
        <v>17</v>
      </c>
      <c r="H1276" t="s">
        <v>18</v>
      </c>
      <c r="I1276" t="s">
        <v>34</v>
      </c>
      <c r="J1276" t="s">
        <v>20</v>
      </c>
      <c r="K1276" t="s">
        <v>44</v>
      </c>
      <c r="L1276" t="s">
        <v>22</v>
      </c>
      <c r="M1276">
        <v>1999.95</v>
      </c>
      <c r="N1276">
        <v>2020</v>
      </c>
      <c r="O1276">
        <v>5</v>
      </c>
    </row>
    <row r="1277" spans="1:15" x14ac:dyDescent="0.3">
      <c r="A1277" s="1">
        <v>43974</v>
      </c>
      <c r="B1277">
        <v>1000000054</v>
      </c>
      <c r="C1277" t="s">
        <v>15</v>
      </c>
      <c r="D1277">
        <v>1</v>
      </c>
      <c r="E1277">
        <v>562.62</v>
      </c>
      <c r="F1277" t="s">
        <v>16</v>
      </c>
      <c r="G1277" t="s">
        <v>17</v>
      </c>
      <c r="H1277" t="s">
        <v>18</v>
      </c>
      <c r="I1277" t="s">
        <v>34</v>
      </c>
      <c r="J1277" t="s">
        <v>26</v>
      </c>
      <c r="K1277" t="s">
        <v>35</v>
      </c>
      <c r="L1277" t="s">
        <v>22</v>
      </c>
      <c r="M1277">
        <v>562.62</v>
      </c>
      <c r="N1277">
        <v>2020</v>
      </c>
      <c r="O1277">
        <v>5</v>
      </c>
    </row>
    <row r="1278" spans="1:15" x14ac:dyDescent="0.3">
      <c r="A1278" s="1">
        <v>43974</v>
      </c>
      <c r="B1278">
        <v>1000000028</v>
      </c>
      <c r="C1278" t="s">
        <v>42</v>
      </c>
      <c r="D1278">
        <v>1</v>
      </c>
      <c r="E1278">
        <v>522.94000000000005</v>
      </c>
      <c r="F1278" t="s">
        <v>16</v>
      </c>
      <c r="G1278" t="s">
        <v>43</v>
      </c>
      <c r="H1278" t="s">
        <v>18</v>
      </c>
      <c r="I1278" t="s">
        <v>19</v>
      </c>
      <c r="J1278" t="s">
        <v>20</v>
      </c>
      <c r="K1278" t="s">
        <v>21</v>
      </c>
      <c r="L1278" t="s">
        <v>22</v>
      </c>
      <c r="M1278">
        <v>522.94000000000005</v>
      </c>
      <c r="N1278">
        <v>2020</v>
      </c>
      <c r="O1278">
        <v>5</v>
      </c>
    </row>
    <row r="1279" spans="1:15" x14ac:dyDescent="0.3">
      <c r="A1279" s="1">
        <v>43974</v>
      </c>
      <c r="B1279">
        <v>1000000237</v>
      </c>
      <c r="C1279" t="s">
        <v>42</v>
      </c>
      <c r="D1279">
        <v>1</v>
      </c>
      <c r="E1279">
        <v>500.14</v>
      </c>
      <c r="F1279" t="s">
        <v>16</v>
      </c>
      <c r="G1279" t="s">
        <v>43</v>
      </c>
      <c r="H1279" t="s">
        <v>18</v>
      </c>
      <c r="I1279" t="s">
        <v>40</v>
      </c>
      <c r="J1279" t="s">
        <v>26</v>
      </c>
      <c r="K1279" t="s">
        <v>41</v>
      </c>
      <c r="L1279" t="s">
        <v>22</v>
      </c>
      <c r="M1279">
        <v>500.14</v>
      </c>
      <c r="N1279">
        <v>2020</v>
      </c>
      <c r="O1279">
        <v>5</v>
      </c>
    </row>
    <row r="1280" spans="1:15" x14ac:dyDescent="0.3">
      <c r="A1280" s="1">
        <v>43975</v>
      </c>
      <c r="B1280">
        <v>1000000576</v>
      </c>
      <c r="C1280" t="s">
        <v>15</v>
      </c>
      <c r="D1280">
        <v>3</v>
      </c>
      <c r="E1280">
        <v>56001.53</v>
      </c>
      <c r="F1280" t="s">
        <v>16</v>
      </c>
      <c r="G1280" t="s">
        <v>17</v>
      </c>
      <c r="H1280" t="s">
        <v>18</v>
      </c>
      <c r="I1280" t="s">
        <v>25</v>
      </c>
      <c r="J1280" t="s">
        <v>36</v>
      </c>
      <c r="K1280" t="s">
        <v>37</v>
      </c>
      <c r="L1280" t="s">
        <v>22</v>
      </c>
      <c r="M1280">
        <v>18667.176666666663</v>
      </c>
      <c r="N1280">
        <v>2020</v>
      </c>
      <c r="O1280">
        <v>5</v>
      </c>
    </row>
    <row r="1281" spans="1:15" x14ac:dyDescent="0.3">
      <c r="A1281" s="1">
        <v>43975</v>
      </c>
      <c r="B1281">
        <v>1000000037</v>
      </c>
      <c r="C1281" t="s">
        <v>42</v>
      </c>
      <c r="D1281">
        <v>2</v>
      </c>
      <c r="E1281">
        <v>45001</v>
      </c>
      <c r="F1281" t="s">
        <v>16</v>
      </c>
      <c r="G1281" t="s">
        <v>43</v>
      </c>
      <c r="H1281" t="s">
        <v>18</v>
      </c>
      <c r="I1281" t="s">
        <v>19</v>
      </c>
      <c r="J1281" t="s">
        <v>20</v>
      </c>
      <c r="K1281" t="s">
        <v>21</v>
      </c>
      <c r="L1281" t="s">
        <v>22</v>
      </c>
      <c r="M1281">
        <v>22500.5</v>
      </c>
      <c r="N1281">
        <v>2020</v>
      </c>
      <c r="O1281">
        <v>5</v>
      </c>
    </row>
    <row r="1282" spans="1:15" x14ac:dyDescent="0.3">
      <c r="A1282" s="1">
        <v>43975</v>
      </c>
      <c r="B1282">
        <v>1000000050</v>
      </c>
      <c r="C1282" t="s">
        <v>42</v>
      </c>
      <c r="D1282">
        <v>3</v>
      </c>
      <c r="E1282">
        <v>33000.660000000003</v>
      </c>
      <c r="F1282" t="s">
        <v>16</v>
      </c>
      <c r="G1282" t="s">
        <v>43</v>
      </c>
      <c r="H1282" t="s">
        <v>18</v>
      </c>
      <c r="I1282" t="s">
        <v>40</v>
      </c>
      <c r="J1282" t="s">
        <v>26</v>
      </c>
      <c r="K1282" t="s">
        <v>41</v>
      </c>
      <c r="L1282" t="s">
        <v>22</v>
      </c>
      <c r="M1282">
        <v>11000.22</v>
      </c>
      <c r="N1282">
        <v>2020</v>
      </c>
      <c r="O1282">
        <v>5</v>
      </c>
    </row>
    <row r="1283" spans="1:15" x14ac:dyDescent="0.3">
      <c r="A1283" s="1">
        <v>43975</v>
      </c>
      <c r="B1283">
        <v>1000008239</v>
      </c>
      <c r="C1283" t="s">
        <v>15</v>
      </c>
      <c r="D1283">
        <v>2</v>
      </c>
      <c r="E1283">
        <v>31000.82</v>
      </c>
      <c r="F1283" t="s">
        <v>16</v>
      </c>
      <c r="G1283" t="s">
        <v>17</v>
      </c>
      <c r="H1283" t="s">
        <v>18</v>
      </c>
      <c r="I1283" t="s">
        <v>61</v>
      </c>
      <c r="J1283" t="s">
        <v>26</v>
      </c>
      <c r="K1283" t="s">
        <v>62</v>
      </c>
      <c r="L1283" t="s">
        <v>28</v>
      </c>
      <c r="M1283">
        <v>15500.41</v>
      </c>
      <c r="N1283">
        <v>2020</v>
      </c>
      <c r="O1283">
        <v>5</v>
      </c>
    </row>
    <row r="1284" spans="1:15" x14ac:dyDescent="0.3">
      <c r="A1284" s="1">
        <v>43975</v>
      </c>
      <c r="B1284">
        <v>1000000031</v>
      </c>
      <c r="C1284" t="s">
        <v>15</v>
      </c>
      <c r="D1284">
        <v>2</v>
      </c>
      <c r="E1284">
        <v>27001.040000000001</v>
      </c>
      <c r="F1284" t="s">
        <v>16</v>
      </c>
      <c r="G1284" t="s">
        <v>17</v>
      </c>
      <c r="H1284" t="s">
        <v>18</v>
      </c>
      <c r="I1284" t="s">
        <v>19</v>
      </c>
      <c r="J1284" t="s">
        <v>26</v>
      </c>
      <c r="K1284" t="s">
        <v>29</v>
      </c>
      <c r="L1284" t="s">
        <v>28</v>
      </c>
      <c r="M1284">
        <v>13500.52</v>
      </c>
      <c r="N1284">
        <v>2020</v>
      </c>
      <c r="O1284">
        <v>5</v>
      </c>
    </row>
    <row r="1285" spans="1:15" x14ac:dyDescent="0.3">
      <c r="A1285" s="1">
        <v>43975</v>
      </c>
      <c r="B1285">
        <v>1000000594</v>
      </c>
      <c r="C1285" t="s">
        <v>15</v>
      </c>
      <c r="D1285">
        <v>1</v>
      </c>
      <c r="E1285">
        <v>25000.52</v>
      </c>
      <c r="F1285" t="s">
        <v>16</v>
      </c>
      <c r="G1285" t="s">
        <v>17</v>
      </c>
      <c r="H1285" t="s">
        <v>18</v>
      </c>
      <c r="I1285" t="s">
        <v>25</v>
      </c>
      <c r="J1285" t="s">
        <v>20</v>
      </c>
      <c r="K1285" t="s">
        <v>51</v>
      </c>
      <c r="L1285" t="s">
        <v>22</v>
      </c>
      <c r="M1285">
        <v>25000.52</v>
      </c>
      <c r="N1285">
        <v>2020</v>
      </c>
      <c r="O1285">
        <v>5</v>
      </c>
    </row>
    <row r="1286" spans="1:15" x14ac:dyDescent="0.3">
      <c r="A1286" s="1">
        <v>43975</v>
      </c>
      <c r="B1286">
        <v>1000000237</v>
      </c>
      <c r="C1286" t="s">
        <v>42</v>
      </c>
      <c r="D1286">
        <v>1</v>
      </c>
      <c r="E1286">
        <v>25000.5</v>
      </c>
      <c r="F1286" t="s">
        <v>16</v>
      </c>
      <c r="G1286" t="s">
        <v>43</v>
      </c>
      <c r="H1286" t="s">
        <v>18</v>
      </c>
      <c r="I1286" t="s">
        <v>40</v>
      </c>
      <c r="J1286" t="s">
        <v>26</v>
      </c>
      <c r="K1286" t="s">
        <v>41</v>
      </c>
      <c r="L1286" t="s">
        <v>22</v>
      </c>
      <c r="M1286">
        <v>25000.5</v>
      </c>
      <c r="N1286">
        <v>2020</v>
      </c>
      <c r="O1286">
        <v>5</v>
      </c>
    </row>
    <row r="1287" spans="1:15" x14ac:dyDescent="0.3">
      <c r="A1287" s="1">
        <v>43975</v>
      </c>
      <c r="B1287">
        <v>1000000032</v>
      </c>
      <c r="C1287" t="s">
        <v>15</v>
      </c>
      <c r="D1287">
        <v>1</v>
      </c>
      <c r="E1287">
        <v>25000.43</v>
      </c>
      <c r="F1287" t="s">
        <v>16</v>
      </c>
      <c r="G1287" t="s">
        <v>17</v>
      </c>
      <c r="H1287" t="s">
        <v>18</v>
      </c>
      <c r="I1287" t="s">
        <v>25</v>
      </c>
      <c r="J1287" t="s">
        <v>26</v>
      </c>
      <c r="K1287" t="s">
        <v>27</v>
      </c>
      <c r="L1287" t="s">
        <v>28</v>
      </c>
      <c r="M1287">
        <v>25000.43</v>
      </c>
      <c r="N1287">
        <v>2020</v>
      </c>
      <c r="O1287">
        <v>5</v>
      </c>
    </row>
    <row r="1288" spans="1:15" x14ac:dyDescent="0.3">
      <c r="A1288" s="1">
        <v>43975</v>
      </c>
      <c r="B1288">
        <v>1000000028</v>
      </c>
      <c r="C1288" t="s">
        <v>23</v>
      </c>
      <c r="D1288">
        <v>1</v>
      </c>
      <c r="E1288">
        <v>22000.41</v>
      </c>
      <c r="F1288" t="s">
        <v>16</v>
      </c>
      <c r="G1288" t="s">
        <v>24</v>
      </c>
      <c r="H1288" t="s">
        <v>18</v>
      </c>
      <c r="I1288" t="s">
        <v>19</v>
      </c>
      <c r="J1288" t="s">
        <v>20</v>
      </c>
      <c r="K1288" t="s">
        <v>21</v>
      </c>
      <c r="L1288" t="s">
        <v>22</v>
      </c>
      <c r="M1288">
        <v>22000.41</v>
      </c>
      <c r="N1288">
        <v>2020</v>
      </c>
      <c r="O1288">
        <v>5</v>
      </c>
    </row>
    <row r="1289" spans="1:15" x14ac:dyDescent="0.3">
      <c r="A1289" s="1">
        <v>43975</v>
      </c>
      <c r="B1289">
        <v>1000005873</v>
      </c>
      <c r="C1289" t="s">
        <v>23</v>
      </c>
      <c r="D1289">
        <v>1</v>
      </c>
      <c r="E1289">
        <v>22000.06</v>
      </c>
      <c r="F1289" t="s">
        <v>16</v>
      </c>
      <c r="G1289" t="s">
        <v>24</v>
      </c>
      <c r="H1289" t="s">
        <v>18</v>
      </c>
      <c r="I1289" t="s">
        <v>19</v>
      </c>
      <c r="J1289" t="s">
        <v>20</v>
      </c>
      <c r="K1289" t="s">
        <v>21</v>
      </c>
      <c r="L1289" t="s">
        <v>28</v>
      </c>
      <c r="M1289">
        <v>22000.06</v>
      </c>
      <c r="N1289">
        <v>2020</v>
      </c>
      <c r="O1289">
        <v>5</v>
      </c>
    </row>
    <row r="1290" spans="1:15" x14ac:dyDescent="0.3">
      <c r="A1290" s="1">
        <v>43975</v>
      </c>
      <c r="B1290">
        <v>1000000034</v>
      </c>
      <c r="C1290" t="s">
        <v>15</v>
      </c>
      <c r="D1290">
        <v>1</v>
      </c>
      <c r="E1290">
        <v>20000.7</v>
      </c>
      <c r="F1290" t="s">
        <v>16</v>
      </c>
      <c r="G1290" t="s">
        <v>17</v>
      </c>
      <c r="H1290" t="s">
        <v>18</v>
      </c>
      <c r="I1290" t="s">
        <v>25</v>
      </c>
      <c r="J1290" t="s">
        <v>26</v>
      </c>
      <c r="K1290" t="s">
        <v>27</v>
      </c>
      <c r="L1290" t="s">
        <v>22</v>
      </c>
      <c r="M1290">
        <v>20000.7</v>
      </c>
      <c r="N1290">
        <v>2020</v>
      </c>
      <c r="O1290">
        <v>5</v>
      </c>
    </row>
    <row r="1291" spans="1:15" x14ac:dyDescent="0.3">
      <c r="A1291" s="1">
        <v>43975</v>
      </c>
      <c r="B1291">
        <v>1000000037</v>
      </c>
      <c r="C1291" t="s">
        <v>23</v>
      </c>
      <c r="D1291">
        <v>1</v>
      </c>
      <c r="E1291">
        <v>19999.939999999999</v>
      </c>
      <c r="F1291" t="s">
        <v>16</v>
      </c>
      <c r="G1291" t="s">
        <v>24</v>
      </c>
      <c r="H1291" t="s">
        <v>18</v>
      </c>
      <c r="I1291" t="s">
        <v>19</v>
      </c>
      <c r="J1291" t="s">
        <v>20</v>
      </c>
      <c r="K1291" t="s">
        <v>21</v>
      </c>
      <c r="L1291" t="s">
        <v>22</v>
      </c>
      <c r="M1291">
        <v>19999.939999999999</v>
      </c>
      <c r="N1291">
        <v>2020</v>
      </c>
      <c r="O1291">
        <v>5</v>
      </c>
    </row>
    <row r="1292" spans="1:15" x14ac:dyDescent="0.3">
      <c r="A1292" s="1">
        <v>43975</v>
      </c>
      <c r="B1292">
        <v>1000000928</v>
      </c>
      <c r="C1292" t="s">
        <v>15</v>
      </c>
      <c r="D1292">
        <v>1</v>
      </c>
      <c r="E1292">
        <v>17000.3</v>
      </c>
      <c r="F1292" t="s">
        <v>16</v>
      </c>
      <c r="G1292" t="s">
        <v>17</v>
      </c>
      <c r="H1292" t="s">
        <v>30</v>
      </c>
      <c r="I1292" t="s">
        <v>57</v>
      </c>
      <c r="J1292" t="s">
        <v>26</v>
      </c>
      <c r="K1292" t="s">
        <v>58</v>
      </c>
      <c r="L1292" t="s">
        <v>22</v>
      </c>
      <c r="M1292">
        <v>17000.3</v>
      </c>
      <c r="N1292">
        <v>2020</v>
      </c>
      <c r="O1292">
        <v>5</v>
      </c>
    </row>
    <row r="1293" spans="1:15" x14ac:dyDescent="0.3">
      <c r="A1293" s="1">
        <v>43975</v>
      </c>
      <c r="B1293">
        <v>1000000034</v>
      </c>
      <c r="C1293" t="s">
        <v>42</v>
      </c>
      <c r="D1293">
        <v>1</v>
      </c>
      <c r="E1293">
        <v>17000.13</v>
      </c>
      <c r="F1293" t="s">
        <v>16</v>
      </c>
      <c r="G1293" t="s">
        <v>43</v>
      </c>
      <c r="H1293" t="s">
        <v>18</v>
      </c>
      <c r="I1293" t="s">
        <v>25</v>
      </c>
      <c r="J1293" t="s">
        <v>26</v>
      </c>
      <c r="K1293" t="s">
        <v>27</v>
      </c>
      <c r="L1293" t="s">
        <v>22</v>
      </c>
      <c r="M1293">
        <v>17000.13</v>
      </c>
      <c r="N1293">
        <v>2020</v>
      </c>
      <c r="O1293">
        <v>5</v>
      </c>
    </row>
    <row r="1294" spans="1:15" x14ac:dyDescent="0.3">
      <c r="A1294" s="1">
        <v>43975</v>
      </c>
      <c r="B1294">
        <v>1000006867</v>
      </c>
      <c r="C1294" t="s">
        <v>15</v>
      </c>
      <c r="D1294">
        <v>1</v>
      </c>
      <c r="E1294">
        <v>16000.63</v>
      </c>
      <c r="F1294" t="s">
        <v>16</v>
      </c>
      <c r="G1294" t="s">
        <v>17</v>
      </c>
      <c r="H1294" t="s">
        <v>18</v>
      </c>
      <c r="I1294" t="s">
        <v>61</v>
      </c>
      <c r="J1294" t="s">
        <v>26</v>
      </c>
      <c r="K1294" t="s">
        <v>62</v>
      </c>
      <c r="L1294" t="s">
        <v>22</v>
      </c>
      <c r="M1294">
        <v>16000.63</v>
      </c>
      <c r="N1294">
        <v>2020</v>
      </c>
      <c r="O1294">
        <v>5</v>
      </c>
    </row>
    <row r="1295" spans="1:15" x14ac:dyDescent="0.3">
      <c r="A1295" s="1">
        <v>43975</v>
      </c>
      <c r="B1295">
        <v>1000001524</v>
      </c>
      <c r="C1295" t="s">
        <v>15</v>
      </c>
      <c r="D1295">
        <v>1</v>
      </c>
      <c r="E1295">
        <v>16000.26</v>
      </c>
      <c r="F1295" t="s">
        <v>16</v>
      </c>
      <c r="G1295" t="s">
        <v>17</v>
      </c>
      <c r="H1295" t="s">
        <v>18</v>
      </c>
      <c r="I1295" t="s">
        <v>25</v>
      </c>
      <c r="J1295" t="s">
        <v>20</v>
      </c>
      <c r="K1295" t="s">
        <v>51</v>
      </c>
      <c r="L1295" t="s">
        <v>22</v>
      </c>
      <c r="M1295">
        <v>16000.26</v>
      </c>
      <c r="N1295">
        <v>2020</v>
      </c>
      <c r="O1295">
        <v>5</v>
      </c>
    </row>
    <row r="1296" spans="1:15" x14ac:dyDescent="0.3">
      <c r="A1296" s="1">
        <v>43975</v>
      </c>
      <c r="B1296">
        <v>1000000068</v>
      </c>
      <c r="C1296" t="s">
        <v>15</v>
      </c>
      <c r="D1296">
        <v>2</v>
      </c>
      <c r="E1296">
        <v>15500.11</v>
      </c>
      <c r="F1296" t="s">
        <v>16</v>
      </c>
      <c r="G1296" t="s">
        <v>17</v>
      </c>
      <c r="H1296" t="s">
        <v>30</v>
      </c>
      <c r="I1296" t="s">
        <v>55</v>
      </c>
      <c r="J1296" t="s">
        <v>26</v>
      </c>
      <c r="K1296" t="s">
        <v>56</v>
      </c>
      <c r="L1296" t="s">
        <v>28</v>
      </c>
      <c r="M1296">
        <v>7750.0550000000003</v>
      </c>
      <c r="N1296">
        <v>2020</v>
      </c>
      <c r="O1296">
        <v>5</v>
      </c>
    </row>
    <row r="1297" spans="1:15" x14ac:dyDescent="0.3">
      <c r="A1297" s="1">
        <v>43975</v>
      </c>
      <c r="B1297">
        <v>1000000028</v>
      </c>
      <c r="C1297" t="s">
        <v>15</v>
      </c>
      <c r="D1297">
        <v>1</v>
      </c>
      <c r="E1297">
        <v>15000.17</v>
      </c>
      <c r="F1297" t="s">
        <v>16</v>
      </c>
      <c r="G1297" t="s">
        <v>17</v>
      </c>
      <c r="H1297" t="s">
        <v>18</v>
      </c>
      <c r="I1297" t="s">
        <v>19</v>
      </c>
      <c r="J1297" t="s">
        <v>20</v>
      </c>
      <c r="K1297" t="s">
        <v>21</v>
      </c>
      <c r="L1297" t="s">
        <v>22</v>
      </c>
      <c r="M1297">
        <v>15000.17</v>
      </c>
      <c r="N1297">
        <v>2020</v>
      </c>
      <c r="O1297">
        <v>5</v>
      </c>
    </row>
    <row r="1298" spans="1:15" x14ac:dyDescent="0.3">
      <c r="A1298" s="1">
        <v>43975</v>
      </c>
      <c r="B1298">
        <v>1000006869</v>
      </c>
      <c r="C1298" t="s">
        <v>15</v>
      </c>
      <c r="D1298">
        <v>1</v>
      </c>
      <c r="E1298">
        <v>14999.94</v>
      </c>
      <c r="F1298" t="s">
        <v>16</v>
      </c>
      <c r="G1298" t="s">
        <v>17</v>
      </c>
      <c r="H1298" t="s">
        <v>18</v>
      </c>
      <c r="I1298" t="s">
        <v>61</v>
      </c>
      <c r="J1298" t="s">
        <v>26</v>
      </c>
      <c r="K1298" t="s">
        <v>62</v>
      </c>
      <c r="L1298" t="s">
        <v>22</v>
      </c>
      <c r="M1298">
        <v>14999.94</v>
      </c>
      <c r="N1298">
        <v>2020</v>
      </c>
      <c r="O1298">
        <v>5</v>
      </c>
    </row>
    <row r="1299" spans="1:15" x14ac:dyDescent="0.3">
      <c r="A1299" s="1">
        <v>43975</v>
      </c>
      <c r="B1299">
        <v>1000000040</v>
      </c>
      <c r="C1299" t="s">
        <v>15</v>
      </c>
      <c r="D1299">
        <v>1</v>
      </c>
      <c r="E1299">
        <v>14000.29</v>
      </c>
      <c r="F1299" t="s">
        <v>16</v>
      </c>
      <c r="G1299" t="s">
        <v>17</v>
      </c>
      <c r="H1299" t="s">
        <v>30</v>
      </c>
      <c r="I1299" t="s">
        <v>31</v>
      </c>
      <c r="J1299" t="s">
        <v>32</v>
      </c>
      <c r="K1299" t="s">
        <v>33</v>
      </c>
      <c r="L1299" t="s">
        <v>28</v>
      </c>
      <c r="M1299">
        <v>14000.29</v>
      </c>
      <c r="N1299">
        <v>2020</v>
      </c>
      <c r="O1299">
        <v>5</v>
      </c>
    </row>
    <row r="1300" spans="1:15" x14ac:dyDescent="0.3">
      <c r="A1300" s="1">
        <v>43975</v>
      </c>
      <c r="B1300">
        <v>1000000041</v>
      </c>
      <c r="C1300" t="s">
        <v>23</v>
      </c>
      <c r="D1300">
        <v>1</v>
      </c>
      <c r="E1300">
        <v>14000.2</v>
      </c>
      <c r="F1300" t="s">
        <v>16</v>
      </c>
      <c r="G1300" t="s">
        <v>24</v>
      </c>
      <c r="H1300" t="s">
        <v>30</v>
      </c>
      <c r="I1300" t="s">
        <v>31</v>
      </c>
      <c r="J1300" t="s">
        <v>32</v>
      </c>
      <c r="K1300" t="s">
        <v>33</v>
      </c>
      <c r="L1300" t="s">
        <v>22</v>
      </c>
      <c r="M1300">
        <v>14000.2</v>
      </c>
      <c r="N1300">
        <v>2020</v>
      </c>
      <c r="O1300">
        <v>5</v>
      </c>
    </row>
    <row r="1301" spans="1:15" x14ac:dyDescent="0.3">
      <c r="A1301" s="1">
        <v>43975</v>
      </c>
      <c r="B1301">
        <v>1000000104</v>
      </c>
      <c r="C1301" t="s">
        <v>42</v>
      </c>
      <c r="D1301">
        <v>1</v>
      </c>
      <c r="E1301">
        <v>13000.61</v>
      </c>
      <c r="F1301" t="s">
        <v>16</v>
      </c>
      <c r="G1301" t="s">
        <v>43</v>
      </c>
      <c r="H1301" t="s">
        <v>18</v>
      </c>
      <c r="I1301" t="s">
        <v>40</v>
      </c>
      <c r="J1301" t="s">
        <v>26</v>
      </c>
      <c r="K1301" t="s">
        <v>41</v>
      </c>
      <c r="L1301" t="s">
        <v>22</v>
      </c>
      <c r="M1301">
        <v>13000.61</v>
      </c>
      <c r="N1301">
        <v>2020</v>
      </c>
      <c r="O1301">
        <v>5</v>
      </c>
    </row>
    <row r="1302" spans="1:15" x14ac:dyDescent="0.3">
      <c r="A1302" s="1">
        <v>43975</v>
      </c>
      <c r="B1302">
        <v>1000000029</v>
      </c>
      <c r="C1302" t="s">
        <v>23</v>
      </c>
      <c r="D1302">
        <v>1</v>
      </c>
      <c r="E1302">
        <v>13000.17</v>
      </c>
      <c r="F1302" t="s">
        <v>16</v>
      </c>
      <c r="G1302" t="s">
        <v>24</v>
      </c>
      <c r="H1302" t="s">
        <v>18</v>
      </c>
      <c r="I1302" t="s">
        <v>19</v>
      </c>
      <c r="J1302" t="s">
        <v>20</v>
      </c>
      <c r="K1302" t="s">
        <v>21</v>
      </c>
      <c r="L1302" t="s">
        <v>22</v>
      </c>
      <c r="M1302">
        <v>13000.17</v>
      </c>
      <c r="N1302">
        <v>2020</v>
      </c>
      <c r="O1302">
        <v>5</v>
      </c>
    </row>
    <row r="1303" spans="1:15" x14ac:dyDescent="0.3">
      <c r="A1303" s="1">
        <v>43975</v>
      </c>
      <c r="B1303">
        <v>1000006064</v>
      </c>
      <c r="C1303" t="s">
        <v>42</v>
      </c>
      <c r="D1303">
        <v>1</v>
      </c>
      <c r="E1303">
        <v>13000.06</v>
      </c>
      <c r="F1303" t="s">
        <v>16</v>
      </c>
      <c r="G1303" t="s">
        <v>43</v>
      </c>
      <c r="H1303" t="s">
        <v>18</v>
      </c>
      <c r="I1303" t="s">
        <v>40</v>
      </c>
      <c r="J1303" t="s">
        <v>26</v>
      </c>
      <c r="K1303" t="s">
        <v>41</v>
      </c>
      <c r="L1303" t="s">
        <v>22</v>
      </c>
      <c r="M1303">
        <v>13000.06</v>
      </c>
      <c r="N1303">
        <v>2020</v>
      </c>
      <c r="O1303">
        <v>5</v>
      </c>
    </row>
    <row r="1304" spans="1:15" x14ac:dyDescent="0.3">
      <c r="A1304" s="1">
        <v>43975</v>
      </c>
      <c r="B1304">
        <v>1000000045</v>
      </c>
      <c r="C1304" t="s">
        <v>23</v>
      </c>
      <c r="D1304">
        <v>2</v>
      </c>
      <c r="E1304">
        <v>12500.99</v>
      </c>
      <c r="F1304" t="s">
        <v>16</v>
      </c>
      <c r="G1304" t="s">
        <v>24</v>
      </c>
      <c r="H1304" t="s">
        <v>47</v>
      </c>
      <c r="I1304" t="s">
        <v>59</v>
      </c>
      <c r="J1304" t="s">
        <v>26</v>
      </c>
      <c r="K1304" t="s">
        <v>60</v>
      </c>
      <c r="L1304" t="s">
        <v>22</v>
      </c>
      <c r="M1304">
        <v>6250.4949999999999</v>
      </c>
      <c r="N1304">
        <v>2020</v>
      </c>
      <c r="O1304">
        <v>5</v>
      </c>
    </row>
    <row r="1305" spans="1:15" x14ac:dyDescent="0.3">
      <c r="A1305" s="1">
        <v>43975</v>
      </c>
      <c r="B1305">
        <v>1000000035</v>
      </c>
      <c r="C1305" t="s">
        <v>42</v>
      </c>
      <c r="D1305">
        <v>1</v>
      </c>
      <c r="E1305">
        <v>12000.62</v>
      </c>
      <c r="F1305" t="s">
        <v>16</v>
      </c>
      <c r="G1305" t="s">
        <v>43</v>
      </c>
      <c r="H1305" t="s">
        <v>18</v>
      </c>
      <c r="I1305" t="s">
        <v>25</v>
      </c>
      <c r="J1305" t="s">
        <v>36</v>
      </c>
      <c r="K1305" t="s">
        <v>37</v>
      </c>
      <c r="L1305" t="s">
        <v>22</v>
      </c>
      <c r="M1305">
        <v>12000.62</v>
      </c>
      <c r="N1305">
        <v>2020</v>
      </c>
      <c r="O1305">
        <v>5</v>
      </c>
    </row>
    <row r="1306" spans="1:15" x14ac:dyDescent="0.3">
      <c r="A1306" s="1">
        <v>43975</v>
      </c>
      <c r="B1306">
        <v>1000004170</v>
      </c>
      <c r="C1306" t="s">
        <v>15</v>
      </c>
      <c r="D1306">
        <v>1</v>
      </c>
      <c r="E1306">
        <v>11000.5</v>
      </c>
      <c r="F1306" t="s">
        <v>16</v>
      </c>
      <c r="G1306" t="s">
        <v>17</v>
      </c>
      <c r="H1306" t="s">
        <v>18</v>
      </c>
      <c r="I1306" t="s">
        <v>34</v>
      </c>
      <c r="J1306" t="s">
        <v>20</v>
      </c>
      <c r="K1306" t="s">
        <v>44</v>
      </c>
      <c r="L1306" t="s">
        <v>28</v>
      </c>
      <c r="M1306">
        <v>11000.5</v>
      </c>
      <c r="N1306">
        <v>2020</v>
      </c>
      <c r="O1306">
        <v>5</v>
      </c>
    </row>
    <row r="1307" spans="1:15" x14ac:dyDescent="0.3">
      <c r="A1307" s="1">
        <v>43975</v>
      </c>
      <c r="B1307">
        <v>1000000030</v>
      </c>
      <c r="C1307" t="s">
        <v>42</v>
      </c>
      <c r="D1307">
        <v>1</v>
      </c>
      <c r="E1307">
        <v>10999.97</v>
      </c>
      <c r="F1307" t="s">
        <v>16</v>
      </c>
      <c r="G1307" t="s">
        <v>43</v>
      </c>
      <c r="H1307" t="s">
        <v>47</v>
      </c>
      <c r="I1307" t="s">
        <v>48</v>
      </c>
      <c r="J1307" t="s">
        <v>36</v>
      </c>
      <c r="K1307" t="s">
        <v>49</v>
      </c>
      <c r="L1307" t="s">
        <v>22</v>
      </c>
      <c r="M1307">
        <v>10999.97</v>
      </c>
      <c r="N1307">
        <v>2020</v>
      </c>
      <c r="O1307">
        <v>5</v>
      </c>
    </row>
    <row r="1308" spans="1:15" x14ac:dyDescent="0.3">
      <c r="A1308" s="1">
        <v>43975</v>
      </c>
      <c r="B1308">
        <v>1000000036</v>
      </c>
      <c r="C1308" t="s">
        <v>23</v>
      </c>
      <c r="D1308">
        <v>1</v>
      </c>
      <c r="E1308">
        <v>10000.74</v>
      </c>
      <c r="F1308" t="s">
        <v>16</v>
      </c>
      <c r="G1308" t="s">
        <v>24</v>
      </c>
      <c r="H1308" t="s">
        <v>47</v>
      </c>
      <c r="I1308" t="s">
        <v>48</v>
      </c>
      <c r="J1308" t="s">
        <v>36</v>
      </c>
      <c r="K1308" t="s">
        <v>49</v>
      </c>
      <c r="L1308" t="s">
        <v>28</v>
      </c>
      <c r="M1308">
        <v>10000.74</v>
      </c>
      <c r="N1308">
        <v>2020</v>
      </c>
      <c r="O1308">
        <v>5</v>
      </c>
    </row>
    <row r="1309" spans="1:15" x14ac:dyDescent="0.3">
      <c r="A1309" s="1">
        <v>43975</v>
      </c>
      <c r="B1309">
        <v>1000006860</v>
      </c>
      <c r="C1309" t="s">
        <v>15</v>
      </c>
      <c r="D1309">
        <v>1</v>
      </c>
      <c r="E1309">
        <v>10000.65</v>
      </c>
      <c r="F1309" t="s">
        <v>16</v>
      </c>
      <c r="G1309" t="s">
        <v>17</v>
      </c>
      <c r="H1309" t="s">
        <v>18</v>
      </c>
      <c r="I1309" t="s">
        <v>61</v>
      </c>
      <c r="J1309" t="s">
        <v>26</v>
      </c>
      <c r="K1309" t="s">
        <v>62</v>
      </c>
      <c r="L1309" t="s">
        <v>22</v>
      </c>
      <c r="M1309">
        <v>10000.65</v>
      </c>
      <c r="N1309">
        <v>2020</v>
      </c>
      <c r="O1309">
        <v>5</v>
      </c>
    </row>
    <row r="1310" spans="1:15" x14ac:dyDescent="0.3">
      <c r="A1310" s="1">
        <v>43975</v>
      </c>
      <c r="B1310">
        <v>1000000036</v>
      </c>
      <c r="C1310" t="s">
        <v>15</v>
      </c>
      <c r="D1310">
        <v>1</v>
      </c>
      <c r="E1310">
        <v>8400.4599999999991</v>
      </c>
      <c r="F1310" t="s">
        <v>16</v>
      </c>
      <c r="G1310" t="s">
        <v>17</v>
      </c>
      <c r="H1310" t="s">
        <v>47</v>
      </c>
      <c r="I1310" t="s">
        <v>48</v>
      </c>
      <c r="J1310" t="s">
        <v>36</v>
      </c>
      <c r="K1310" t="s">
        <v>49</v>
      </c>
      <c r="L1310" t="s">
        <v>28</v>
      </c>
      <c r="M1310">
        <v>8400.4599999999991</v>
      </c>
      <c r="N1310">
        <v>2020</v>
      </c>
      <c r="O1310">
        <v>5</v>
      </c>
    </row>
    <row r="1311" spans="1:15" x14ac:dyDescent="0.3">
      <c r="A1311" s="1">
        <v>43975</v>
      </c>
      <c r="B1311">
        <v>1000000044</v>
      </c>
      <c r="C1311" t="s">
        <v>23</v>
      </c>
      <c r="D1311">
        <v>1</v>
      </c>
      <c r="E1311">
        <v>8000.61</v>
      </c>
      <c r="F1311" t="s">
        <v>16</v>
      </c>
      <c r="G1311" t="s">
        <v>24</v>
      </c>
      <c r="H1311" t="s">
        <v>30</v>
      </c>
      <c r="I1311" t="s">
        <v>31</v>
      </c>
      <c r="J1311" t="s">
        <v>36</v>
      </c>
      <c r="K1311" t="s">
        <v>52</v>
      </c>
      <c r="L1311" t="s">
        <v>28</v>
      </c>
      <c r="M1311">
        <v>8000.61</v>
      </c>
      <c r="N1311">
        <v>2020</v>
      </c>
      <c r="O1311">
        <v>5</v>
      </c>
    </row>
    <row r="1312" spans="1:15" x14ac:dyDescent="0.3">
      <c r="A1312" s="1">
        <v>43975</v>
      </c>
      <c r="B1312">
        <v>1000000056</v>
      </c>
      <c r="C1312" t="s">
        <v>23</v>
      </c>
      <c r="D1312">
        <v>1</v>
      </c>
      <c r="E1312">
        <v>8000.24</v>
      </c>
      <c r="F1312" t="s">
        <v>16</v>
      </c>
      <c r="G1312" t="s">
        <v>24</v>
      </c>
      <c r="H1312" t="s">
        <v>18</v>
      </c>
      <c r="I1312" t="s">
        <v>34</v>
      </c>
      <c r="J1312" t="s">
        <v>26</v>
      </c>
      <c r="K1312" t="s">
        <v>35</v>
      </c>
      <c r="L1312" t="s">
        <v>28</v>
      </c>
      <c r="M1312">
        <v>8000.24</v>
      </c>
      <c r="N1312">
        <v>2020</v>
      </c>
      <c r="O1312">
        <v>5</v>
      </c>
    </row>
    <row r="1313" spans="1:15" x14ac:dyDescent="0.3">
      <c r="A1313" s="1">
        <v>43975</v>
      </c>
      <c r="B1313">
        <v>1000004256</v>
      </c>
      <c r="C1313" t="s">
        <v>15</v>
      </c>
      <c r="D1313">
        <v>1</v>
      </c>
      <c r="E1313">
        <v>6500.72</v>
      </c>
      <c r="F1313" t="s">
        <v>16</v>
      </c>
      <c r="G1313" t="s">
        <v>17</v>
      </c>
      <c r="H1313" t="s">
        <v>18</v>
      </c>
      <c r="I1313" t="s">
        <v>40</v>
      </c>
      <c r="J1313" t="s">
        <v>26</v>
      </c>
      <c r="K1313" t="s">
        <v>41</v>
      </c>
      <c r="L1313" t="s">
        <v>22</v>
      </c>
      <c r="M1313">
        <v>6500.72</v>
      </c>
      <c r="N1313">
        <v>2020</v>
      </c>
      <c r="O1313">
        <v>5</v>
      </c>
    </row>
    <row r="1314" spans="1:15" x14ac:dyDescent="0.3">
      <c r="A1314" s="1">
        <v>43975</v>
      </c>
      <c r="B1314">
        <v>1000000566</v>
      </c>
      <c r="C1314" t="s">
        <v>42</v>
      </c>
      <c r="D1314">
        <v>1</v>
      </c>
      <c r="E1314">
        <v>5500.13</v>
      </c>
      <c r="F1314" t="s">
        <v>16</v>
      </c>
      <c r="G1314" t="s">
        <v>43</v>
      </c>
      <c r="H1314" t="s">
        <v>47</v>
      </c>
      <c r="I1314" t="s">
        <v>48</v>
      </c>
      <c r="J1314" t="s">
        <v>36</v>
      </c>
      <c r="K1314" t="s">
        <v>49</v>
      </c>
      <c r="L1314" t="s">
        <v>22</v>
      </c>
      <c r="M1314">
        <v>5500.13</v>
      </c>
      <c r="N1314">
        <v>2020</v>
      </c>
      <c r="O1314">
        <v>5</v>
      </c>
    </row>
    <row r="1315" spans="1:15" x14ac:dyDescent="0.3">
      <c r="A1315" s="1">
        <v>43975</v>
      </c>
      <c r="B1315">
        <v>1000000039</v>
      </c>
      <c r="C1315" t="s">
        <v>23</v>
      </c>
      <c r="D1315">
        <v>1</v>
      </c>
      <c r="E1315">
        <v>5000.7</v>
      </c>
      <c r="F1315" t="s">
        <v>16</v>
      </c>
      <c r="G1315" t="s">
        <v>24</v>
      </c>
      <c r="H1315" t="s">
        <v>18</v>
      </c>
      <c r="I1315" t="s">
        <v>25</v>
      </c>
      <c r="J1315" t="s">
        <v>20</v>
      </c>
      <c r="K1315" t="s">
        <v>51</v>
      </c>
      <c r="L1315" t="s">
        <v>28</v>
      </c>
      <c r="M1315">
        <v>5000.7</v>
      </c>
      <c r="N1315">
        <v>2020</v>
      </c>
      <c r="O1315">
        <v>5</v>
      </c>
    </row>
    <row r="1316" spans="1:15" x14ac:dyDescent="0.3">
      <c r="A1316" s="1">
        <v>43975</v>
      </c>
      <c r="B1316">
        <v>1000003489</v>
      </c>
      <c r="C1316" t="s">
        <v>15</v>
      </c>
      <c r="D1316">
        <v>1</v>
      </c>
      <c r="E1316">
        <v>5000.01</v>
      </c>
      <c r="F1316" t="s">
        <v>16</v>
      </c>
      <c r="G1316" t="s">
        <v>17</v>
      </c>
      <c r="H1316" t="s">
        <v>47</v>
      </c>
      <c r="I1316" t="s">
        <v>48</v>
      </c>
      <c r="J1316" t="s">
        <v>26</v>
      </c>
      <c r="K1316" t="s">
        <v>50</v>
      </c>
      <c r="L1316" t="s">
        <v>22</v>
      </c>
      <c r="M1316">
        <v>5000.01</v>
      </c>
      <c r="N1316">
        <v>2020</v>
      </c>
      <c r="O1316">
        <v>5</v>
      </c>
    </row>
    <row r="1317" spans="1:15" x14ac:dyDescent="0.3">
      <c r="A1317" s="1">
        <v>43975</v>
      </c>
      <c r="B1317">
        <v>1000000040</v>
      </c>
      <c r="C1317" t="s">
        <v>42</v>
      </c>
      <c r="D1317">
        <v>1</v>
      </c>
      <c r="E1317">
        <v>4000.74</v>
      </c>
      <c r="F1317" t="s">
        <v>16</v>
      </c>
      <c r="G1317" t="s">
        <v>43</v>
      </c>
      <c r="H1317" t="s">
        <v>30</v>
      </c>
      <c r="I1317" t="s">
        <v>31</v>
      </c>
      <c r="J1317" t="s">
        <v>32</v>
      </c>
      <c r="K1317" t="s">
        <v>33</v>
      </c>
      <c r="L1317" t="s">
        <v>28</v>
      </c>
      <c r="M1317">
        <v>4000.74</v>
      </c>
      <c r="N1317">
        <v>2020</v>
      </c>
      <c r="O1317">
        <v>5</v>
      </c>
    </row>
    <row r="1318" spans="1:15" x14ac:dyDescent="0.3">
      <c r="A1318" s="1">
        <v>43975</v>
      </c>
      <c r="B1318">
        <v>1000000049</v>
      </c>
      <c r="C1318" t="s">
        <v>15</v>
      </c>
      <c r="D1318">
        <v>1</v>
      </c>
      <c r="E1318">
        <v>3163.73</v>
      </c>
      <c r="F1318" t="s">
        <v>16</v>
      </c>
      <c r="G1318" t="s">
        <v>17</v>
      </c>
      <c r="H1318" t="s">
        <v>18</v>
      </c>
      <c r="I1318" t="s">
        <v>40</v>
      </c>
      <c r="J1318" t="s">
        <v>26</v>
      </c>
      <c r="K1318" t="s">
        <v>41</v>
      </c>
      <c r="L1318" t="s">
        <v>22</v>
      </c>
      <c r="M1318">
        <v>3163.73</v>
      </c>
      <c r="N1318">
        <v>2020</v>
      </c>
      <c r="O1318">
        <v>5</v>
      </c>
    </row>
    <row r="1319" spans="1:15" x14ac:dyDescent="0.3">
      <c r="A1319" s="1">
        <v>43975</v>
      </c>
      <c r="B1319">
        <v>1000000029</v>
      </c>
      <c r="C1319" t="s">
        <v>42</v>
      </c>
      <c r="D1319">
        <v>1</v>
      </c>
      <c r="E1319">
        <v>1884.7</v>
      </c>
      <c r="F1319" t="s">
        <v>16</v>
      </c>
      <c r="G1319" t="s">
        <v>43</v>
      </c>
      <c r="H1319" t="s">
        <v>18</v>
      </c>
      <c r="I1319" t="s">
        <v>19</v>
      </c>
      <c r="J1319" t="s">
        <v>20</v>
      </c>
      <c r="K1319" t="s">
        <v>21</v>
      </c>
      <c r="L1319" t="s">
        <v>22</v>
      </c>
      <c r="M1319">
        <v>1884.7</v>
      </c>
      <c r="N1319">
        <v>2020</v>
      </c>
      <c r="O1319">
        <v>5</v>
      </c>
    </row>
    <row r="1320" spans="1:15" x14ac:dyDescent="0.3">
      <c r="A1320" s="1">
        <v>43975</v>
      </c>
      <c r="B1320">
        <v>1000000040</v>
      </c>
      <c r="C1320" t="s">
        <v>23</v>
      </c>
      <c r="D1320">
        <v>1</v>
      </c>
      <c r="E1320">
        <v>1537.45</v>
      </c>
      <c r="F1320" t="s">
        <v>16</v>
      </c>
      <c r="G1320" t="s">
        <v>24</v>
      </c>
      <c r="H1320" t="s">
        <v>30</v>
      </c>
      <c r="I1320" t="s">
        <v>31</v>
      </c>
      <c r="J1320" t="s">
        <v>32</v>
      </c>
      <c r="K1320" t="s">
        <v>33</v>
      </c>
      <c r="L1320" t="s">
        <v>28</v>
      </c>
      <c r="M1320">
        <v>1537.45</v>
      </c>
      <c r="N1320">
        <v>2020</v>
      </c>
      <c r="O1320">
        <v>5</v>
      </c>
    </row>
    <row r="1321" spans="1:15" x14ac:dyDescent="0.3">
      <c r="A1321" s="1">
        <v>43975</v>
      </c>
      <c r="B1321">
        <v>1000000035</v>
      </c>
      <c r="C1321" t="s">
        <v>23</v>
      </c>
      <c r="D1321">
        <v>1</v>
      </c>
      <c r="E1321">
        <v>1132.98</v>
      </c>
      <c r="F1321" t="s">
        <v>16</v>
      </c>
      <c r="G1321" t="s">
        <v>24</v>
      </c>
      <c r="H1321" t="s">
        <v>18</v>
      </c>
      <c r="I1321" t="s">
        <v>25</v>
      </c>
      <c r="J1321" t="s">
        <v>36</v>
      </c>
      <c r="K1321" t="s">
        <v>37</v>
      </c>
      <c r="L1321" t="s">
        <v>22</v>
      </c>
      <c r="M1321">
        <v>1132.98</v>
      </c>
      <c r="N1321">
        <v>2020</v>
      </c>
      <c r="O1321">
        <v>5</v>
      </c>
    </row>
    <row r="1322" spans="1:15" x14ac:dyDescent="0.3">
      <c r="A1322" s="1">
        <v>43975</v>
      </c>
      <c r="B1322">
        <v>1000000056</v>
      </c>
      <c r="C1322" t="s">
        <v>42</v>
      </c>
      <c r="D1322">
        <v>1</v>
      </c>
      <c r="E1322">
        <v>1000.59</v>
      </c>
      <c r="F1322" t="s">
        <v>16</v>
      </c>
      <c r="G1322" t="s">
        <v>43</v>
      </c>
      <c r="H1322" t="s">
        <v>18</v>
      </c>
      <c r="I1322" t="s">
        <v>34</v>
      </c>
      <c r="J1322" t="s">
        <v>26</v>
      </c>
      <c r="K1322" t="s">
        <v>35</v>
      </c>
      <c r="L1322" t="s">
        <v>28</v>
      </c>
      <c r="M1322">
        <v>1000.59</v>
      </c>
      <c r="N1322">
        <v>2020</v>
      </c>
      <c r="O1322">
        <v>5</v>
      </c>
    </row>
    <row r="1323" spans="1:15" x14ac:dyDescent="0.3">
      <c r="A1323" s="1">
        <v>43976</v>
      </c>
      <c r="B1323">
        <v>1000000576</v>
      </c>
      <c r="C1323" t="s">
        <v>15</v>
      </c>
      <c r="D1323">
        <v>4</v>
      </c>
      <c r="E1323">
        <v>77001.53</v>
      </c>
      <c r="F1323" t="s">
        <v>16</v>
      </c>
      <c r="G1323" t="s">
        <v>17</v>
      </c>
      <c r="H1323" t="s">
        <v>18</v>
      </c>
      <c r="I1323" t="s">
        <v>25</v>
      </c>
      <c r="J1323" t="s">
        <v>36</v>
      </c>
      <c r="K1323" t="s">
        <v>37</v>
      </c>
      <c r="L1323" t="s">
        <v>22</v>
      </c>
      <c r="M1323">
        <v>19250.3825</v>
      </c>
      <c r="N1323">
        <v>2020</v>
      </c>
      <c r="O1323">
        <v>5</v>
      </c>
    </row>
    <row r="1324" spans="1:15" x14ac:dyDescent="0.3">
      <c r="A1324" s="1">
        <v>43976</v>
      </c>
      <c r="B1324">
        <v>1000000054</v>
      </c>
      <c r="C1324" t="s">
        <v>15</v>
      </c>
      <c r="D1324">
        <v>3</v>
      </c>
      <c r="E1324">
        <v>45001.4</v>
      </c>
      <c r="F1324" t="s">
        <v>16</v>
      </c>
      <c r="G1324" t="s">
        <v>17</v>
      </c>
      <c r="H1324" t="s">
        <v>18</v>
      </c>
      <c r="I1324" t="s">
        <v>34</v>
      </c>
      <c r="J1324" t="s">
        <v>26</v>
      </c>
      <c r="K1324" t="s">
        <v>35</v>
      </c>
      <c r="L1324" t="s">
        <v>22</v>
      </c>
      <c r="M1324">
        <v>15000.466666666667</v>
      </c>
      <c r="N1324">
        <v>2020</v>
      </c>
      <c r="O1324">
        <v>5</v>
      </c>
    </row>
    <row r="1325" spans="1:15" x14ac:dyDescent="0.3">
      <c r="A1325" s="1">
        <v>43976</v>
      </c>
      <c r="B1325">
        <v>1000000067</v>
      </c>
      <c r="C1325" t="s">
        <v>15</v>
      </c>
      <c r="D1325">
        <v>3</v>
      </c>
      <c r="E1325">
        <v>45000.99</v>
      </c>
      <c r="F1325" t="s">
        <v>16</v>
      </c>
      <c r="G1325" t="s">
        <v>17</v>
      </c>
      <c r="H1325" t="s">
        <v>18</v>
      </c>
      <c r="I1325" t="s">
        <v>25</v>
      </c>
      <c r="J1325" t="s">
        <v>20</v>
      </c>
      <c r="K1325" t="s">
        <v>51</v>
      </c>
      <c r="L1325" t="s">
        <v>22</v>
      </c>
      <c r="M1325">
        <v>15000.33</v>
      </c>
      <c r="N1325">
        <v>2020</v>
      </c>
      <c r="O1325">
        <v>5</v>
      </c>
    </row>
    <row r="1326" spans="1:15" x14ac:dyDescent="0.3">
      <c r="A1326" s="1">
        <v>43976</v>
      </c>
      <c r="B1326">
        <v>1000000046</v>
      </c>
      <c r="C1326" t="s">
        <v>15</v>
      </c>
      <c r="D1326">
        <v>1</v>
      </c>
      <c r="E1326">
        <v>25000.58</v>
      </c>
      <c r="F1326" t="s">
        <v>16</v>
      </c>
      <c r="G1326" t="s">
        <v>17</v>
      </c>
      <c r="H1326" t="s">
        <v>30</v>
      </c>
      <c r="I1326" t="s">
        <v>38</v>
      </c>
      <c r="J1326" t="s">
        <v>26</v>
      </c>
      <c r="K1326" t="s">
        <v>39</v>
      </c>
      <c r="L1326" t="s">
        <v>22</v>
      </c>
      <c r="M1326">
        <v>25000.58</v>
      </c>
      <c r="N1326">
        <v>2020</v>
      </c>
      <c r="O1326">
        <v>5</v>
      </c>
    </row>
    <row r="1327" spans="1:15" x14ac:dyDescent="0.3">
      <c r="A1327" s="1">
        <v>43976</v>
      </c>
      <c r="B1327">
        <v>1000000594</v>
      </c>
      <c r="C1327" t="s">
        <v>15</v>
      </c>
      <c r="D1327">
        <v>2</v>
      </c>
      <c r="E1327">
        <v>25000.36</v>
      </c>
      <c r="F1327" t="s">
        <v>16</v>
      </c>
      <c r="G1327" t="s">
        <v>17</v>
      </c>
      <c r="H1327" t="s">
        <v>18</v>
      </c>
      <c r="I1327" t="s">
        <v>25</v>
      </c>
      <c r="J1327" t="s">
        <v>20</v>
      </c>
      <c r="K1327" t="s">
        <v>51</v>
      </c>
      <c r="L1327" t="s">
        <v>22</v>
      </c>
      <c r="M1327">
        <v>12500.18</v>
      </c>
      <c r="N1327">
        <v>2020</v>
      </c>
      <c r="O1327">
        <v>5</v>
      </c>
    </row>
    <row r="1328" spans="1:15" x14ac:dyDescent="0.3">
      <c r="A1328" s="1">
        <v>43976</v>
      </c>
      <c r="B1328">
        <v>1000004256</v>
      </c>
      <c r="C1328" t="s">
        <v>42</v>
      </c>
      <c r="D1328">
        <v>2</v>
      </c>
      <c r="E1328">
        <v>23500.43</v>
      </c>
      <c r="F1328" t="s">
        <v>16</v>
      </c>
      <c r="G1328" t="s">
        <v>43</v>
      </c>
      <c r="H1328" t="s">
        <v>18</v>
      </c>
      <c r="I1328" t="s">
        <v>40</v>
      </c>
      <c r="J1328" t="s">
        <v>26</v>
      </c>
      <c r="K1328" t="s">
        <v>41</v>
      </c>
      <c r="L1328" t="s">
        <v>22</v>
      </c>
      <c r="M1328">
        <v>11750.215</v>
      </c>
      <c r="N1328">
        <v>2020</v>
      </c>
      <c r="O1328">
        <v>5</v>
      </c>
    </row>
    <row r="1329" spans="1:15" x14ac:dyDescent="0.3">
      <c r="A1329" s="1">
        <v>43976</v>
      </c>
      <c r="B1329">
        <v>1000006867</v>
      </c>
      <c r="C1329" t="s">
        <v>15</v>
      </c>
      <c r="D1329">
        <v>2</v>
      </c>
      <c r="E1329">
        <v>22000.5</v>
      </c>
      <c r="F1329" t="s">
        <v>16</v>
      </c>
      <c r="G1329" t="s">
        <v>17</v>
      </c>
      <c r="H1329" t="s">
        <v>18</v>
      </c>
      <c r="I1329" t="s">
        <v>61</v>
      </c>
      <c r="J1329" t="s">
        <v>26</v>
      </c>
      <c r="K1329" t="s">
        <v>62</v>
      </c>
      <c r="L1329" t="s">
        <v>22</v>
      </c>
      <c r="M1329">
        <v>11000.25</v>
      </c>
      <c r="N1329">
        <v>2020</v>
      </c>
      <c r="O1329">
        <v>5</v>
      </c>
    </row>
    <row r="1330" spans="1:15" x14ac:dyDescent="0.3">
      <c r="A1330" s="1">
        <v>43976</v>
      </c>
      <c r="B1330">
        <v>1000006859</v>
      </c>
      <c r="C1330" t="s">
        <v>42</v>
      </c>
      <c r="D1330">
        <v>1</v>
      </c>
      <c r="E1330">
        <v>22000.34</v>
      </c>
      <c r="F1330" t="s">
        <v>16</v>
      </c>
      <c r="G1330" t="s">
        <v>43</v>
      </c>
      <c r="H1330" t="s">
        <v>18</v>
      </c>
      <c r="I1330" t="s">
        <v>61</v>
      </c>
      <c r="J1330" t="s">
        <v>26</v>
      </c>
      <c r="K1330" t="s">
        <v>62</v>
      </c>
      <c r="L1330" t="s">
        <v>22</v>
      </c>
      <c r="M1330">
        <v>22000.34</v>
      </c>
      <c r="N1330">
        <v>2020</v>
      </c>
      <c r="O1330">
        <v>5</v>
      </c>
    </row>
    <row r="1331" spans="1:15" x14ac:dyDescent="0.3">
      <c r="A1331" s="1">
        <v>43976</v>
      </c>
      <c r="B1331">
        <v>1000000045</v>
      </c>
      <c r="C1331" t="s">
        <v>23</v>
      </c>
      <c r="D1331">
        <v>1</v>
      </c>
      <c r="E1331">
        <v>22000.12</v>
      </c>
      <c r="F1331" t="s">
        <v>16</v>
      </c>
      <c r="G1331" t="s">
        <v>24</v>
      </c>
      <c r="H1331" t="s">
        <v>47</v>
      </c>
      <c r="I1331" t="s">
        <v>59</v>
      </c>
      <c r="J1331" t="s">
        <v>26</v>
      </c>
      <c r="K1331" t="s">
        <v>60</v>
      </c>
      <c r="L1331" t="s">
        <v>22</v>
      </c>
      <c r="M1331">
        <v>22000.12</v>
      </c>
      <c r="N1331">
        <v>2020</v>
      </c>
      <c r="O1331">
        <v>5</v>
      </c>
    </row>
    <row r="1332" spans="1:15" x14ac:dyDescent="0.3">
      <c r="A1332" s="1">
        <v>43976</v>
      </c>
      <c r="B1332">
        <v>1000003803</v>
      </c>
      <c r="C1332" t="s">
        <v>15</v>
      </c>
      <c r="D1332">
        <v>2</v>
      </c>
      <c r="E1332">
        <v>20000.440000000002</v>
      </c>
      <c r="F1332" t="s">
        <v>16</v>
      </c>
      <c r="G1332" t="s">
        <v>17</v>
      </c>
      <c r="H1332" t="s">
        <v>30</v>
      </c>
      <c r="I1332" t="s">
        <v>31</v>
      </c>
      <c r="J1332" t="s">
        <v>36</v>
      </c>
      <c r="K1332" t="s">
        <v>52</v>
      </c>
      <c r="L1332" t="s">
        <v>22</v>
      </c>
      <c r="M1332">
        <v>10000.219999999999</v>
      </c>
      <c r="N1332">
        <v>2020</v>
      </c>
      <c r="O1332">
        <v>5</v>
      </c>
    </row>
    <row r="1333" spans="1:15" x14ac:dyDescent="0.3">
      <c r="A1333" s="1">
        <v>43976</v>
      </c>
      <c r="B1333">
        <v>1000000029</v>
      </c>
      <c r="C1333" t="s">
        <v>15</v>
      </c>
      <c r="D1333">
        <v>2</v>
      </c>
      <c r="E1333">
        <v>19800.330000000002</v>
      </c>
      <c r="F1333" t="s">
        <v>16</v>
      </c>
      <c r="G1333" t="s">
        <v>17</v>
      </c>
      <c r="H1333" t="s">
        <v>18</v>
      </c>
      <c r="I1333" t="s">
        <v>19</v>
      </c>
      <c r="J1333" t="s">
        <v>20</v>
      </c>
      <c r="K1333" t="s">
        <v>21</v>
      </c>
      <c r="L1333" t="s">
        <v>22</v>
      </c>
      <c r="M1333">
        <v>9900.1650000000009</v>
      </c>
      <c r="N1333">
        <v>2020</v>
      </c>
      <c r="O1333">
        <v>5</v>
      </c>
    </row>
    <row r="1334" spans="1:15" x14ac:dyDescent="0.3">
      <c r="A1334" s="1">
        <v>43976</v>
      </c>
      <c r="B1334">
        <v>1000007197</v>
      </c>
      <c r="C1334" t="s">
        <v>42</v>
      </c>
      <c r="D1334">
        <v>1</v>
      </c>
      <c r="E1334">
        <v>18000.060000000001</v>
      </c>
      <c r="F1334" t="s">
        <v>16</v>
      </c>
      <c r="G1334" t="s">
        <v>43</v>
      </c>
      <c r="H1334" t="s">
        <v>18</v>
      </c>
      <c r="I1334" t="s">
        <v>40</v>
      </c>
      <c r="J1334" t="s">
        <v>26</v>
      </c>
      <c r="K1334" t="s">
        <v>41</v>
      </c>
      <c r="L1334" t="s">
        <v>22</v>
      </c>
      <c r="M1334">
        <v>18000.060000000001</v>
      </c>
      <c r="N1334">
        <v>2020</v>
      </c>
      <c r="O1334">
        <v>5</v>
      </c>
    </row>
    <row r="1335" spans="1:15" x14ac:dyDescent="0.3">
      <c r="A1335" s="1">
        <v>43976</v>
      </c>
      <c r="B1335">
        <v>1000000067</v>
      </c>
      <c r="C1335" t="s">
        <v>23</v>
      </c>
      <c r="D1335">
        <v>1</v>
      </c>
      <c r="E1335">
        <v>18000.03</v>
      </c>
      <c r="F1335" t="s">
        <v>16</v>
      </c>
      <c r="G1335" t="s">
        <v>24</v>
      </c>
      <c r="H1335" t="s">
        <v>18</v>
      </c>
      <c r="I1335" t="s">
        <v>25</v>
      </c>
      <c r="J1335" t="s">
        <v>20</v>
      </c>
      <c r="K1335" t="s">
        <v>51</v>
      </c>
      <c r="L1335" t="s">
        <v>22</v>
      </c>
      <c r="M1335">
        <v>18000.03</v>
      </c>
      <c r="N1335">
        <v>2020</v>
      </c>
      <c r="O1335">
        <v>5</v>
      </c>
    </row>
    <row r="1336" spans="1:15" x14ac:dyDescent="0.3">
      <c r="A1336" s="1">
        <v>43976</v>
      </c>
      <c r="B1336">
        <v>1000000928</v>
      </c>
      <c r="C1336" t="s">
        <v>15</v>
      </c>
      <c r="D1336">
        <v>1</v>
      </c>
      <c r="E1336">
        <v>17000.419999999998</v>
      </c>
      <c r="F1336" t="s">
        <v>16</v>
      </c>
      <c r="G1336" t="s">
        <v>17</v>
      </c>
      <c r="H1336" t="s">
        <v>30</v>
      </c>
      <c r="I1336" t="s">
        <v>57</v>
      </c>
      <c r="J1336" t="s">
        <v>26</v>
      </c>
      <c r="K1336" t="s">
        <v>58</v>
      </c>
      <c r="L1336" t="s">
        <v>22</v>
      </c>
      <c r="M1336">
        <v>17000.419999999998</v>
      </c>
      <c r="N1336">
        <v>2020</v>
      </c>
      <c r="O1336">
        <v>5</v>
      </c>
    </row>
    <row r="1337" spans="1:15" x14ac:dyDescent="0.3">
      <c r="A1337" s="1">
        <v>43976</v>
      </c>
      <c r="B1337">
        <v>1000000050</v>
      </c>
      <c r="C1337" t="s">
        <v>42</v>
      </c>
      <c r="D1337">
        <v>1</v>
      </c>
      <c r="E1337">
        <v>17000.2</v>
      </c>
      <c r="F1337" t="s">
        <v>16</v>
      </c>
      <c r="G1337" t="s">
        <v>43</v>
      </c>
      <c r="H1337" t="s">
        <v>18</v>
      </c>
      <c r="I1337" t="s">
        <v>40</v>
      </c>
      <c r="J1337" t="s">
        <v>26</v>
      </c>
      <c r="K1337" t="s">
        <v>41</v>
      </c>
      <c r="L1337" t="s">
        <v>22</v>
      </c>
      <c r="M1337">
        <v>17000.2</v>
      </c>
      <c r="N1337">
        <v>2020</v>
      </c>
      <c r="O1337">
        <v>5</v>
      </c>
    </row>
    <row r="1338" spans="1:15" x14ac:dyDescent="0.3">
      <c r="A1338" s="1">
        <v>43976</v>
      </c>
      <c r="B1338">
        <v>1000000041</v>
      </c>
      <c r="C1338" t="s">
        <v>15</v>
      </c>
      <c r="D1338">
        <v>1</v>
      </c>
      <c r="E1338">
        <v>16999.95</v>
      </c>
      <c r="F1338" t="s">
        <v>16</v>
      </c>
      <c r="G1338" t="s">
        <v>17</v>
      </c>
      <c r="H1338" t="s">
        <v>30</v>
      </c>
      <c r="I1338" t="s">
        <v>31</v>
      </c>
      <c r="J1338" t="s">
        <v>32</v>
      </c>
      <c r="K1338" t="s">
        <v>33</v>
      </c>
      <c r="L1338" t="s">
        <v>22</v>
      </c>
      <c r="M1338">
        <v>16999.95</v>
      </c>
      <c r="N1338">
        <v>2020</v>
      </c>
      <c r="O1338">
        <v>5</v>
      </c>
    </row>
    <row r="1339" spans="1:15" x14ac:dyDescent="0.3">
      <c r="A1339" s="1">
        <v>43976</v>
      </c>
      <c r="B1339">
        <v>1000000068</v>
      </c>
      <c r="C1339" t="s">
        <v>15</v>
      </c>
      <c r="D1339">
        <v>1</v>
      </c>
      <c r="E1339">
        <v>16000.1</v>
      </c>
      <c r="F1339" t="s">
        <v>16</v>
      </c>
      <c r="G1339" t="s">
        <v>17</v>
      </c>
      <c r="H1339" t="s">
        <v>30</v>
      </c>
      <c r="I1339" t="s">
        <v>55</v>
      </c>
      <c r="J1339" t="s">
        <v>26</v>
      </c>
      <c r="K1339" t="s">
        <v>56</v>
      </c>
      <c r="L1339" t="s">
        <v>28</v>
      </c>
      <c r="M1339">
        <v>16000.1</v>
      </c>
      <c r="N1339">
        <v>2020</v>
      </c>
      <c r="O1339">
        <v>5</v>
      </c>
    </row>
    <row r="1340" spans="1:15" x14ac:dyDescent="0.3">
      <c r="A1340" s="1">
        <v>43976</v>
      </c>
      <c r="B1340">
        <v>1000000028</v>
      </c>
      <c r="C1340" t="s">
        <v>23</v>
      </c>
      <c r="D1340">
        <v>1</v>
      </c>
      <c r="E1340">
        <v>16000.09</v>
      </c>
      <c r="F1340" t="s">
        <v>16</v>
      </c>
      <c r="G1340" t="s">
        <v>24</v>
      </c>
      <c r="H1340" t="s">
        <v>18</v>
      </c>
      <c r="I1340" t="s">
        <v>19</v>
      </c>
      <c r="J1340" t="s">
        <v>20</v>
      </c>
      <c r="K1340" t="s">
        <v>21</v>
      </c>
      <c r="L1340" t="s">
        <v>22</v>
      </c>
      <c r="M1340">
        <v>16000.09</v>
      </c>
      <c r="N1340">
        <v>2020</v>
      </c>
      <c r="O1340">
        <v>5</v>
      </c>
    </row>
    <row r="1341" spans="1:15" x14ac:dyDescent="0.3">
      <c r="A1341" s="1">
        <v>43976</v>
      </c>
      <c r="B1341">
        <v>1000003926</v>
      </c>
      <c r="C1341" t="s">
        <v>23</v>
      </c>
      <c r="D1341">
        <v>1</v>
      </c>
      <c r="E1341">
        <v>15000.75</v>
      </c>
      <c r="F1341" t="s">
        <v>16</v>
      </c>
      <c r="G1341" t="s">
        <v>24</v>
      </c>
      <c r="H1341" t="s">
        <v>47</v>
      </c>
      <c r="I1341" t="s">
        <v>48</v>
      </c>
      <c r="J1341" t="s">
        <v>26</v>
      </c>
      <c r="K1341" t="s">
        <v>50</v>
      </c>
      <c r="L1341" t="s">
        <v>28</v>
      </c>
      <c r="M1341">
        <v>15000.75</v>
      </c>
      <c r="N1341">
        <v>2020</v>
      </c>
      <c r="O1341">
        <v>5</v>
      </c>
    </row>
    <row r="1342" spans="1:15" x14ac:dyDescent="0.3">
      <c r="A1342" s="1">
        <v>43976</v>
      </c>
      <c r="B1342">
        <v>1000000036</v>
      </c>
      <c r="C1342" t="s">
        <v>23</v>
      </c>
      <c r="D1342">
        <v>1</v>
      </c>
      <c r="E1342">
        <v>15000.25</v>
      </c>
      <c r="F1342" t="s">
        <v>16</v>
      </c>
      <c r="G1342" t="s">
        <v>24</v>
      </c>
      <c r="H1342" t="s">
        <v>47</v>
      </c>
      <c r="I1342" t="s">
        <v>48</v>
      </c>
      <c r="J1342" t="s">
        <v>36</v>
      </c>
      <c r="K1342" t="s">
        <v>49</v>
      </c>
      <c r="L1342" t="s">
        <v>28</v>
      </c>
      <c r="M1342">
        <v>15000.25</v>
      </c>
      <c r="N1342">
        <v>2020</v>
      </c>
      <c r="O1342">
        <v>5</v>
      </c>
    </row>
    <row r="1343" spans="1:15" x14ac:dyDescent="0.3">
      <c r="A1343" s="1">
        <v>43976</v>
      </c>
      <c r="B1343">
        <v>1000000031</v>
      </c>
      <c r="C1343" t="s">
        <v>23</v>
      </c>
      <c r="D1343">
        <v>1</v>
      </c>
      <c r="E1343">
        <v>13000.54</v>
      </c>
      <c r="F1343" t="s">
        <v>16</v>
      </c>
      <c r="G1343" t="s">
        <v>24</v>
      </c>
      <c r="H1343" t="s">
        <v>18</v>
      </c>
      <c r="I1343" t="s">
        <v>19</v>
      </c>
      <c r="J1343" t="s">
        <v>26</v>
      </c>
      <c r="K1343" t="s">
        <v>29</v>
      </c>
      <c r="L1343" t="s">
        <v>28</v>
      </c>
      <c r="M1343">
        <v>13000.54</v>
      </c>
      <c r="N1343">
        <v>2020</v>
      </c>
      <c r="O1343">
        <v>5</v>
      </c>
    </row>
    <row r="1344" spans="1:15" x14ac:dyDescent="0.3">
      <c r="A1344" s="1">
        <v>43976</v>
      </c>
      <c r="B1344">
        <v>1000007320</v>
      </c>
      <c r="C1344" t="s">
        <v>23</v>
      </c>
      <c r="D1344">
        <v>1</v>
      </c>
      <c r="E1344">
        <v>12000.33</v>
      </c>
      <c r="F1344" t="s">
        <v>16</v>
      </c>
      <c r="G1344" t="s">
        <v>24</v>
      </c>
      <c r="H1344" t="s">
        <v>18</v>
      </c>
      <c r="I1344" t="s">
        <v>34</v>
      </c>
      <c r="J1344" t="s">
        <v>26</v>
      </c>
      <c r="K1344" t="s">
        <v>35</v>
      </c>
      <c r="L1344" t="s">
        <v>22</v>
      </c>
      <c r="M1344">
        <v>12000.33</v>
      </c>
      <c r="N1344">
        <v>2020</v>
      </c>
      <c r="O1344">
        <v>5</v>
      </c>
    </row>
    <row r="1345" spans="1:15" x14ac:dyDescent="0.3">
      <c r="A1345" s="1">
        <v>43976</v>
      </c>
      <c r="B1345">
        <v>1000000050</v>
      </c>
      <c r="C1345" t="s">
        <v>15</v>
      </c>
      <c r="D1345">
        <v>1</v>
      </c>
      <c r="E1345">
        <v>12000.25</v>
      </c>
      <c r="F1345" t="s">
        <v>16</v>
      </c>
      <c r="G1345" t="s">
        <v>17</v>
      </c>
      <c r="H1345" t="s">
        <v>18</v>
      </c>
      <c r="I1345" t="s">
        <v>40</v>
      </c>
      <c r="J1345" t="s">
        <v>26</v>
      </c>
      <c r="K1345" t="s">
        <v>41</v>
      </c>
      <c r="L1345" t="s">
        <v>22</v>
      </c>
      <c r="M1345">
        <v>12000.25</v>
      </c>
      <c r="N1345">
        <v>2020</v>
      </c>
      <c r="O1345">
        <v>5</v>
      </c>
    </row>
    <row r="1346" spans="1:15" x14ac:dyDescent="0.3">
      <c r="A1346" s="1">
        <v>43976</v>
      </c>
      <c r="B1346">
        <v>1000000068</v>
      </c>
      <c r="C1346" t="s">
        <v>23</v>
      </c>
      <c r="D1346">
        <v>2</v>
      </c>
      <c r="E1346">
        <v>11700.74</v>
      </c>
      <c r="F1346" t="s">
        <v>16</v>
      </c>
      <c r="G1346" t="s">
        <v>24</v>
      </c>
      <c r="H1346" t="s">
        <v>30</v>
      </c>
      <c r="I1346" t="s">
        <v>55</v>
      </c>
      <c r="J1346" t="s">
        <v>26</v>
      </c>
      <c r="K1346" t="s">
        <v>56</v>
      </c>
      <c r="L1346" t="s">
        <v>28</v>
      </c>
      <c r="M1346">
        <v>5850.37</v>
      </c>
      <c r="N1346">
        <v>2020</v>
      </c>
      <c r="O1346">
        <v>5</v>
      </c>
    </row>
    <row r="1347" spans="1:15" x14ac:dyDescent="0.3">
      <c r="A1347" s="1">
        <v>43976</v>
      </c>
      <c r="B1347">
        <v>1000006064</v>
      </c>
      <c r="C1347" t="s">
        <v>23</v>
      </c>
      <c r="D1347">
        <v>2</v>
      </c>
      <c r="E1347">
        <v>11000.7</v>
      </c>
      <c r="F1347" t="s">
        <v>16</v>
      </c>
      <c r="G1347" t="s">
        <v>24</v>
      </c>
      <c r="H1347" t="s">
        <v>18</v>
      </c>
      <c r="I1347" t="s">
        <v>40</v>
      </c>
      <c r="J1347" t="s">
        <v>26</v>
      </c>
      <c r="K1347" t="s">
        <v>41</v>
      </c>
      <c r="L1347" t="s">
        <v>22</v>
      </c>
      <c r="M1347">
        <v>5500.35</v>
      </c>
      <c r="N1347">
        <v>2020</v>
      </c>
      <c r="O1347">
        <v>5</v>
      </c>
    </row>
    <row r="1348" spans="1:15" x14ac:dyDescent="0.3">
      <c r="A1348" s="1">
        <v>43976</v>
      </c>
      <c r="B1348">
        <v>1000000566</v>
      </c>
      <c r="C1348" t="s">
        <v>42</v>
      </c>
      <c r="D1348">
        <v>1</v>
      </c>
      <c r="E1348">
        <v>11000.65</v>
      </c>
      <c r="F1348" t="s">
        <v>16</v>
      </c>
      <c r="G1348" t="s">
        <v>43</v>
      </c>
      <c r="H1348" t="s">
        <v>47</v>
      </c>
      <c r="I1348" t="s">
        <v>48</v>
      </c>
      <c r="J1348" t="s">
        <v>36</v>
      </c>
      <c r="K1348" t="s">
        <v>49</v>
      </c>
      <c r="L1348" t="s">
        <v>22</v>
      </c>
      <c r="M1348">
        <v>11000.65</v>
      </c>
      <c r="N1348">
        <v>2020</v>
      </c>
      <c r="O1348">
        <v>5</v>
      </c>
    </row>
    <row r="1349" spans="1:15" x14ac:dyDescent="0.3">
      <c r="A1349" s="1">
        <v>43976</v>
      </c>
      <c r="B1349">
        <v>1000000067</v>
      </c>
      <c r="C1349" t="s">
        <v>42</v>
      </c>
      <c r="D1349">
        <v>2</v>
      </c>
      <c r="E1349">
        <v>10813.68</v>
      </c>
      <c r="F1349" t="s">
        <v>16</v>
      </c>
      <c r="G1349" t="s">
        <v>43</v>
      </c>
      <c r="H1349" t="s">
        <v>18</v>
      </c>
      <c r="I1349" t="s">
        <v>25</v>
      </c>
      <c r="J1349" t="s">
        <v>20</v>
      </c>
      <c r="K1349" t="s">
        <v>51</v>
      </c>
      <c r="L1349" t="s">
        <v>22</v>
      </c>
      <c r="M1349">
        <v>5406.84</v>
      </c>
      <c r="N1349">
        <v>2020</v>
      </c>
      <c r="O1349">
        <v>5</v>
      </c>
    </row>
    <row r="1350" spans="1:15" x14ac:dyDescent="0.3">
      <c r="A1350" s="1">
        <v>43976</v>
      </c>
      <c r="B1350">
        <v>1000003803</v>
      </c>
      <c r="C1350" t="s">
        <v>23</v>
      </c>
      <c r="D1350">
        <v>1</v>
      </c>
      <c r="E1350">
        <v>10000.73</v>
      </c>
      <c r="F1350" t="s">
        <v>16</v>
      </c>
      <c r="G1350" t="s">
        <v>24</v>
      </c>
      <c r="H1350" t="s">
        <v>30</v>
      </c>
      <c r="I1350" t="s">
        <v>31</v>
      </c>
      <c r="J1350" t="s">
        <v>36</v>
      </c>
      <c r="K1350" t="s">
        <v>52</v>
      </c>
      <c r="L1350" t="s">
        <v>22</v>
      </c>
      <c r="M1350">
        <v>10000.73</v>
      </c>
      <c r="N1350">
        <v>2020</v>
      </c>
      <c r="O1350">
        <v>5</v>
      </c>
    </row>
    <row r="1351" spans="1:15" x14ac:dyDescent="0.3">
      <c r="A1351" s="1">
        <v>43976</v>
      </c>
      <c r="B1351">
        <v>1000000566</v>
      </c>
      <c r="C1351" t="s">
        <v>15</v>
      </c>
      <c r="D1351">
        <v>1</v>
      </c>
      <c r="E1351">
        <v>10000.530000000001</v>
      </c>
      <c r="F1351" t="s">
        <v>16</v>
      </c>
      <c r="G1351" t="s">
        <v>17</v>
      </c>
      <c r="H1351" t="s">
        <v>47</v>
      </c>
      <c r="I1351" t="s">
        <v>48</v>
      </c>
      <c r="J1351" t="s">
        <v>36</v>
      </c>
      <c r="K1351" t="s">
        <v>49</v>
      </c>
      <c r="L1351" t="s">
        <v>22</v>
      </c>
      <c r="M1351">
        <v>10000.530000000001</v>
      </c>
      <c r="N1351">
        <v>2020</v>
      </c>
      <c r="O1351">
        <v>5</v>
      </c>
    </row>
    <row r="1352" spans="1:15" x14ac:dyDescent="0.3">
      <c r="A1352" s="1">
        <v>43976</v>
      </c>
      <c r="B1352">
        <v>1000000056</v>
      </c>
      <c r="C1352" t="s">
        <v>42</v>
      </c>
      <c r="D1352">
        <v>1</v>
      </c>
      <c r="E1352">
        <v>10000.5</v>
      </c>
      <c r="F1352" t="s">
        <v>16</v>
      </c>
      <c r="G1352" t="s">
        <v>43</v>
      </c>
      <c r="H1352" t="s">
        <v>18</v>
      </c>
      <c r="I1352" t="s">
        <v>34</v>
      </c>
      <c r="J1352" t="s">
        <v>26</v>
      </c>
      <c r="K1352" t="s">
        <v>35</v>
      </c>
      <c r="L1352" t="s">
        <v>28</v>
      </c>
      <c r="M1352">
        <v>10000.5</v>
      </c>
      <c r="N1352">
        <v>2020</v>
      </c>
      <c r="O1352">
        <v>5</v>
      </c>
    </row>
    <row r="1353" spans="1:15" x14ac:dyDescent="0.3">
      <c r="A1353" s="1">
        <v>43976</v>
      </c>
      <c r="B1353">
        <v>1000004170</v>
      </c>
      <c r="C1353" t="s">
        <v>15</v>
      </c>
      <c r="D1353">
        <v>1</v>
      </c>
      <c r="E1353">
        <v>10000.33</v>
      </c>
      <c r="F1353" t="s">
        <v>16</v>
      </c>
      <c r="G1353" t="s">
        <v>17</v>
      </c>
      <c r="H1353" t="s">
        <v>18</v>
      </c>
      <c r="I1353" t="s">
        <v>34</v>
      </c>
      <c r="J1353" t="s">
        <v>20</v>
      </c>
      <c r="K1353" t="s">
        <v>44</v>
      </c>
      <c r="L1353" t="s">
        <v>28</v>
      </c>
      <c r="M1353">
        <v>10000.33</v>
      </c>
      <c r="N1353">
        <v>2020</v>
      </c>
      <c r="O1353">
        <v>5</v>
      </c>
    </row>
    <row r="1354" spans="1:15" x14ac:dyDescent="0.3">
      <c r="A1354" s="1">
        <v>43976</v>
      </c>
      <c r="B1354">
        <v>1000005873</v>
      </c>
      <c r="C1354" t="s">
        <v>23</v>
      </c>
      <c r="D1354">
        <v>1</v>
      </c>
      <c r="E1354">
        <v>9999.98</v>
      </c>
      <c r="F1354" t="s">
        <v>16</v>
      </c>
      <c r="G1354" t="s">
        <v>24</v>
      </c>
      <c r="H1354" t="s">
        <v>18</v>
      </c>
      <c r="I1354" t="s">
        <v>19</v>
      </c>
      <c r="J1354" t="s">
        <v>20</v>
      </c>
      <c r="K1354" t="s">
        <v>21</v>
      </c>
      <c r="L1354" t="s">
        <v>28</v>
      </c>
      <c r="M1354">
        <v>9999.98</v>
      </c>
      <c r="N1354">
        <v>2020</v>
      </c>
      <c r="O1354">
        <v>5</v>
      </c>
    </row>
    <row r="1355" spans="1:15" x14ac:dyDescent="0.3">
      <c r="A1355" s="1">
        <v>43976</v>
      </c>
      <c r="B1355">
        <v>1000000056</v>
      </c>
      <c r="C1355" t="s">
        <v>23</v>
      </c>
      <c r="D1355">
        <v>1</v>
      </c>
      <c r="E1355">
        <v>9999.9599999999991</v>
      </c>
      <c r="F1355" t="s">
        <v>16</v>
      </c>
      <c r="G1355" t="s">
        <v>24</v>
      </c>
      <c r="H1355" t="s">
        <v>18</v>
      </c>
      <c r="I1355" t="s">
        <v>34</v>
      </c>
      <c r="J1355" t="s">
        <v>26</v>
      </c>
      <c r="K1355" t="s">
        <v>35</v>
      </c>
      <c r="L1355" t="s">
        <v>28</v>
      </c>
      <c r="M1355">
        <v>9999.9599999999991</v>
      </c>
      <c r="N1355">
        <v>2020</v>
      </c>
      <c r="O1355">
        <v>5</v>
      </c>
    </row>
    <row r="1356" spans="1:15" x14ac:dyDescent="0.3">
      <c r="A1356" s="1">
        <v>43976</v>
      </c>
      <c r="B1356">
        <v>1000000030</v>
      </c>
      <c r="C1356" t="s">
        <v>15</v>
      </c>
      <c r="D1356">
        <v>1</v>
      </c>
      <c r="E1356">
        <v>9000.27</v>
      </c>
      <c r="F1356" t="s">
        <v>16</v>
      </c>
      <c r="G1356" t="s">
        <v>17</v>
      </c>
      <c r="H1356" t="s">
        <v>47</v>
      </c>
      <c r="I1356" t="s">
        <v>48</v>
      </c>
      <c r="J1356" t="s">
        <v>36</v>
      </c>
      <c r="K1356" t="s">
        <v>49</v>
      </c>
      <c r="L1356" t="s">
        <v>22</v>
      </c>
      <c r="M1356">
        <v>9000.27</v>
      </c>
      <c r="N1356">
        <v>2020</v>
      </c>
      <c r="O1356">
        <v>5</v>
      </c>
    </row>
    <row r="1357" spans="1:15" x14ac:dyDescent="0.3">
      <c r="A1357" s="1">
        <v>43976</v>
      </c>
      <c r="B1357">
        <v>1000000037</v>
      </c>
      <c r="C1357" t="s">
        <v>15</v>
      </c>
      <c r="D1357">
        <v>1</v>
      </c>
      <c r="E1357">
        <v>9000.15</v>
      </c>
      <c r="F1357" t="s">
        <v>16</v>
      </c>
      <c r="G1357" t="s">
        <v>17</v>
      </c>
      <c r="H1357" t="s">
        <v>18</v>
      </c>
      <c r="I1357" t="s">
        <v>19</v>
      </c>
      <c r="J1357" t="s">
        <v>20</v>
      </c>
      <c r="K1357" t="s">
        <v>21</v>
      </c>
      <c r="L1357" t="s">
        <v>22</v>
      </c>
      <c r="M1357">
        <v>9000.15</v>
      </c>
      <c r="N1357">
        <v>2020</v>
      </c>
      <c r="O1357">
        <v>5</v>
      </c>
    </row>
    <row r="1358" spans="1:15" x14ac:dyDescent="0.3">
      <c r="A1358" s="1">
        <v>43976</v>
      </c>
      <c r="B1358">
        <v>1000004256</v>
      </c>
      <c r="C1358" t="s">
        <v>23</v>
      </c>
      <c r="D1358">
        <v>1</v>
      </c>
      <c r="E1358">
        <v>9000.11</v>
      </c>
      <c r="F1358" t="s">
        <v>16</v>
      </c>
      <c r="G1358" t="s">
        <v>24</v>
      </c>
      <c r="H1358" t="s">
        <v>18</v>
      </c>
      <c r="I1358" t="s">
        <v>40</v>
      </c>
      <c r="J1358" t="s">
        <v>26</v>
      </c>
      <c r="K1358" t="s">
        <v>41</v>
      </c>
      <c r="L1358" t="s">
        <v>22</v>
      </c>
      <c r="M1358">
        <v>9000.11</v>
      </c>
      <c r="N1358">
        <v>2020</v>
      </c>
      <c r="O1358">
        <v>5</v>
      </c>
    </row>
    <row r="1359" spans="1:15" x14ac:dyDescent="0.3">
      <c r="A1359" s="1">
        <v>43976</v>
      </c>
      <c r="B1359">
        <v>1000000033</v>
      </c>
      <c r="C1359" t="s">
        <v>15</v>
      </c>
      <c r="D1359">
        <v>1</v>
      </c>
      <c r="E1359">
        <v>8000.72</v>
      </c>
      <c r="F1359" t="s">
        <v>16</v>
      </c>
      <c r="G1359" t="s">
        <v>17</v>
      </c>
      <c r="H1359" t="s">
        <v>18</v>
      </c>
      <c r="I1359" t="s">
        <v>25</v>
      </c>
      <c r="J1359" t="s">
        <v>26</v>
      </c>
      <c r="K1359" t="s">
        <v>27</v>
      </c>
      <c r="L1359" t="s">
        <v>22</v>
      </c>
      <c r="M1359">
        <v>8000.72</v>
      </c>
      <c r="N1359">
        <v>2020</v>
      </c>
      <c r="O1359">
        <v>5</v>
      </c>
    </row>
    <row r="1360" spans="1:15" x14ac:dyDescent="0.3">
      <c r="A1360" s="1">
        <v>43976</v>
      </c>
      <c r="B1360">
        <v>1000003489</v>
      </c>
      <c r="C1360" t="s">
        <v>15</v>
      </c>
      <c r="D1360">
        <v>1</v>
      </c>
      <c r="E1360">
        <v>8000.6</v>
      </c>
      <c r="F1360" t="s">
        <v>16</v>
      </c>
      <c r="G1360" t="s">
        <v>17</v>
      </c>
      <c r="H1360" t="s">
        <v>47</v>
      </c>
      <c r="I1360" t="s">
        <v>48</v>
      </c>
      <c r="J1360" t="s">
        <v>26</v>
      </c>
      <c r="K1360" t="s">
        <v>50</v>
      </c>
      <c r="L1360" t="s">
        <v>22</v>
      </c>
      <c r="M1360">
        <v>8000.6</v>
      </c>
      <c r="N1360">
        <v>2020</v>
      </c>
      <c r="O1360">
        <v>5</v>
      </c>
    </row>
    <row r="1361" spans="1:15" x14ac:dyDescent="0.3">
      <c r="A1361" s="1">
        <v>43976</v>
      </c>
      <c r="B1361">
        <v>1000008957</v>
      </c>
      <c r="C1361" t="s">
        <v>23</v>
      </c>
      <c r="D1361">
        <v>1</v>
      </c>
      <c r="E1361">
        <v>8000.27</v>
      </c>
      <c r="F1361" t="s">
        <v>16</v>
      </c>
      <c r="G1361" t="s">
        <v>24</v>
      </c>
      <c r="H1361" t="s">
        <v>18</v>
      </c>
      <c r="I1361" t="s">
        <v>34</v>
      </c>
      <c r="J1361" t="s">
        <v>20</v>
      </c>
      <c r="K1361" t="s">
        <v>44</v>
      </c>
      <c r="L1361" t="s">
        <v>22</v>
      </c>
      <c r="M1361">
        <v>8000.27</v>
      </c>
      <c r="N1361">
        <v>2020</v>
      </c>
      <c r="O1361">
        <v>5</v>
      </c>
    </row>
    <row r="1362" spans="1:15" x14ac:dyDescent="0.3">
      <c r="A1362" s="1">
        <v>43976</v>
      </c>
      <c r="B1362">
        <v>1000000032</v>
      </c>
      <c r="C1362" t="s">
        <v>42</v>
      </c>
      <c r="D1362">
        <v>1</v>
      </c>
      <c r="E1362">
        <v>7999.96</v>
      </c>
      <c r="F1362" t="s">
        <v>16</v>
      </c>
      <c r="G1362" t="s">
        <v>43</v>
      </c>
      <c r="H1362" t="s">
        <v>18</v>
      </c>
      <c r="I1362" t="s">
        <v>25</v>
      </c>
      <c r="J1362" t="s">
        <v>26</v>
      </c>
      <c r="K1362" t="s">
        <v>27</v>
      </c>
      <c r="L1362" t="s">
        <v>28</v>
      </c>
      <c r="M1362">
        <v>7999.96</v>
      </c>
      <c r="N1362">
        <v>2020</v>
      </c>
      <c r="O1362">
        <v>5</v>
      </c>
    </row>
    <row r="1363" spans="1:15" x14ac:dyDescent="0.3">
      <c r="A1363" s="1">
        <v>43976</v>
      </c>
      <c r="B1363">
        <v>1000003926</v>
      </c>
      <c r="C1363" t="s">
        <v>42</v>
      </c>
      <c r="D1363">
        <v>1</v>
      </c>
      <c r="E1363">
        <v>7000.46</v>
      </c>
      <c r="F1363" t="s">
        <v>16</v>
      </c>
      <c r="G1363" t="s">
        <v>43</v>
      </c>
      <c r="H1363" t="s">
        <v>47</v>
      </c>
      <c r="I1363" t="s">
        <v>48</v>
      </c>
      <c r="J1363" t="s">
        <v>26</v>
      </c>
      <c r="K1363" t="s">
        <v>50</v>
      </c>
      <c r="L1363" t="s">
        <v>28</v>
      </c>
      <c r="M1363">
        <v>7000.46</v>
      </c>
      <c r="N1363">
        <v>2020</v>
      </c>
      <c r="O1363">
        <v>5</v>
      </c>
    </row>
    <row r="1364" spans="1:15" x14ac:dyDescent="0.3">
      <c r="A1364" s="1">
        <v>43976</v>
      </c>
      <c r="B1364">
        <v>1000006860</v>
      </c>
      <c r="C1364" t="s">
        <v>15</v>
      </c>
      <c r="D1364">
        <v>1</v>
      </c>
      <c r="E1364">
        <v>6500.2</v>
      </c>
      <c r="F1364" t="s">
        <v>16</v>
      </c>
      <c r="G1364" t="s">
        <v>17</v>
      </c>
      <c r="H1364" t="s">
        <v>18</v>
      </c>
      <c r="I1364" t="s">
        <v>61</v>
      </c>
      <c r="J1364" t="s">
        <v>26</v>
      </c>
      <c r="K1364" t="s">
        <v>62</v>
      </c>
      <c r="L1364" t="s">
        <v>22</v>
      </c>
      <c r="M1364">
        <v>6500.2</v>
      </c>
      <c r="N1364">
        <v>2020</v>
      </c>
      <c r="O1364">
        <v>5</v>
      </c>
    </row>
    <row r="1365" spans="1:15" x14ac:dyDescent="0.3">
      <c r="A1365" s="1">
        <v>43976</v>
      </c>
      <c r="B1365">
        <v>1000006859</v>
      </c>
      <c r="C1365" t="s">
        <v>15</v>
      </c>
      <c r="D1365">
        <v>1</v>
      </c>
      <c r="E1365">
        <v>6000.44</v>
      </c>
      <c r="F1365" t="s">
        <v>16</v>
      </c>
      <c r="G1365" t="s">
        <v>17</v>
      </c>
      <c r="H1365" t="s">
        <v>18</v>
      </c>
      <c r="I1365" t="s">
        <v>61</v>
      </c>
      <c r="J1365" t="s">
        <v>26</v>
      </c>
      <c r="K1365" t="s">
        <v>62</v>
      </c>
      <c r="L1365" t="s">
        <v>22</v>
      </c>
      <c r="M1365">
        <v>6000.44</v>
      </c>
      <c r="N1365">
        <v>2020</v>
      </c>
      <c r="O1365">
        <v>5</v>
      </c>
    </row>
    <row r="1366" spans="1:15" x14ac:dyDescent="0.3">
      <c r="A1366" s="1">
        <v>43976</v>
      </c>
      <c r="B1366">
        <v>1000000576</v>
      </c>
      <c r="C1366" t="s">
        <v>42</v>
      </c>
      <c r="D1366">
        <v>1</v>
      </c>
      <c r="E1366">
        <v>6000.29</v>
      </c>
      <c r="F1366" t="s">
        <v>16</v>
      </c>
      <c r="G1366" t="s">
        <v>43</v>
      </c>
      <c r="H1366" t="s">
        <v>18</v>
      </c>
      <c r="I1366" t="s">
        <v>25</v>
      </c>
      <c r="J1366" t="s">
        <v>36</v>
      </c>
      <c r="K1366" t="s">
        <v>37</v>
      </c>
      <c r="L1366" t="s">
        <v>22</v>
      </c>
      <c r="M1366">
        <v>6000.29</v>
      </c>
      <c r="N1366">
        <v>2020</v>
      </c>
      <c r="O1366">
        <v>5</v>
      </c>
    </row>
    <row r="1367" spans="1:15" x14ac:dyDescent="0.3">
      <c r="A1367" s="1">
        <v>43976</v>
      </c>
      <c r="B1367">
        <v>1000004170</v>
      </c>
      <c r="C1367" t="s">
        <v>23</v>
      </c>
      <c r="D1367">
        <v>1</v>
      </c>
      <c r="E1367">
        <v>5500.33</v>
      </c>
      <c r="F1367" t="s">
        <v>16</v>
      </c>
      <c r="G1367" t="s">
        <v>24</v>
      </c>
      <c r="H1367" t="s">
        <v>18</v>
      </c>
      <c r="I1367" t="s">
        <v>34</v>
      </c>
      <c r="J1367" t="s">
        <v>20</v>
      </c>
      <c r="K1367" t="s">
        <v>44</v>
      </c>
      <c r="L1367" t="s">
        <v>28</v>
      </c>
      <c r="M1367">
        <v>5500.33</v>
      </c>
      <c r="N1367">
        <v>2020</v>
      </c>
      <c r="O1367">
        <v>5</v>
      </c>
    </row>
    <row r="1368" spans="1:15" x14ac:dyDescent="0.3">
      <c r="A1368" s="1">
        <v>43976</v>
      </c>
      <c r="B1368">
        <v>1000000040</v>
      </c>
      <c r="C1368" t="s">
        <v>42</v>
      </c>
      <c r="D1368">
        <v>1</v>
      </c>
      <c r="E1368">
        <v>5000.63</v>
      </c>
      <c r="F1368" t="s">
        <v>16</v>
      </c>
      <c r="G1368" t="s">
        <v>43</v>
      </c>
      <c r="H1368" t="s">
        <v>30</v>
      </c>
      <c r="I1368" t="s">
        <v>31</v>
      </c>
      <c r="J1368" t="s">
        <v>32</v>
      </c>
      <c r="K1368" t="s">
        <v>33</v>
      </c>
      <c r="L1368" t="s">
        <v>28</v>
      </c>
      <c r="M1368">
        <v>5000.63</v>
      </c>
      <c r="N1368">
        <v>2020</v>
      </c>
      <c r="O1368">
        <v>5</v>
      </c>
    </row>
    <row r="1369" spans="1:15" x14ac:dyDescent="0.3">
      <c r="A1369" s="1">
        <v>43976</v>
      </c>
      <c r="B1369">
        <v>1000003489</v>
      </c>
      <c r="C1369" t="s">
        <v>42</v>
      </c>
      <c r="D1369">
        <v>1</v>
      </c>
      <c r="E1369">
        <v>5000.5200000000004</v>
      </c>
      <c r="F1369" t="s">
        <v>16</v>
      </c>
      <c r="G1369" t="s">
        <v>43</v>
      </c>
      <c r="H1369" t="s">
        <v>47</v>
      </c>
      <c r="I1369" t="s">
        <v>48</v>
      </c>
      <c r="J1369" t="s">
        <v>26</v>
      </c>
      <c r="K1369" t="s">
        <v>50</v>
      </c>
      <c r="L1369" t="s">
        <v>22</v>
      </c>
      <c r="M1369">
        <v>5000.5200000000004</v>
      </c>
      <c r="N1369">
        <v>2020</v>
      </c>
      <c r="O1369">
        <v>5</v>
      </c>
    </row>
    <row r="1370" spans="1:15" x14ac:dyDescent="0.3">
      <c r="A1370" s="1">
        <v>43976</v>
      </c>
      <c r="B1370">
        <v>1000000045</v>
      </c>
      <c r="C1370" t="s">
        <v>42</v>
      </c>
      <c r="D1370">
        <v>1</v>
      </c>
      <c r="E1370">
        <v>5000.24</v>
      </c>
      <c r="F1370" t="s">
        <v>16</v>
      </c>
      <c r="G1370" t="s">
        <v>43</v>
      </c>
      <c r="H1370" t="s">
        <v>47</v>
      </c>
      <c r="I1370" t="s">
        <v>59</v>
      </c>
      <c r="J1370" t="s">
        <v>26</v>
      </c>
      <c r="K1370" t="s">
        <v>60</v>
      </c>
      <c r="L1370" t="s">
        <v>22</v>
      </c>
      <c r="M1370">
        <v>5000.24</v>
      </c>
      <c r="N1370">
        <v>2020</v>
      </c>
      <c r="O1370">
        <v>5</v>
      </c>
    </row>
    <row r="1371" spans="1:15" x14ac:dyDescent="0.3">
      <c r="A1371" s="1">
        <v>43976</v>
      </c>
      <c r="B1371">
        <v>1000000576</v>
      </c>
      <c r="C1371" t="s">
        <v>23</v>
      </c>
      <c r="D1371">
        <v>1</v>
      </c>
      <c r="E1371">
        <v>5000.2</v>
      </c>
      <c r="F1371" t="s">
        <v>16</v>
      </c>
      <c r="G1371" t="s">
        <v>24</v>
      </c>
      <c r="H1371" t="s">
        <v>18</v>
      </c>
      <c r="I1371" t="s">
        <v>25</v>
      </c>
      <c r="J1371" t="s">
        <v>36</v>
      </c>
      <c r="K1371" t="s">
        <v>37</v>
      </c>
      <c r="L1371" t="s">
        <v>22</v>
      </c>
      <c r="M1371">
        <v>5000.2</v>
      </c>
      <c r="N1371">
        <v>2020</v>
      </c>
      <c r="O1371">
        <v>5</v>
      </c>
    </row>
    <row r="1372" spans="1:15" x14ac:dyDescent="0.3">
      <c r="A1372" s="1">
        <v>43976</v>
      </c>
      <c r="B1372">
        <v>1000003989</v>
      </c>
      <c r="C1372" t="s">
        <v>23</v>
      </c>
      <c r="D1372">
        <v>1</v>
      </c>
      <c r="E1372">
        <v>5000.1899999999996</v>
      </c>
      <c r="F1372" t="s">
        <v>16</v>
      </c>
      <c r="G1372" t="s">
        <v>24</v>
      </c>
      <c r="H1372" t="s">
        <v>30</v>
      </c>
      <c r="I1372" t="s">
        <v>31</v>
      </c>
      <c r="J1372" t="s">
        <v>36</v>
      </c>
      <c r="K1372" t="s">
        <v>52</v>
      </c>
      <c r="L1372" t="s">
        <v>22</v>
      </c>
      <c r="M1372">
        <v>5000.1899999999996</v>
      </c>
      <c r="N1372">
        <v>2020</v>
      </c>
      <c r="O1372">
        <v>5</v>
      </c>
    </row>
    <row r="1373" spans="1:15" x14ac:dyDescent="0.3">
      <c r="A1373" s="1">
        <v>43976</v>
      </c>
      <c r="B1373">
        <v>1000000036</v>
      </c>
      <c r="C1373" t="s">
        <v>42</v>
      </c>
      <c r="D1373">
        <v>1</v>
      </c>
      <c r="E1373">
        <v>4300.76</v>
      </c>
      <c r="F1373" t="s">
        <v>16</v>
      </c>
      <c r="G1373" t="s">
        <v>43</v>
      </c>
      <c r="H1373" t="s">
        <v>47</v>
      </c>
      <c r="I1373" t="s">
        <v>48</v>
      </c>
      <c r="J1373" t="s">
        <v>36</v>
      </c>
      <c r="K1373" t="s">
        <v>49</v>
      </c>
      <c r="L1373" t="s">
        <v>28</v>
      </c>
      <c r="M1373">
        <v>4300.76</v>
      </c>
      <c r="N1373">
        <v>2020</v>
      </c>
      <c r="O1373">
        <v>5</v>
      </c>
    </row>
    <row r="1374" spans="1:15" x14ac:dyDescent="0.3">
      <c r="A1374" s="1">
        <v>43976</v>
      </c>
      <c r="B1374">
        <v>1000005873</v>
      </c>
      <c r="C1374" t="s">
        <v>15</v>
      </c>
      <c r="D1374">
        <v>1</v>
      </c>
      <c r="E1374">
        <v>4300.16</v>
      </c>
      <c r="F1374" t="s">
        <v>16</v>
      </c>
      <c r="G1374" t="s">
        <v>17</v>
      </c>
      <c r="H1374" t="s">
        <v>18</v>
      </c>
      <c r="I1374" t="s">
        <v>19</v>
      </c>
      <c r="J1374" t="s">
        <v>20</v>
      </c>
      <c r="K1374" t="s">
        <v>21</v>
      </c>
      <c r="L1374" t="s">
        <v>28</v>
      </c>
      <c r="M1374">
        <v>4300.16</v>
      </c>
      <c r="N1374">
        <v>2020</v>
      </c>
      <c r="O1374">
        <v>5</v>
      </c>
    </row>
    <row r="1375" spans="1:15" x14ac:dyDescent="0.3">
      <c r="A1375" s="1">
        <v>43976</v>
      </c>
      <c r="B1375">
        <v>1000000034</v>
      </c>
      <c r="C1375" t="s">
        <v>23</v>
      </c>
      <c r="D1375">
        <v>1</v>
      </c>
      <c r="E1375">
        <v>2766.96</v>
      </c>
      <c r="F1375" t="s">
        <v>16</v>
      </c>
      <c r="G1375" t="s">
        <v>24</v>
      </c>
      <c r="H1375" t="s">
        <v>18</v>
      </c>
      <c r="I1375" t="s">
        <v>25</v>
      </c>
      <c r="J1375" t="s">
        <v>26</v>
      </c>
      <c r="K1375" t="s">
        <v>27</v>
      </c>
      <c r="L1375" t="s">
        <v>22</v>
      </c>
      <c r="M1375">
        <v>2766.96</v>
      </c>
      <c r="N1375">
        <v>2020</v>
      </c>
      <c r="O1375">
        <v>5</v>
      </c>
    </row>
    <row r="1376" spans="1:15" x14ac:dyDescent="0.3">
      <c r="A1376" s="1">
        <v>43976</v>
      </c>
      <c r="B1376">
        <v>1000000051</v>
      </c>
      <c r="C1376" t="s">
        <v>15</v>
      </c>
      <c r="D1376">
        <v>1</v>
      </c>
      <c r="E1376">
        <v>2000.56</v>
      </c>
      <c r="F1376" t="s">
        <v>16</v>
      </c>
      <c r="G1376" t="s">
        <v>17</v>
      </c>
      <c r="H1376" t="s">
        <v>18</v>
      </c>
      <c r="I1376" t="s">
        <v>34</v>
      </c>
      <c r="J1376" t="s">
        <v>20</v>
      </c>
      <c r="K1376" t="s">
        <v>44</v>
      </c>
      <c r="L1376" t="s">
        <v>22</v>
      </c>
      <c r="M1376">
        <v>2000.56</v>
      </c>
      <c r="N1376">
        <v>2020</v>
      </c>
      <c r="O1376">
        <v>5</v>
      </c>
    </row>
    <row r="1377" spans="1:15" x14ac:dyDescent="0.3">
      <c r="A1377" s="1">
        <v>43976</v>
      </c>
      <c r="B1377">
        <v>1000000054</v>
      </c>
      <c r="C1377" t="s">
        <v>23</v>
      </c>
      <c r="D1377">
        <v>1</v>
      </c>
      <c r="E1377">
        <v>1100.71</v>
      </c>
      <c r="F1377" t="s">
        <v>16</v>
      </c>
      <c r="G1377" t="s">
        <v>24</v>
      </c>
      <c r="H1377" t="s">
        <v>18</v>
      </c>
      <c r="I1377" t="s">
        <v>34</v>
      </c>
      <c r="J1377" t="s">
        <v>26</v>
      </c>
      <c r="K1377" t="s">
        <v>35</v>
      </c>
      <c r="L1377" t="s">
        <v>22</v>
      </c>
      <c r="M1377">
        <v>1100.71</v>
      </c>
      <c r="N1377">
        <v>2020</v>
      </c>
      <c r="O1377">
        <v>5</v>
      </c>
    </row>
    <row r="1378" spans="1:15" x14ac:dyDescent="0.3">
      <c r="A1378" s="1">
        <v>43976</v>
      </c>
      <c r="B1378">
        <v>1000000031</v>
      </c>
      <c r="C1378" t="s">
        <v>15</v>
      </c>
      <c r="D1378">
        <v>1</v>
      </c>
      <c r="E1378">
        <v>1000.45</v>
      </c>
      <c r="F1378" t="s">
        <v>16</v>
      </c>
      <c r="G1378" t="s">
        <v>17</v>
      </c>
      <c r="H1378" t="s">
        <v>18</v>
      </c>
      <c r="I1378" t="s">
        <v>19</v>
      </c>
      <c r="J1378" t="s">
        <v>26</v>
      </c>
      <c r="K1378" t="s">
        <v>29</v>
      </c>
      <c r="L1378" t="s">
        <v>28</v>
      </c>
      <c r="M1378">
        <v>1000.45</v>
      </c>
      <c r="N1378">
        <v>2020</v>
      </c>
      <c r="O1378">
        <v>5</v>
      </c>
    </row>
    <row r="1379" spans="1:15" x14ac:dyDescent="0.3">
      <c r="A1379" s="1">
        <v>43977</v>
      </c>
      <c r="B1379">
        <v>1000000928</v>
      </c>
      <c r="C1379" t="s">
        <v>42</v>
      </c>
      <c r="D1379">
        <v>2</v>
      </c>
      <c r="E1379">
        <v>41000.44</v>
      </c>
      <c r="F1379" t="s">
        <v>16</v>
      </c>
      <c r="G1379" t="s">
        <v>43</v>
      </c>
      <c r="H1379" t="s">
        <v>30</v>
      </c>
      <c r="I1379" t="s">
        <v>57</v>
      </c>
      <c r="J1379" t="s">
        <v>26</v>
      </c>
      <c r="K1379" t="s">
        <v>58</v>
      </c>
      <c r="L1379" t="s">
        <v>22</v>
      </c>
      <c r="M1379">
        <v>20500.22</v>
      </c>
      <c r="N1379">
        <v>2020</v>
      </c>
      <c r="O1379">
        <v>5</v>
      </c>
    </row>
    <row r="1380" spans="1:15" x14ac:dyDescent="0.3">
      <c r="A1380" s="1">
        <v>43977</v>
      </c>
      <c r="B1380">
        <v>1000000056</v>
      </c>
      <c r="C1380" t="s">
        <v>15</v>
      </c>
      <c r="D1380">
        <v>2</v>
      </c>
      <c r="E1380">
        <v>26001.19</v>
      </c>
      <c r="F1380" t="s">
        <v>16</v>
      </c>
      <c r="G1380" t="s">
        <v>17</v>
      </c>
      <c r="H1380" t="s">
        <v>18</v>
      </c>
      <c r="I1380" t="s">
        <v>34</v>
      </c>
      <c r="J1380" t="s">
        <v>26</v>
      </c>
      <c r="K1380" t="s">
        <v>35</v>
      </c>
      <c r="L1380" t="s">
        <v>28</v>
      </c>
      <c r="M1380">
        <v>13000.594999999999</v>
      </c>
      <c r="N1380">
        <v>2020</v>
      </c>
      <c r="O1380">
        <v>5</v>
      </c>
    </row>
    <row r="1381" spans="1:15" x14ac:dyDescent="0.3">
      <c r="A1381" s="1">
        <v>43977</v>
      </c>
      <c r="B1381">
        <v>1000000068</v>
      </c>
      <c r="C1381" t="s">
        <v>15</v>
      </c>
      <c r="D1381">
        <v>2</v>
      </c>
      <c r="E1381">
        <v>25001.07</v>
      </c>
      <c r="F1381" t="s">
        <v>16</v>
      </c>
      <c r="G1381" t="s">
        <v>17</v>
      </c>
      <c r="H1381" t="s">
        <v>30</v>
      </c>
      <c r="I1381" t="s">
        <v>55</v>
      </c>
      <c r="J1381" t="s">
        <v>26</v>
      </c>
      <c r="K1381" t="s">
        <v>56</v>
      </c>
      <c r="L1381" t="s">
        <v>28</v>
      </c>
      <c r="M1381">
        <v>12500.535</v>
      </c>
      <c r="N1381">
        <v>2020</v>
      </c>
      <c r="O1381">
        <v>5</v>
      </c>
    </row>
    <row r="1382" spans="1:15" x14ac:dyDescent="0.3">
      <c r="A1382" s="1">
        <v>43977</v>
      </c>
      <c r="B1382">
        <v>1000000032</v>
      </c>
      <c r="C1382" t="s">
        <v>23</v>
      </c>
      <c r="D1382">
        <v>1</v>
      </c>
      <c r="E1382">
        <v>22000.43</v>
      </c>
      <c r="F1382" t="s">
        <v>16</v>
      </c>
      <c r="G1382" t="s">
        <v>24</v>
      </c>
      <c r="H1382" t="s">
        <v>18</v>
      </c>
      <c r="I1382" t="s">
        <v>25</v>
      </c>
      <c r="J1382" t="s">
        <v>26</v>
      </c>
      <c r="K1382" t="s">
        <v>27</v>
      </c>
      <c r="L1382" t="s">
        <v>28</v>
      </c>
      <c r="M1382">
        <v>22000.43</v>
      </c>
      <c r="N1382">
        <v>2020</v>
      </c>
      <c r="O1382">
        <v>5</v>
      </c>
    </row>
    <row r="1383" spans="1:15" x14ac:dyDescent="0.3">
      <c r="A1383" s="1">
        <v>43977</v>
      </c>
      <c r="B1383">
        <v>1000000029</v>
      </c>
      <c r="C1383" t="s">
        <v>15</v>
      </c>
      <c r="D1383">
        <v>1</v>
      </c>
      <c r="E1383">
        <v>22000.11</v>
      </c>
      <c r="F1383" t="s">
        <v>16</v>
      </c>
      <c r="G1383" t="s">
        <v>17</v>
      </c>
      <c r="H1383" t="s">
        <v>18</v>
      </c>
      <c r="I1383" t="s">
        <v>19</v>
      </c>
      <c r="J1383" t="s">
        <v>20</v>
      </c>
      <c r="K1383" t="s">
        <v>21</v>
      </c>
      <c r="L1383" t="s">
        <v>22</v>
      </c>
      <c r="M1383">
        <v>22000.11</v>
      </c>
      <c r="N1383">
        <v>2020</v>
      </c>
      <c r="O1383">
        <v>5</v>
      </c>
    </row>
    <row r="1384" spans="1:15" x14ac:dyDescent="0.3">
      <c r="A1384" s="1">
        <v>43977</v>
      </c>
      <c r="B1384">
        <v>1000000043</v>
      </c>
      <c r="C1384" t="s">
        <v>15</v>
      </c>
      <c r="D1384">
        <v>1</v>
      </c>
      <c r="E1384">
        <v>20000.759999999998</v>
      </c>
      <c r="F1384" t="s">
        <v>16</v>
      </c>
      <c r="G1384" t="s">
        <v>17</v>
      </c>
      <c r="H1384" t="s">
        <v>30</v>
      </c>
      <c r="I1384" t="s">
        <v>38</v>
      </c>
      <c r="J1384" t="s">
        <v>26</v>
      </c>
      <c r="K1384" t="s">
        <v>39</v>
      </c>
      <c r="L1384" t="s">
        <v>22</v>
      </c>
      <c r="M1384">
        <v>20000.759999999998</v>
      </c>
      <c r="N1384">
        <v>2020</v>
      </c>
      <c r="O1384">
        <v>5</v>
      </c>
    </row>
    <row r="1385" spans="1:15" x14ac:dyDescent="0.3">
      <c r="A1385" s="1">
        <v>43977</v>
      </c>
      <c r="B1385">
        <v>1000008239</v>
      </c>
      <c r="C1385" t="s">
        <v>15</v>
      </c>
      <c r="D1385">
        <v>1</v>
      </c>
      <c r="E1385">
        <v>20000.080000000002</v>
      </c>
      <c r="F1385" t="s">
        <v>16</v>
      </c>
      <c r="G1385" t="s">
        <v>17</v>
      </c>
      <c r="H1385" t="s">
        <v>18</v>
      </c>
      <c r="I1385" t="s">
        <v>61</v>
      </c>
      <c r="J1385" t="s">
        <v>26</v>
      </c>
      <c r="K1385" t="s">
        <v>62</v>
      </c>
      <c r="L1385" t="s">
        <v>28</v>
      </c>
      <c r="M1385">
        <v>20000.080000000002</v>
      </c>
      <c r="N1385">
        <v>2020</v>
      </c>
      <c r="O1385">
        <v>5</v>
      </c>
    </row>
    <row r="1386" spans="1:15" x14ac:dyDescent="0.3">
      <c r="A1386" s="1">
        <v>43977</v>
      </c>
      <c r="B1386">
        <v>1000000044</v>
      </c>
      <c r="C1386" t="s">
        <v>15</v>
      </c>
      <c r="D1386">
        <v>2</v>
      </c>
      <c r="E1386">
        <v>19000.800000000003</v>
      </c>
      <c r="F1386" t="s">
        <v>16</v>
      </c>
      <c r="G1386" t="s">
        <v>17</v>
      </c>
      <c r="H1386" t="s">
        <v>30</v>
      </c>
      <c r="I1386" t="s">
        <v>31</v>
      </c>
      <c r="J1386" t="s">
        <v>36</v>
      </c>
      <c r="K1386" t="s">
        <v>52</v>
      </c>
      <c r="L1386" t="s">
        <v>28</v>
      </c>
      <c r="M1386">
        <v>9500.4000000000015</v>
      </c>
      <c r="N1386">
        <v>2020</v>
      </c>
      <c r="O1386">
        <v>5</v>
      </c>
    </row>
    <row r="1387" spans="1:15" x14ac:dyDescent="0.3">
      <c r="A1387" s="1">
        <v>43977</v>
      </c>
      <c r="B1387">
        <v>1000000031</v>
      </c>
      <c r="C1387" t="s">
        <v>23</v>
      </c>
      <c r="D1387">
        <v>2</v>
      </c>
      <c r="E1387">
        <v>18000.849999999999</v>
      </c>
      <c r="F1387" t="s">
        <v>16</v>
      </c>
      <c r="G1387" t="s">
        <v>24</v>
      </c>
      <c r="H1387" t="s">
        <v>18</v>
      </c>
      <c r="I1387" t="s">
        <v>19</v>
      </c>
      <c r="J1387" t="s">
        <v>26</v>
      </c>
      <c r="K1387" t="s">
        <v>29</v>
      </c>
      <c r="L1387" t="s">
        <v>28</v>
      </c>
      <c r="M1387">
        <v>9000.4249999999993</v>
      </c>
      <c r="N1387">
        <v>2020</v>
      </c>
      <c r="O1387">
        <v>5</v>
      </c>
    </row>
    <row r="1388" spans="1:15" x14ac:dyDescent="0.3">
      <c r="A1388" s="1">
        <v>43977</v>
      </c>
      <c r="B1388">
        <v>1000000036</v>
      </c>
      <c r="C1388" t="s">
        <v>15</v>
      </c>
      <c r="D1388">
        <v>1</v>
      </c>
      <c r="E1388">
        <v>18000.18</v>
      </c>
      <c r="F1388" t="s">
        <v>16</v>
      </c>
      <c r="G1388" t="s">
        <v>17</v>
      </c>
      <c r="H1388" t="s">
        <v>47</v>
      </c>
      <c r="I1388" t="s">
        <v>48</v>
      </c>
      <c r="J1388" t="s">
        <v>36</v>
      </c>
      <c r="K1388" t="s">
        <v>49</v>
      </c>
      <c r="L1388" t="s">
        <v>28</v>
      </c>
      <c r="M1388">
        <v>18000.18</v>
      </c>
      <c r="N1388">
        <v>2020</v>
      </c>
      <c r="O1388">
        <v>5</v>
      </c>
    </row>
    <row r="1389" spans="1:15" x14ac:dyDescent="0.3">
      <c r="A1389" s="1">
        <v>43977</v>
      </c>
      <c r="B1389">
        <v>1000000036</v>
      </c>
      <c r="C1389" t="s">
        <v>42</v>
      </c>
      <c r="D1389">
        <v>1</v>
      </c>
      <c r="E1389">
        <v>17700.330000000002</v>
      </c>
      <c r="F1389" t="s">
        <v>16</v>
      </c>
      <c r="G1389" t="s">
        <v>43</v>
      </c>
      <c r="H1389" t="s">
        <v>47</v>
      </c>
      <c r="I1389" t="s">
        <v>48</v>
      </c>
      <c r="J1389" t="s">
        <v>36</v>
      </c>
      <c r="K1389" t="s">
        <v>49</v>
      </c>
      <c r="L1389" t="s">
        <v>28</v>
      </c>
      <c r="M1389">
        <v>17700.330000000002</v>
      </c>
      <c r="N1389">
        <v>2020</v>
      </c>
      <c r="O1389">
        <v>5</v>
      </c>
    </row>
    <row r="1390" spans="1:15" x14ac:dyDescent="0.3">
      <c r="A1390" s="1">
        <v>43977</v>
      </c>
      <c r="B1390">
        <v>1000000036</v>
      </c>
      <c r="C1390" t="s">
        <v>23</v>
      </c>
      <c r="D1390">
        <v>1</v>
      </c>
      <c r="E1390">
        <v>17000.349999999999</v>
      </c>
      <c r="F1390" t="s">
        <v>16</v>
      </c>
      <c r="G1390" t="s">
        <v>24</v>
      </c>
      <c r="H1390" t="s">
        <v>47</v>
      </c>
      <c r="I1390" t="s">
        <v>48</v>
      </c>
      <c r="J1390" t="s">
        <v>36</v>
      </c>
      <c r="K1390" t="s">
        <v>49</v>
      </c>
      <c r="L1390" t="s">
        <v>28</v>
      </c>
      <c r="M1390">
        <v>17000.349999999999</v>
      </c>
      <c r="N1390">
        <v>2020</v>
      </c>
      <c r="O1390">
        <v>5</v>
      </c>
    </row>
    <row r="1391" spans="1:15" x14ac:dyDescent="0.3">
      <c r="A1391" s="1">
        <v>43977</v>
      </c>
      <c r="B1391">
        <v>1000004170</v>
      </c>
      <c r="C1391" t="s">
        <v>15</v>
      </c>
      <c r="D1391">
        <v>1</v>
      </c>
      <c r="E1391">
        <v>17000.330000000002</v>
      </c>
      <c r="F1391" t="s">
        <v>16</v>
      </c>
      <c r="G1391" t="s">
        <v>17</v>
      </c>
      <c r="H1391" t="s">
        <v>18</v>
      </c>
      <c r="I1391" t="s">
        <v>34</v>
      </c>
      <c r="J1391" t="s">
        <v>20</v>
      </c>
      <c r="K1391" t="s">
        <v>44</v>
      </c>
      <c r="L1391" t="s">
        <v>28</v>
      </c>
      <c r="M1391">
        <v>17000.330000000002</v>
      </c>
      <c r="N1391">
        <v>2020</v>
      </c>
      <c r="O1391">
        <v>5</v>
      </c>
    </row>
    <row r="1392" spans="1:15" x14ac:dyDescent="0.3">
      <c r="A1392" s="1">
        <v>43977</v>
      </c>
      <c r="B1392">
        <v>1000000928</v>
      </c>
      <c r="C1392" t="s">
        <v>23</v>
      </c>
      <c r="D1392">
        <v>2</v>
      </c>
      <c r="E1392">
        <v>17000.189999999999</v>
      </c>
      <c r="F1392" t="s">
        <v>16</v>
      </c>
      <c r="G1392" t="s">
        <v>24</v>
      </c>
      <c r="H1392" t="s">
        <v>30</v>
      </c>
      <c r="I1392" t="s">
        <v>57</v>
      </c>
      <c r="J1392" t="s">
        <v>26</v>
      </c>
      <c r="K1392" t="s">
        <v>58</v>
      </c>
      <c r="L1392" t="s">
        <v>22</v>
      </c>
      <c r="M1392">
        <v>8500.0949999999993</v>
      </c>
      <c r="N1392">
        <v>2020</v>
      </c>
      <c r="O1392">
        <v>5</v>
      </c>
    </row>
    <row r="1393" spans="1:15" x14ac:dyDescent="0.3">
      <c r="A1393" s="1">
        <v>43977</v>
      </c>
      <c r="B1393">
        <v>1000004170</v>
      </c>
      <c r="C1393" t="s">
        <v>23</v>
      </c>
      <c r="D1393">
        <v>2</v>
      </c>
      <c r="E1393">
        <v>16500.5</v>
      </c>
      <c r="F1393" t="s">
        <v>16</v>
      </c>
      <c r="G1393" t="s">
        <v>24</v>
      </c>
      <c r="H1393" t="s">
        <v>18</v>
      </c>
      <c r="I1393" t="s">
        <v>34</v>
      </c>
      <c r="J1393" t="s">
        <v>20</v>
      </c>
      <c r="K1393" t="s">
        <v>44</v>
      </c>
      <c r="L1393" t="s">
        <v>28</v>
      </c>
      <c r="M1393">
        <v>8250.25</v>
      </c>
      <c r="N1393">
        <v>2020</v>
      </c>
      <c r="O1393">
        <v>5</v>
      </c>
    </row>
    <row r="1394" spans="1:15" x14ac:dyDescent="0.3">
      <c r="A1394" s="1">
        <v>43977</v>
      </c>
      <c r="B1394">
        <v>1000000045</v>
      </c>
      <c r="C1394" t="s">
        <v>23</v>
      </c>
      <c r="D1394">
        <v>2</v>
      </c>
      <c r="E1394">
        <v>16500.379999999997</v>
      </c>
      <c r="F1394" t="s">
        <v>16</v>
      </c>
      <c r="G1394" t="s">
        <v>24</v>
      </c>
      <c r="H1394" t="s">
        <v>47</v>
      </c>
      <c r="I1394" t="s">
        <v>59</v>
      </c>
      <c r="J1394" t="s">
        <v>26</v>
      </c>
      <c r="K1394" t="s">
        <v>60</v>
      </c>
      <c r="L1394" t="s">
        <v>22</v>
      </c>
      <c r="M1394">
        <v>8250.1899999999987</v>
      </c>
      <c r="N1394">
        <v>2020</v>
      </c>
      <c r="O1394">
        <v>5</v>
      </c>
    </row>
    <row r="1395" spans="1:15" x14ac:dyDescent="0.3">
      <c r="A1395" s="1">
        <v>43977</v>
      </c>
      <c r="B1395">
        <v>1000000046</v>
      </c>
      <c r="C1395" t="s">
        <v>42</v>
      </c>
      <c r="D1395">
        <v>1</v>
      </c>
      <c r="E1395">
        <v>16000.76</v>
      </c>
      <c r="F1395" t="s">
        <v>16</v>
      </c>
      <c r="G1395" t="s">
        <v>43</v>
      </c>
      <c r="H1395" t="s">
        <v>30</v>
      </c>
      <c r="I1395" t="s">
        <v>38</v>
      </c>
      <c r="J1395" t="s">
        <v>26</v>
      </c>
      <c r="K1395" t="s">
        <v>39</v>
      </c>
      <c r="L1395" t="s">
        <v>22</v>
      </c>
      <c r="M1395">
        <v>16000.76</v>
      </c>
      <c r="N1395">
        <v>2020</v>
      </c>
      <c r="O1395">
        <v>5</v>
      </c>
    </row>
    <row r="1396" spans="1:15" x14ac:dyDescent="0.3">
      <c r="A1396" s="1">
        <v>43977</v>
      </c>
      <c r="B1396">
        <v>1000000040</v>
      </c>
      <c r="C1396" t="s">
        <v>15</v>
      </c>
      <c r="D1396">
        <v>1</v>
      </c>
      <c r="E1396">
        <v>16000.15</v>
      </c>
      <c r="F1396" t="s">
        <v>16</v>
      </c>
      <c r="G1396" t="s">
        <v>17</v>
      </c>
      <c r="H1396" t="s">
        <v>30</v>
      </c>
      <c r="I1396" t="s">
        <v>31</v>
      </c>
      <c r="J1396" t="s">
        <v>32</v>
      </c>
      <c r="K1396" t="s">
        <v>33</v>
      </c>
      <c r="L1396" t="s">
        <v>28</v>
      </c>
      <c r="M1396">
        <v>16000.15</v>
      </c>
      <c r="N1396">
        <v>2020</v>
      </c>
      <c r="O1396">
        <v>5</v>
      </c>
    </row>
    <row r="1397" spans="1:15" x14ac:dyDescent="0.3">
      <c r="A1397" s="1">
        <v>43977</v>
      </c>
      <c r="B1397">
        <v>1000007320</v>
      </c>
      <c r="C1397" t="s">
        <v>15</v>
      </c>
      <c r="D1397">
        <v>1</v>
      </c>
      <c r="E1397">
        <v>15000.49</v>
      </c>
      <c r="F1397" t="s">
        <v>16</v>
      </c>
      <c r="G1397" t="s">
        <v>17</v>
      </c>
      <c r="H1397" t="s">
        <v>18</v>
      </c>
      <c r="I1397" t="s">
        <v>34</v>
      </c>
      <c r="J1397" t="s">
        <v>26</v>
      </c>
      <c r="K1397" t="s">
        <v>35</v>
      </c>
      <c r="L1397" t="s">
        <v>22</v>
      </c>
      <c r="M1397">
        <v>15000.49</v>
      </c>
      <c r="N1397">
        <v>2020</v>
      </c>
      <c r="O1397">
        <v>5</v>
      </c>
    </row>
    <row r="1398" spans="1:15" x14ac:dyDescent="0.3">
      <c r="A1398" s="1">
        <v>43977</v>
      </c>
      <c r="B1398">
        <v>1000003803</v>
      </c>
      <c r="C1398" t="s">
        <v>15</v>
      </c>
      <c r="D1398">
        <v>1</v>
      </c>
      <c r="E1398">
        <v>15000.39</v>
      </c>
      <c r="F1398" t="s">
        <v>16</v>
      </c>
      <c r="G1398" t="s">
        <v>17</v>
      </c>
      <c r="H1398" t="s">
        <v>30</v>
      </c>
      <c r="I1398" t="s">
        <v>31</v>
      </c>
      <c r="J1398" t="s">
        <v>36</v>
      </c>
      <c r="K1398" t="s">
        <v>52</v>
      </c>
      <c r="L1398" t="s">
        <v>22</v>
      </c>
      <c r="M1398">
        <v>15000.39</v>
      </c>
      <c r="N1398">
        <v>2020</v>
      </c>
      <c r="O1398">
        <v>5</v>
      </c>
    </row>
    <row r="1399" spans="1:15" x14ac:dyDescent="0.3">
      <c r="A1399" s="1">
        <v>43977</v>
      </c>
      <c r="B1399">
        <v>1000006860</v>
      </c>
      <c r="C1399" t="s">
        <v>42</v>
      </c>
      <c r="D1399">
        <v>1</v>
      </c>
      <c r="E1399">
        <v>13000.7</v>
      </c>
      <c r="F1399" t="s">
        <v>16</v>
      </c>
      <c r="G1399" t="s">
        <v>43</v>
      </c>
      <c r="H1399" t="s">
        <v>18</v>
      </c>
      <c r="I1399" t="s">
        <v>61</v>
      </c>
      <c r="J1399" t="s">
        <v>26</v>
      </c>
      <c r="K1399" t="s">
        <v>62</v>
      </c>
      <c r="L1399" t="s">
        <v>22</v>
      </c>
      <c r="M1399">
        <v>13000.7</v>
      </c>
      <c r="N1399">
        <v>2020</v>
      </c>
      <c r="O1399">
        <v>5</v>
      </c>
    </row>
    <row r="1400" spans="1:15" x14ac:dyDescent="0.3">
      <c r="A1400" s="1">
        <v>43977</v>
      </c>
      <c r="B1400">
        <v>1000005873</v>
      </c>
      <c r="C1400" t="s">
        <v>42</v>
      </c>
      <c r="D1400">
        <v>1</v>
      </c>
      <c r="E1400">
        <v>12000.74</v>
      </c>
      <c r="F1400" t="s">
        <v>16</v>
      </c>
      <c r="G1400" t="s">
        <v>43</v>
      </c>
      <c r="H1400" t="s">
        <v>18</v>
      </c>
      <c r="I1400" t="s">
        <v>19</v>
      </c>
      <c r="J1400" t="s">
        <v>20</v>
      </c>
      <c r="K1400" t="s">
        <v>21</v>
      </c>
      <c r="L1400" t="s">
        <v>28</v>
      </c>
      <c r="M1400">
        <v>12000.74</v>
      </c>
      <c r="N1400">
        <v>2020</v>
      </c>
      <c r="O1400">
        <v>5</v>
      </c>
    </row>
    <row r="1401" spans="1:15" x14ac:dyDescent="0.3">
      <c r="A1401" s="1">
        <v>43977</v>
      </c>
      <c r="B1401">
        <v>1000000056</v>
      </c>
      <c r="C1401" t="s">
        <v>23</v>
      </c>
      <c r="D1401">
        <v>1</v>
      </c>
      <c r="E1401">
        <v>10000.33</v>
      </c>
      <c r="F1401" t="s">
        <v>16</v>
      </c>
      <c r="G1401" t="s">
        <v>24</v>
      </c>
      <c r="H1401" t="s">
        <v>18</v>
      </c>
      <c r="I1401" t="s">
        <v>34</v>
      </c>
      <c r="J1401" t="s">
        <v>26</v>
      </c>
      <c r="K1401" t="s">
        <v>35</v>
      </c>
      <c r="L1401" t="s">
        <v>28</v>
      </c>
      <c r="M1401">
        <v>10000.33</v>
      </c>
      <c r="N1401">
        <v>2020</v>
      </c>
      <c r="O1401">
        <v>5</v>
      </c>
    </row>
    <row r="1402" spans="1:15" x14ac:dyDescent="0.3">
      <c r="A1402" s="1">
        <v>43977</v>
      </c>
      <c r="B1402">
        <v>1000005873</v>
      </c>
      <c r="C1402" t="s">
        <v>15</v>
      </c>
      <c r="D1402">
        <v>1</v>
      </c>
      <c r="E1402">
        <v>9000.16</v>
      </c>
      <c r="F1402" t="s">
        <v>16</v>
      </c>
      <c r="G1402" t="s">
        <v>17</v>
      </c>
      <c r="H1402" t="s">
        <v>18</v>
      </c>
      <c r="I1402" t="s">
        <v>19</v>
      </c>
      <c r="J1402" t="s">
        <v>20</v>
      </c>
      <c r="K1402" t="s">
        <v>21</v>
      </c>
      <c r="L1402" t="s">
        <v>28</v>
      </c>
      <c r="M1402">
        <v>9000.16</v>
      </c>
      <c r="N1402">
        <v>2020</v>
      </c>
      <c r="O1402">
        <v>5</v>
      </c>
    </row>
    <row r="1403" spans="1:15" x14ac:dyDescent="0.3">
      <c r="A1403" s="1">
        <v>43977</v>
      </c>
      <c r="B1403">
        <v>1000000067</v>
      </c>
      <c r="C1403" t="s">
        <v>15</v>
      </c>
      <c r="D1403">
        <v>1</v>
      </c>
      <c r="E1403">
        <v>8000.51</v>
      </c>
      <c r="F1403" t="s">
        <v>16</v>
      </c>
      <c r="G1403" t="s">
        <v>17</v>
      </c>
      <c r="H1403" t="s">
        <v>18</v>
      </c>
      <c r="I1403" t="s">
        <v>25</v>
      </c>
      <c r="J1403" t="s">
        <v>20</v>
      </c>
      <c r="K1403" t="s">
        <v>51</v>
      </c>
      <c r="L1403" t="s">
        <v>22</v>
      </c>
      <c r="M1403">
        <v>8000.51</v>
      </c>
      <c r="N1403">
        <v>2020</v>
      </c>
      <c r="O1403">
        <v>5</v>
      </c>
    </row>
    <row r="1404" spans="1:15" x14ac:dyDescent="0.3">
      <c r="A1404" s="1">
        <v>43977</v>
      </c>
      <c r="B1404">
        <v>1000007320</v>
      </c>
      <c r="C1404" t="s">
        <v>23</v>
      </c>
      <c r="D1404">
        <v>1</v>
      </c>
      <c r="E1404">
        <v>8000.37</v>
      </c>
      <c r="F1404" t="s">
        <v>16</v>
      </c>
      <c r="G1404" t="s">
        <v>24</v>
      </c>
      <c r="H1404" t="s">
        <v>18</v>
      </c>
      <c r="I1404" t="s">
        <v>34</v>
      </c>
      <c r="J1404" t="s">
        <v>26</v>
      </c>
      <c r="K1404" t="s">
        <v>35</v>
      </c>
      <c r="L1404" t="s">
        <v>22</v>
      </c>
      <c r="M1404">
        <v>8000.37</v>
      </c>
      <c r="N1404">
        <v>2020</v>
      </c>
      <c r="O1404">
        <v>5</v>
      </c>
    </row>
    <row r="1405" spans="1:15" x14ac:dyDescent="0.3">
      <c r="A1405" s="1">
        <v>43977</v>
      </c>
      <c r="B1405">
        <v>1000000030</v>
      </c>
      <c r="C1405" t="s">
        <v>23</v>
      </c>
      <c r="D1405">
        <v>1</v>
      </c>
      <c r="E1405">
        <v>7999.95</v>
      </c>
      <c r="F1405" t="s">
        <v>16</v>
      </c>
      <c r="G1405" t="s">
        <v>24</v>
      </c>
      <c r="H1405" t="s">
        <v>47</v>
      </c>
      <c r="I1405" t="s">
        <v>48</v>
      </c>
      <c r="J1405" t="s">
        <v>36</v>
      </c>
      <c r="K1405" t="s">
        <v>49</v>
      </c>
      <c r="L1405" t="s">
        <v>22</v>
      </c>
      <c r="M1405">
        <v>7999.95</v>
      </c>
      <c r="N1405">
        <v>2020</v>
      </c>
      <c r="O1405">
        <v>5</v>
      </c>
    </row>
    <row r="1406" spans="1:15" x14ac:dyDescent="0.3">
      <c r="A1406" s="1">
        <v>43977</v>
      </c>
      <c r="B1406">
        <v>1000000039</v>
      </c>
      <c r="C1406" t="s">
        <v>15</v>
      </c>
      <c r="D1406">
        <v>1</v>
      </c>
      <c r="E1406">
        <v>7000.53</v>
      </c>
      <c r="F1406" t="s">
        <v>16</v>
      </c>
      <c r="G1406" t="s">
        <v>17</v>
      </c>
      <c r="H1406" t="s">
        <v>18</v>
      </c>
      <c r="I1406" t="s">
        <v>25</v>
      </c>
      <c r="J1406" t="s">
        <v>20</v>
      </c>
      <c r="K1406" t="s">
        <v>51</v>
      </c>
      <c r="L1406" t="s">
        <v>28</v>
      </c>
      <c r="M1406">
        <v>7000.53</v>
      </c>
      <c r="N1406">
        <v>2020</v>
      </c>
      <c r="O1406">
        <v>5</v>
      </c>
    </row>
    <row r="1407" spans="1:15" x14ac:dyDescent="0.3">
      <c r="A1407" s="1">
        <v>43977</v>
      </c>
      <c r="B1407">
        <v>1000000032</v>
      </c>
      <c r="C1407" t="s">
        <v>15</v>
      </c>
      <c r="D1407">
        <v>1</v>
      </c>
      <c r="E1407">
        <v>7000.48</v>
      </c>
      <c r="F1407" t="s">
        <v>16</v>
      </c>
      <c r="G1407" t="s">
        <v>17</v>
      </c>
      <c r="H1407" t="s">
        <v>18</v>
      </c>
      <c r="I1407" t="s">
        <v>25</v>
      </c>
      <c r="J1407" t="s">
        <v>26</v>
      </c>
      <c r="K1407" t="s">
        <v>27</v>
      </c>
      <c r="L1407" t="s">
        <v>28</v>
      </c>
      <c r="M1407">
        <v>7000.48</v>
      </c>
      <c r="N1407">
        <v>2020</v>
      </c>
      <c r="O1407">
        <v>5</v>
      </c>
    </row>
    <row r="1408" spans="1:15" x14ac:dyDescent="0.3">
      <c r="A1408" s="1">
        <v>43977</v>
      </c>
      <c r="B1408">
        <v>1000004256</v>
      </c>
      <c r="C1408" t="s">
        <v>42</v>
      </c>
      <c r="D1408">
        <v>1</v>
      </c>
      <c r="E1408">
        <v>6500.01</v>
      </c>
      <c r="F1408" t="s">
        <v>16</v>
      </c>
      <c r="G1408" t="s">
        <v>43</v>
      </c>
      <c r="H1408" t="s">
        <v>18</v>
      </c>
      <c r="I1408" t="s">
        <v>40</v>
      </c>
      <c r="J1408" t="s">
        <v>26</v>
      </c>
      <c r="K1408" t="s">
        <v>41</v>
      </c>
      <c r="L1408" t="s">
        <v>22</v>
      </c>
      <c r="M1408">
        <v>6500.01</v>
      </c>
      <c r="N1408">
        <v>2020</v>
      </c>
      <c r="O1408">
        <v>5</v>
      </c>
    </row>
    <row r="1409" spans="1:15" x14ac:dyDescent="0.3">
      <c r="A1409" s="1">
        <v>43977</v>
      </c>
      <c r="B1409">
        <v>1000000028</v>
      </c>
      <c r="C1409" t="s">
        <v>23</v>
      </c>
      <c r="D1409">
        <v>2</v>
      </c>
      <c r="E1409">
        <v>6073.3</v>
      </c>
      <c r="F1409" t="s">
        <v>16</v>
      </c>
      <c r="G1409" t="s">
        <v>24</v>
      </c>
      <c r="H1409" t="s">
        <v>18</v>
      </c>
      <c r="I1409" t="s">
        <v>19</v>
      </c>
      <c r="J1409" t="s">
        <v>20</v>
      </c>
      <c r="K1409" t="s">
        <v>21</v>
      </c>
      <c r="L1409" t="s">
        <v>22</v>
      </c>
      <c r="M1409">
        <v>3036.65</v>
      </c>
      <c r="N1409">
        <v>2020</v>
      </c>
      <c r="O1409">
        <v>5</v>
      </c>
    </row>
    <row r="1410" spans="1:15" x14ac:dyDescent="0.3">
      <c r="A1410" s="1">
        <v>43977</v>
      </c>
      <c r="B1410">
        <v>1000000046</v>
      </c>
      <c r="C1410" t="s">
        <v>23</v>
      </c>
      <c r="D1410">
        <v>1</v>
      </c>
      <c r="E1410">
        <v>5000.42</v>
      </c>
      <c r="F1410" t="s">
        <v>16</v>
      </c>
      <c r="G1410" t="s">
        <v>24</v>
      </c>
      <c r="H1410" t="s">
        <v>30</v>
      </c>
      <c r="I1410" t="s">
        <v>38</v>
      </c>
      <c r="J1410" t="s">
        <v>26</v>
      </c>
      <c r="K1410" t="s">
        <v>39</v>
      </c>
      <c r="L1410" t="s">
        <v>22</v>
      </c>
      <c r="M1410">
        <v>5000.42</v>
      </c>
      <c r="N1410">
        <v>2020</v>
      </c>
      <c r="O1410">
        <v>5</v>
      </c>
    </row>
    <row r="1411" spans="1:15" x14ac:dyDescent="0.3">
      <c r="A1411" s="1">
        <v>43977</v>
      </c>
      <c r="B1411">
        <v>1000000031</v>
      </c>
      <c r="C1411" t="s">
        <v>15</v>
      </c>
      <c r="D1411">
        <v>1</v>
      </c>
      <c r="E1411">
        <v>5000.21</v>
      </c>
      <c r="F1411" t="s">
        <v>16</v>
      </c>
      <c r="G1411" t="s">
        <v>17</v>
      </c>
      <c r="H1411" t="s">
        <v>18</v>
      </c>
      <c r="I1411" t="s">
        <v>19</v>
      </c>
      <c r="J1411" t="s">
        <v>26</v>
      </c>
      <c r="K1411" t="s">
        <v>29</v>
      </c>
      <c r="L1411" t="s">
        <v>28</v>
      </c>
      <c r="M1411">
        <v>5000.21</v>
      </c>
      <c r="N1411">
        <v>2020</v>
      </c>
      <c r="O1411">
        <v>5</v>
      </c>
    </row>
    <row r="1412" spans="1:15" x14ac:dyDescent="0.3">
      <c r="A1412" s="1">
        <v>43977</v>
      </c>
      <c r="B1412">
        <v>1000000033</v>
      </c>
      <c r="C1412" t="s">
        <v>15</v>
      </c>
      <c r="D1412">
        <v>1</v>
      </c>
      <c r="E1412">
        <v>5000.13</v>
      </c>
      <c r="F1412" t="s">
        <v>16</v>
      </c>
      <c r="G1412" t="s">
        <v>17</v>
      </c>
      <c r="H1412" t="s">
        <v>18</v>
      </c>
      <c r="I1412" t="s">
        <v>25</v>
      </c>
      <c r="J1412" t="s">
        <v>26</v>
      </c>
      <c r="K1412" t="s">
        <v>27</v>
      </c>
      <c r="L1412" t="s">
        <v>22</v>
      </c>
      <c r="M1412">
        <v>5000.13</v>
      </c>
      <c r="N1412">
        <v>2020</v>
      </c>
      <c r="O1412">
        <v>5</v>
      </c>
    </row>
    <row r="1413" spans="1:15" x14ac:dyDescent="0.3">
      <c r="A1413" s="1">
        <v>43977</v>
      </c>
      <c r="B1413">
        <v>1000000576</v>
      </c>
      <c r="C1413" t="s">
        <v>23</v>
      </c>
      <c r="D1413">
        <v>1</v>
      </c>
      <c r="E1413">
        <v>3363.03</v>
      </c>
      <c r="F1413" t="s">
        <v>16</v>
      </c>
      <c r="G1413" t="s">
        <v>24</v>
      </c>
      <c r="H1413" t="s">
        <v>18</v>
      </c>
      <c r="I1413" t="s">
        <v>25</v>
      </c>
      <c r="J1413" t="s">
        <v>36</v>
      </c>
      <c r="K1413" t="s">
        <v>37</v>
      </c>
      <c r="L1413" t="s">
        <v>22</v>
      </c>
      <c r="M1413">
        <v>3363.03</v>
      </c>
      <c r="N1413">
        <v>2020</v>
      </c>
      <c r="O1413">
        <v>5</v>
      </c>
    </row>
    <row r="1414" spans="1:15" x14ac:dyDescent="0.3">
      <c r="A1414" s="1">
        <v>43977</v>
      </c>
      <c r="B1414">
        <v>1000000068</v>
      </c>
      <c r="C1414" t="s">
        <v>23</v>
      </c>
      <c r="D1414">
        <v>1</v>
      </c>
      <c r="E1414">
        <v>2000.02</v>
      </c>
      <c r="F1414" t="s">
        <v>16</v>
      </c>
      <c r="G1414" t="s">
        <v>24</v>
      </c>
      <c r="H1414" t="s">
        <v>30</v>
      </c>
      <c r="I1414" t="s">
        <v>55</v>
      </c>
      <c r="J1414" t="s">
        <v>26</v>
      </c>
      <c r="K1414" t="s">
        <v>56</v>
      </c>
      <c r="L1414" t="s">
        <v>28</v>
      </c>
      <c r="M1414">
        <v>2000.02</v>
      </c>
      <c r="N1414">
        <v>2020</v>
      </c>
      <c r="O1414">
        <v>5</v>
      </c>
    </row>
    <row r="1415" spans="1:15" x14ac:dyDescent="0.3">
      <c r="A1415" s="1">
        <v>43977</v>
      </c>
      <c r="B1415">
        <v>1000000028</v>
      </c>
      <c r="C1415" t="s">
        <v>15</v>
      </c>
      <c r="D1415">
        <v>1</v>
      </c>
      <c r="E1415">
        <v>911.98</v>
      </c>
      <c r="F1415" t="s">
        <v>16</v>
      </c>
      <c r="G1415" t="s">
        <v>17</v>
      </c>
      <c r="H1415" t="s">
        <v>18</v>
      </c>
      <c r="I1415" t="s">
        <v>19</v>
      </c>
      <c r="J1415" t="s">
        <v>20</v>
      </c>
      <c r="K1415" t="s">
        <v>21</v>
      </c>
      <c r="L1415" t="s">
        <v>22</v>
      </c>
      <c r="M1415">
        <v>911.98</v>
      </c>
      <c r="N1415">
        <v>2020</v>
      </c>
      <c r="O1415">
        <v>5</v>
      </c>
    </row>
    <row r="1416" spans="1:15" x14ac:dyDescent="0.3">
      <c r="A1416" s="1">
        <v>43978</v>
      </c>
      <c r="B1416">
        <v>1000000032</v>
      </c>
      <c r="C1416" t="s">
        <v>23</v>
      </c>
      <c r="D1416">
        <v>4</v>
      </c>
      <c r="E1416">
        <v>42001.43</v>
      </c>
      <c r="F1416" t="s">
        <v>16</v>
      </c>
      <c r="G1416" t="s">
        <v>24</v>
      </c>
      <c r="H1416" t="s">
        <v>18</v>
      </c>
      <c r="I1416" t="s">
        <v>25</v>
      </c>
      <c r="J1416" t="s">
        <v>26</v>
      </c>
      <c r="K1416" t="s">
        <v>27</v>
      </c>
      <c r="L1416" t="s">
        <v>28</v>
      </c>
      <c r="M1416">
        <v>10500.3575</v>
      </c>
      <c r="N1416">
        <v>2020</v>
      </c>
      <c r="O1416">
        <v>5</v>
      </c>
    </row>
    <row r="1417" spans="1:15" x14ac:dyDescent="0.3">
      <c r="A1417" s="1">
        <v>43978</v>
      </c>
      <c r="B1417">
        <v>1000000040</v>
      </c>
      <c r="C1417" t="s">
        <v>15</v>
      </c>
      <c r="D1417">
        <v>3</v>
      </c>
      <c r="E1417">
        <v>37000.959999999999</v>
      </c>
      <c r="F1417" t="s">
        <v>16</v>
      </c>
      <c r="G1417" t="s">
        <v>17</v>
      </c>
      <c r="H1417" t="s">
        <v>30</v>
      </c>
      <c r="I1417" t="s">
        <v>31</v>
      </c>
      <c r="J1417" t="s">
        <v>32</v>
      </c>
      <c r="K1417" t="s">
        <v>33</v>
      </c>
      <c r="L1417" t="s">
        <v>28</v>
      </c>
      <c r="M1417">
        <v>12333.653333333334</v>
      </c>
      <c r="N1417">
        <v>2020</v>
      </c>
      <c r="O1417">
        <v>5</v>
      </c>
    </row>
    <row r="1418" spans="1:15" x14ac:dyDescent="0.3">
      <c r="A1418" s="1">
        <v>43978</v>
      </c>
      <c r="B1418">
        <v>1000007320</v>
      </c>
      <c r="C1418" t="s">
        <v>15</v>
      </c>
      <c r="D1418">
        <v>2</v>
      </c>
      <c r="E1418">
        <v>37000.61</v>
      </c>
      <c r="F1418" t="s">
        <v>16</v>
      </c>
      <c r="G1418" t="s">
        <v>17</v>
      </c>
      <c r="H1418" t="s">
        <v>18</v>
      </c>
      <c r="I1418" t="s">
        <v>34</v>
      </c>
      <c r="J1418" t="s">
        <v>26</v>
      </c>
      <c r="K1418" t="s">
        <v>35</v>
      </c>
      <c r="L1418" t="s">
        <v>22</v>
      </c>
      <c r="M1418">
        <v>18500.305</v>
      </c>
      <c r="N1418">
        <v>2020</v>
      </c>
      <c r="O1418">
        <v>5</v>
      </c>
    </row>
    <row r="1419" spans="1:15" x14ac:dyDescent="0.3">
      <c r="A1419" s="1">
        <v>43978</v>
      </c>
      <c r="B1419">
        <v>1000003926</v>
      </c>
      <c r="C1419" t="s">
        <v>23</v>
      </c>
      <c r="D1419">
        <v>2</v>
      </c>
      <c r="E1419">
        <v>35001.009999999995</v>
      </c>
      <c r="F1419" t="s">
        <v>16</v>
      </c>
      <c r="G1419" t="s">
        <v>24</v>
      </c>
      <c r="H1419" t="s">
        <v>47</v>
      </c>
      <c r="I1419" t="s">
        <v>48</v>
      </c>
      <c r="J1419" t="s">
        <v>26</v>
      </c>
      <c r="K1419" t="s">
        <v>50</v>
      </c>
      <c r="L1419" t="s">
        <v>28</v>
      </c>
      <c r="M1419">
        <v>17500.504999999997</v>
      </c>
      <c r="N1419">
        <v>2020</v>
      </c>
      <c r="O1419">
        <v>5</v>
      </c>
    </row>
    <row r="1420" spans="1:15" x14ac:dyDescent="0.3">
      <c r="A1420" s="1">
        <v>43978</v>
      </c>
      <c r="B1420">
        <v>1000008239</v>
      </c>
      <c r="C1420" t="s">
        <v>15</v>
      </c>
      <c r="D1420">
        <v>3</v>
      </c>
      <c r="E1420">
        <v>30001.520000000004</v>
      </c>
      <c r="F1420" t="s">
        <v>16</v>
      </c>
      <c r="G1420" t="s">
        <v>17</v>
      </c>
      <c r="H1420" t="s">
        <v>18</v>
      </c>
      <c r="I1420" t="s">
        <v>61</v>
      </c>
      <c r="J1420" t="s">
        <v>26</v>
      </c>
      <c r="K1420" t="s">
        <v>62</v>
      </c>
      <c r="L1420" t="s">
        <v>28</v>
      </c>
      <c r="M1420">
        <v>10000.506666666668</v>
      </c>
      <c r="N1420">
        <v>2020</v>
      </c>
      <c r="O1420">
        <v>5</v>
      </c>
    </row>
    <row r="1421" spans="1:15" x14ac:dyDescent="0.3">
      <c r="A1421" s="1">
        <v>43978</v>
      </c>
      <c r="B1421">
        <v>1000004256</v>
      </c>
      <c r="C1421" t="s">
        <v>23</v>
      </c>
      <c r="D1421">
        <v>2</v>
      </c>
      <c r="E1421">
        <v>30000.11</v>
      </c>
      <c r="F1421" t="s">
        <v>16</v>
      </c>
      <c r="G1421" t="s">
        <v>24</v>
      </c>
      <c r="H1421" t="s">
        <v>18</v>
      </c>
      <c r="I1421" t="s">
        <v>40</v>
      </c>
      <c r="J1421" t="s">
        <v>26</v>
      </c>
      <c r="K1421" t="s">
        <v>41</v>
      </c>
      <c r="L1421" t="s">
        <v>22</v>
      </c>
      <c r="M1421">
        <v>15000.055</v>
      </c>
      <c r="N1421">
        <v>2020</v>
      </c>
      <c r="O1421">
        <v>5</v>
      </c>
    </row>
    <row r="1422" spans="1:15" x14ac:dyDescent="0.3">
      <c r="A1422" s="1">
        <v>43978</v>
      </c>
      <c r="B1422">
        <v>1000000594</v>
      </c>
      <c r="C1422" t="s">
        <v>15</v>
      </c>
      <c r="D1422">
        <v>1</v>
      </c>
      <c r="E1422">
        <v>25000.32</v>
      </c>
      <c r="F1422" t="s">
        <v>16</v>
      </c>
      <c r="G1422" t="s">
        <v>17</v>
      </c>
      <c r="H1422" t="s">
        <v>18</v>
      </c>
      <c r="I1422" t="s">
        <v>25</v>
      </c>
      <c r="J1422" t="s">
        <v>20</v>
      </c>
      <c r="K1422" t="s">
        <v>51</v>
      </c>
      <c r="L1422" t="s">
        <v>22</v>
      </c>
      <c r="M1422">
        <v>25000.32</v>
      </c>
      <c r="N1422">
        <v>2020</v>
      </c>
      <c r="O1422">
        <v>5</v>
      </c>
    </row>
    <row r="1423" spans="1:15" x14ac:dyDescent="0.3">
      <c r="A1423" s="1">
        <v>43978</v>
      </c>
      <c r="B1423">
        <v>1000000037</v>
      </c>
      <c r="C1423" t="s">
        <v>15</v>
      </c>
      <c r="D1423">
        <v>2</v>
      </c>
      <c r="E1423">
        <v>22600.54</v>
      </c>
      <c r="F1423" t="s">
        <v>16</v>
      </c>
      <c r="G1423" t="s">
        <v>17</v>
      </c>
      <c r="H1423" t="s">
        <v>18</v>
      </c>
      <c r="I1423" t="s">
        <v>19</v>
      </c>
      <c r="J1423" t="s">
        <v>20</v>
      </c>
      <c r="K1423" t="s">
        <v>21</v>
      </c>
      <c r="L1423" t="s">
        <v>22</v>
      </c>
      <c r="M1423">
        <v>11300.27</v>
      </c>
      <c r="N1423">
        <v>2020</v>
      </c>
      <c r="O1423">
        <v>5</v>
      </c>
    </row>
    <row r="1424" spans="1:15" x14ac:dyDescent="0.3">
      <c r="A1424" s="1">
        <v>43978</v>
      </c>
      <c r="B1424">
        <v>1000000045</v>
      </c>
      <c r="C1424" t="s">
        <v>23</v>
      </c>
      <c r="D1424">
        <v>1</v>
      </c>
      <c r="E1424">
        <v>22000.17</v>
      </c>
      <c r="F1424" t="s">
        <v>16</v>
      </c>
      <c r="G1424" t="s">
        <v>24</v>
      </c>
      <c r="H1424" t="s">
        <v>47</v>
      </c>
      <c r="I1424" t="s">
        <v>59</v>
      </c>
      <c r="J1424" t="s">
        <v>26</v>
      </c>
      <c r="K1424" t="s">
        <v>60</v>
      </c>
      <c r="L1424" t="s">
        <v>22</v>
      </c>
      <c r="M1424">
        <v>22000.17</v>
      </c>
      <c r="N1424">
        <v>2020</v>
      </c>
      <c r="O1424">
        <v>5</v>
      </c>
    </row>
    <row r="1425" spans="1:15" x14ac:dyDescent="0.3">
      <c r="A1425" s="1">
        <v>43978</v>
      </c>
      <c r="B1425">
        <v>1000006860</v>
      </c>
      <c r="C1425" t="s">
        <v>42</v>
      </c>
      <c r="D1425">
        <v>1</v>
      </c>
      <c r="E1425">
        <v>20000.68</v>
      </c>
      <c r="F1425" t="s">
        <v>16</v>
      </c>
      <c r="G1425" t="s">
        <v>43</v>
      </c>
      <c r="H1425" t="s">
        <v>18</v>
      </c>
      <c r="I1425" t="s">
        <v>61</v>
      </c>
      <c r="J1425" t="s">
        <v>26</v>
      </c>
      <c r="K1425" t="s">
        <v>62</v>
      </c>
      <c r="L1425" t="s">
        <v>22</v>
      </c>
      <c r="M1425">
        <v>20000.68</v>
      </c>
      <c r="N1425">
        <v>2020</v>
      </c>
      <c r="O1425">
        <v>5</v>
      </c>
    </row>
    <row r="1426" spans="1:15" x14ac:dyDescent="0.3">
      <c r="A1426" s="1">
        <v>43978</v>
      </c>
      <c r="B1426">
        <v>1000003489</v>
      </c>
      <c r="C1426" t="s">
        <v>42</v>
      </c>
      <c r="D1426">
        <v>1</v>
      </c>
      <c r="E1426">
        <v>20000.54</v>
      </c>
      <c r="F1426" t="s">
        <v>16</v>
      </c>
      <c r="G1426" t="s">
        <v>43</v>
      </c>
      <c r="H1426" t="s">
        <v>47</v>
      </c>
      <c r="I1426" t="s">
        <v>48</v>
      </c>
      <c r="J1426" t="s">
        <v>26</v>
      </c>
      <c r="K1426" t="s">
        <v>50</v>
      </c>
      <c r="L1426" t="s">
        <v>22</v>
      </c>
      <c r="M1426">
        <v>20000.54</v>
      </c>
      <c r="N1426">
        <v>2020</v>
      </c>
      <c r="O1426">
        <v>5</v>
      </c>
    </row>
    <row r="1427" spans="1:15" x14ac:dyDescent="0.3">
      <c r="A1427" s="1">
        <v>43978</v>
      </c>
      <c r="B1427">
        <v>1000000039</v>
      </c>
      <c r="C1427" t="s">
        <v>42</v>
      </c>
      <c r="D1427">
        <v>1</v>
      </c>
      <c r="E1427">
        <v>20000.43</v>
      </c>
      <c r="F1427" t="s">
        <v>16</v>
      </c>
      <c r="G1427" t="s">
        <v>43</v>
      </c>
      <c r="H1427" t="s">
        <v>18</v>
      </c>
      <c r="I1427" t="s">
        <v>25</v>
      </c>
      <c r="J1427" t="s">
        <v>20</v>
      </c>
      <c r="K1427" t="s">
        <v>51</v>
      </c>
      <c r="L1427" t="s">
        <v>28</v>
      </c>
      <c r="M1427">
        <v>20000.43</v>
      </c>
      <c r="N1427">
        <v>2020</v>
      </c>
      <c r="O1427">
        <v>5</v>
      </c>
    </row>
    <row r="1428" spans="1:15" x14ac:dyDescent="0.3">
      <c r="A1428" s="1">
        <v>43978</v>
      </c>
      <c r="B1428">
        <v>1000000050</v>
      </c>
      <c r="C1428" t="s">
        <v>15</v>
      </c>
      <c r="D1428">
        <v>1</v>
      </c>
      <c r="E1428">
        <v>20000.060000000001</v>
      </c>
      <c r="F1428" t="s">
        <v>16</v>
      </c>
      <c r="G1428" t="s">
        <v>17</v>
      </c>
      <c r="H1428" t="s">
        <v>18</v>
      </c>
      <c r="I1428" t="s">
        <v>40</v>
      </c>
      <c r="J1428" t="s">
        <v>26</v>
      </c>
      <c r="K1428" t="s">
        <v>41</v>
      </c>
      <c r="L1428" t="s">
        <v>22</v>
      </c>
      <c r="M1428">
        <v>20000.060000000001</v>
      </c>
      <c r="N1428">
        <v>2020</v>
      </c>
      <c r="O1428">
        <v>5</v>
      </c>
    </row>
    <row r="1429" spans="1:15" x14ac:dyDescent="0.3">
      <c r="A1429" s="1">
        <v>43978</v>
      </c>
      <c r="B1429">
        <v>1000000576</v>
      </c>
      <c r="C1429" t="s">
        <v>15</v>
      </c>
      <c r="D1429">
        <v>1</v>
      </c>
      <c r="E1429">
        <v>17000.02</v>
      </c>
      <c r="F1429" t="s">
        <v>16</v>
      </c>
      <c r="G1429" t="s">
        <v>17</v>
      </c>
      <c r="H1429" t="s">
        <v>18</v>
      </c>
      <c r="I1429" t="s">
        <v>25</v>
      </c>
      <c r="J1429" t="s">
        <v>36</v>
      </c>
      <c r="K1429" t="s">
        <v>37</v>
      </c>
      <c r="L1429" t="s">
        <v>22</v>
      </c>
      <c r="M1429">
        <v>17000.02</v>
      </c>
      <c r="N1429">
        <v>2020</v>
      </c>
      <c r="O1429">
        <v>5</v>
      </c>
    </row>
    <row r="1430" spans="1:15" x14ac:dyDescent="0.3">
      <c r="A1430" s="1">
        <v>43978</v>
      </c>
      <c r="B1430">
        <v>1000000566</v>
      </c>
      <c r="C1430" t="s">
        <v>15</v>
      </c>
      <c r="D1430">
        <v>1</v>
      </c>
      <c r="E1430">
        <v>15000.15</v>
      </c>
      <c r="F1430" t="s">
        <v>16</v>
      </c>
      <c r="G1430" t="s">
        <v>17</v>
      </c>
      <c r="H1430" t="s">
        <v>47</v>
      </c>
      <c r="I1430" t="s">
        <v>48</v>
      </c>
      <c r="J1430" t="s">
        <v>36</v>
      </c>
      <c r="K1430" t="s">
        <v>49</v>
      </c>
      <c r="L1430" t="s">
        <v>22</v>
      </c>
      <c r="M1430">
        <v>15000.15</v>
      </c>
      <c r="N1430">
        <v>2020</v>
      </c>
      <c r="O1430">
        <v>5</v>
      </c>
    </row>
    <row r="1431" spans="1:15" x14ac:dyDescent="0.3">
      <c r="A1431" s="1">
        <v>43978</v>
      </c>
      <c r="B1431">
        <v>1000003989</v>
      </c>
      <c r="C1431" t="s">
        <v>15</v>
      </c>
      <c r="D1431">
        <v>1</v>
      </c>
      <c r="E1431">
        <v>15000.09</v>
      </c>
      <c r="F1431" t="s">
        <v>16</v>
      </c>
      <c r="G1431" t="s">
        <v>17</v>
      </c>
      <c r="H1431" t="s">
        <v>30</v>
      </c>
      <c r="I1431" t="s">
        <v>31</v>
      </c>
      <c r="J1431" t="s">
        <v>36</v>
      </c>
      <c r="K1431" t="s">
        <v>52</v>
      </c>
      <c r="L1431" t="s">
        <v>22</v>
      </c>
      <c r="M1431">
        <v>15000.09</v>
      </c>
      <c r="N1431">
        <v>2020</v>
      </c>
      <c r="O1431">
        <v>5</v>
      </c>
    </row>
    <row r="1432" spans="1:15" x14ac:dyDescent="0.3">
      <c r="A1432" s="1">
        <v>43978</v>
      </c>
      <c r="B1432">
        <v>1000000068</v>
      </c>
      <c r="C1432" t="s">
        <v>15</v>
      </c>
      <c r="D1432">
        <v>1</v>
      </c>
      <c r="E1432">
        <v>14000.56</v>
      </c>
      <c r="F1432" t="s">
        <v>16</v>
      </c>
      <c r="G1432" t="s">
        <v>17</v>
      </c>
      <c r="H1432" t="s">
        <v>30</v>
      </c>
      <c r="I1432" t="s">
        <v>55</v>
      </c>
      <c r="J1432" t="s">
        <v>26</v>
      </c>
      <c r="K1432" t="s">
        <v>56</v>
      </c>
      <c r="L1432" t="s">
        <v>28</v>
      </c>
      <c r="M1432">
        <v>14000.56</v>
      </c>
      <c r="N1432">
        <v>2020</v>
      </c>
      <c r="O1432">
        <v>5</v>
      </c>
    </row>
    <row r="1433" spans="1:15" x14ac:dyDescent="0.3">
      <c r="A1433" s="1">
        <v>43978</v>
      </c>
      <c r="B1433">
        <v>1000004170</v>
      </c>
      <c r="C1433" t="s">
        <v>23</v>
      </c>
      <c r="D1433">
        <v>1</v>
      </c>
      <c r="E1433">
        <v>14000.54</v>
      </c>
      <c r="F1433" t="s">
        <v>16</v>
      </c>
      <c r="G1433" t="s">
        <v>24</v>
      </c>
      <c r="H1433" t="s">
        <v>18</v>
      </c>
      <c r="I1433" t="s">
        <v>34</v>
      </c>
      <c r="J1433" t="s">
        <v>20</v>
      </c>
      <c r="K1433" t="s">
        <v>44</v>
      </c>
      <c r="L1433" t="s">
        <v>28</v>
      </c>
      <c r="M1433">
        <v>14000.54</v>
      </c>
      <c r="N1433">
        <v>2020</v>
      </c>
      <c r="O1433">
        <v>5</v>
      </c>
    </row>
    <row r="1434" spans="1:15" x14ac:dyDescent="0.3">
      <c r="A1434" s="1">
        <v>43978</v>
      </c>
      <c r="B1434">
        <v>1000004256</v>
      </c>
      <c r="C1434" t="s">
        <v>42</v>
      </c>
      <c r="D1434">
        <v>1</v>
      </c>
      <c r="E1434">
        <v>13000.45</v>
      </c>
      <c r="F1434" t="s">
        <v>16</v>
      </c>
      <c r="G1434" t="s">
        <v>43</v>
      </c>
      <c r="H1434" t="s">
        <v>18</v>
      </c>
      <c r="I1434" t="s">
        <v>40</v>
      </c>
      <c r="J1434" t="s">
        <v>26</v>
      </c>
      <c r="K1434" t="s">
        <v>41</v>
      </c>
      <c r="L1434" t="s">
        <v>22</v>
      </c>
      <c r="M1434">
        <v>13000.45</v>
      </c>
      <c r="N1434">
        <v>2020</v>
      </c>
      <c r="O1434">
        <v>5</v>
      </c>
    </row>
    <row r="1435" spans="1:15" x14ac:dyDescent="0.3">
      <c r="A1435" s="1">
        <v>43978</v>
      </c>
      <c r="B1435">
        <v>1000000029</v>
      </c>
      <c r="C1435" t="s">
        <v>15</v>
      </c>
      <c r="D1435">
        <v>1</v>
      </c>
      <c r="E1435">
        <v>13000.31</v>
      </c>
      <c r="F1435" t="s">
        <v>16</v>
      </c>
      <c r="G1435" t="s">
        <v>17</v>
      </c>
      <c r="H1435" t="s">
        <v>18</v>
      </c>
      <c r="I1435" t="s">
        <v>19</v>
      </c>
      <c r="J1435" t="s">
        <v>20</v>
      </c>
      <c r="K1435" t="s">
        <v>21</v>
      </c>
      <c r="L1435" t="s">
        <v>22</v>
      </c>
      <c r="M1435">
        <v>13000.31</v>
      </c>
      <c r="N1435">
        <v>2020</v>
      </c>
      <c r="O1435">
        <v>5</v>
      </c>
    </row>
    <row r="1436" spans="1:15" x14ac:dyDescent="0.3">
      <c r="A1436" s="1">
        <v>43978</v>
      </c>
      <c r="B1436">
        <v>1000000054</v>
      </c>
      <c r="C1436" t="s">
        <v>42</v>
      </c>
      <c r="D1436">
        <v>1</v>
      </c>
      <c r="E1436">
        <v>13000.03</v>
      </c>
      <c r="F1436" t="s">
        <v>16</v>
      </c>
      <c r="G1436" t="s">
        <v>43</v>
      </c>
      <c r="H1436" t="s">
        <v>18</v>
      </c>
      <c r="I1436" t="s">
        <v>34</v>
      </c>
      <c r="J1436" t="s">
        <v>26</v>
      </c>
      <c r="K1436" t="s">
        <v>35</v>
      </c>
      <c r="L1436" t="s">
        <v>22</v>
      </c>
      <c r="M1436">
        <v>13000.03</v>
      </c>
      <c r="N1436">
        <v>2020</v>
      </c>
      <c r="O1436">
        <v>5</v>
      </c>
    </row>
    <row r="1437" spans="1:15" x14ac:dyDescent="0.3">
      <c r="A1437" s="1">
        <v>43978</v>
      </c>
      <c r="B1437">
        <v>1000000029</v>
      </c>
      <c r="C1437" t="s">
        <v>23</v>
      </c>
      <c r="D1437">
        <v>1</v>
      </c>
      <c r="E1437">
        <v>12000.52</v>
      </c>
      <c r="F1437" t="s">
        <v>16</v>
      </c>
      <c r="G1437" t="s">
        <v>24</v>
      </c>
      <c r="H1437" t="s">
        <v>18</v>
      </c>
      <c r="I1437" t="s">
        <v>19</v>
      </c>
      <c r="J1437" t="s">
        <v>20</v>
      </c>
      <c r="K1437" t="s">
        <v>21</v>
      </c>
      <c r="L1437" t="s">
        <v>22</v>
      </c>
      <c r="M1437">
        <v>12000.52</v>
      </c>
      <c r="N1437">
        <v>2020</v>
      </c>
      <c r="O1437">
        <v>5</v>
      </c>
    </row>
    <row r="1438" spans="1:15" x14ac:dyDescent="0.3">
      <c r="A1438" s="1">
        <v>43978</v>
      </c>
      <c r="B1438">
        <v>1000009288</v>
      </c>
      <c r="C1438" t="s">
        <v>15</v>
      </c>
      <c r="D1438">
        <v>2</v>
      </c>
      <c r="E1438">
        <v>10500.97</v>
      </c>
      <c r="F1438" t="s">
        <v>16</v>
      </c>
      <c r="G1438" t="s">
        <v>17</v>
      </c>
      <c r="H1438" t="s">
        <v>18</v>
      </c>
      <c r="I1438" t="s">
        <v>25</v>
      </c>
      <c r="J1438" t="s">
        <v>20</v>
      </c>
      <c r="K1438" t="s">
        <v>51</v>
      </c>
      <c r="L1438" t="s">
        <v>22</v>
      </c>
      <c r="M1438">
        <v>5250.4849999999997</v>
      </c>
      <c r="N1438">
        <v>2020</v>
      </c>
      <c r="O1438">
        <v>5</v>
      </c>
    </row>
    <row r="1439" spans="1:15" x14ac:dyDescent="0.3">
      <c r="A1439" s="1">
        <v>43978</v>
      </c>
      <c r="B1439">
        <v>1000000031</v>
      </c>
      <c r="C1439" t="s">
        <v>23</v>
      </c>
      <c r="D1439">
        <v>1</v>
      </c>
      <c r="E1439">
        <v>10000.48</v>
      </c>
      <c r="F1439" t="s">
        <v>16</v>
      </c>
      <c r="G1439" t="s">
        <v>24</v>
      </c>
      <c r="H1439" t="s">
        <v>18</v>
      </c>
      <c r="I1439" t="s">
        <v>19</v>
      </c>
      <c r="J1439" t="s">
        <v>26</v>
      </c>
      <c r="K1439" t="s">
        <v>29</v>
      </c>
      <c r="L1439" t="s">
        <v>28</v>
      </c>
      <c r="M1439">
        <v>10000.48</v>
      </c>
      <c r="N1439">
        <v>2020</v>
      </c>
      <c r="O1439">
        <v>5</v>
      </c>
    </row>
    <row r="1440" spans="1:15" x14ac:dyDescent="0.3">
      <c r="A1440" s="1">
        <v>43978</v>
      </c>
      <c r="B1440">
        <v>1000000104</v>
      </c>
      <c r="C1440" t="s">
        <v>42</v>
      </c>
      <c r="D1440">
        <v>1</v>
      </c>
      <c r="E1440">
        <v>9000.4500000000007</v>
      </c>
      <c r="F1440" t="s">
        <v>16</v>
      </c>
      <c r="G1440" t="s">
        <v>43</v>
      </c>
      <c r="H1440" t="s">
        <v>18</v>
      </c>
      <c r="I1440" t="s">
        <v>40</v>
      </c>
      <c r="J1440" t="s">
        <v>26</v>
      </c>
      <c r="K1440" t="s">
        <v>41</v>
      </c>
      <c r="L1440" t="s">
        <v>22</v>
      </c>
      <c r="M1440">
        <v>9000.4500000000007</v>
      </c>
      <c r="N1440">
        <v>2020</v>
      </c>
      <c r="O1440">
        <v>5</v>
      </c>
    </row>
    <row r="1441" spans="1:15" x14ac:dyDescent="0.3">
      <c r="A1441" s="1">
        <v>43978</v>
      </c>
      <c r="B1441">
        <v>1000000035</v>
      </c>
      <c r="C1441" t="s">
        <v>15</v>
      </c>
      <c r="D1441">
        <v>1</v>
      </c>
      <c r="E1441">
        <v>9000.34</v>
      </c>
      <c r="F1441" t="s">
        <v>16</v>
      </c>
      <c r="G1441" t="s">
        <v>17</v>
      </c>
      <c r="H1441" t="s">
        <v>18</v>
      </c>
      <c r="I1441" t="s">
        <v>25</v>
      </c>
      <c r="J1441" t="s">
        <v>36</v>
      </c>
      <c r="K1441" t="s">
        <v>37</v>
      </c>
      <c r="L1441" t="s">
        <v>22</v>
      </c>
      <c r="M1441">
        <v>9000.34</v>
      </c>
      <c r="N1441">
        <v>2020</v>
      </c>
      <c r="O1441">
        <v>5</v>
      </c>
    </row>
    <row r="1442" spans="1:15" x14ac:dyDescent="0.3">
      <c r="A1442" s="1">
        <v>43978</v>
      </c>
      <c r="B1442">
        <v>1000000041</v>
      </c>
      <c r="C1442" t="s">
        <v>23</v>
      </c>
      <c r="D1442">
        <v>3</v>
      </c>
      <c r="E1442">
        <v>8001.2900000000009</v>
      </c>
      <c r="F1442" t="s">
        <v>16</v>
      </c>
      <c r="G1442" t="s">
        <v>24</v>
      </c>
      <c r="H1442" t="s">
        <v>30</v>
      </c>
      <c r="I1442" t="s">
        <v>31</v>
      </c>
      <c r="J1442" t="s">
        <v>32</v>
      </c>
      <c r="K1442" t="s">
        <v>33</v>
      </c>
      <c r="L1442" t="s">
        <v>22</v>
      </c>
      <c r="M1442">
        <v>2667.0966666666668</v>
      </c>
      <c r="N1442">
        <v>2020</v>
      </c>
      <c r="O1442">
        <v>5</v>
      </c>
    </row>
    <row r="1443" spans="1:15" x14ac:dyDescent="0.3">
      <c r="A1443" s="1">
        <v>43978</v>
      </c>
      <c r="B1443">
        <v>1000004170</v>
      </c>
      <c r="C1443" t="s">
        <v>15</v>
      </c>
      <c r="D1443">
        <v>1</v>
      </c>
      <c r="E1443">
        <v>8000.39</v>
      </c>
      <c r="F1443" t="s">
        <v>16</v>
      </c>
      <c r="G1443" t="s">
        <v>17</v>
      </c>
      <c r="H1443" t="s">
        <v>18</v>
      </c>
      <c r="I1443" t="s">
        <v>34</v>
      </c>
      <c r="J1443" t="s">
        <v>20</v>
      </c>
      <c r="K1443" t="s">
        <v>44</v>
      </c>
      <c r="L1443" t="s">
        <v>28</v>
      </c>
      <c r="M1443">
        <v>8000.39</v>
      </c>
      <c r="N1443">
        <v>2020</v>
      </c>
      <c r="O1443">
        <v>5</v>
      </c>
    </row>
    <row r="1444" spans="1:15" x14ac:dyDescent="0.3">
      <c r="A1444" s="1">
        <v>43978</v>
      </c>
      <c r="B1444">
        <v>1000000928</v>
      </c>
      <c r="C1444" t="s">
        <v>23</v>
      </c>
      <c r="D1444">
        <v>1</v>
      </c>
      <c r="E1444">
        <v>8000.35</v>
      </c>
      <c r="F1444" t="s">
        <v>16</v>
      </c>
      <c r="G1444" t="s">
        <v>24</v>
      </c>
      <c r="H1444" t="s">
        <v>30</v>
      </c>
      <c r="I1444" t="s">
        <v>57</v>
      </c>
      <c r="J1444" t="s">
        <v>26</v>
      </c>
      <c r="K1444" t="s">
        <v>58</v>
      </c>
      <c r="L1444" t="s">
        <v>22</v>
      </c>
      <c r="M1444">
        <v>8000.35</v>
      </c>
      <c r="N1444">
        <v>2020</v>
      </c>
      <c r="O1444">
        <v>5</v>
      </c>
    </row>
    <row r="1445" spans="1:15" x14ac:dyDescent="0.3">
      <c r="A1445" s="1">
        <v>43978</v>
      </c>
      <c r="B1445">
        <v>1000000034</v>
      </c>
      <c r="C1445" t="s">
        <v>23</v>
      </c>
      <c r="D1445">
        <v>1</v>
      </c>
      <c r="E1445">
        <v>8000.03</v>
      </c>
      <c r="F1445" t="s">
        <v>16</v>
      </c>
      <c r="G1445" t="s">
        <v>24</v>
      </c>
      <c r="H1445" t="s">
        <v>18</v>
      </c>
      <c r="I1445" t="s">
        <v>25</v>
      </c>
      <c r="J1445" t="s">
        <v>26</v>
      </c>
      <c r="K1445" t="s">
        <v>27</v>
      </c>
      <c r="L1445" t="s">
        <v>22</v>
      </c>
      <c r="M1445">
        <v>8000.03</v>
      </c>
      <c r="N1445">
        <v>2020</v>
      </c>
      <c r="O1445">
        <v>5</v>
      </c>
    </row>
    <row r="1446" spans="1:15" x14ac:dyDescent="0.3">
      <c r="A1446" s="1">
        <v>43978</v>
      </c>
      <c r="B1446">
        <v>1000003803</v>
      </c>
      <c r="C1446" t="s">
        <v>15</v>
      </c>
      <c r="D1446">
        <v>1</v>
      </c>
      <c r="E1446">
        <v>7500.65</v>
      </c>
      <c r="F1446" t="s">
        <v>16</v>
      </c>
      <c r="G1446" t="s">
        <v>17</v>
      </c>
      <c r="H1446" t="s">
        <v>30</v>
      </c>
      <c r="I1446" t="s">
        <v>31</v>
      </c>
      <c r="J1446" t="s">
        <v>36</v>
      </c>
      <c r="K1446" t="s">
        <v>52</v>
      </c>
      <c r="L1446" t="s">
        <v>22</v>
      </c>
      <c r="M1446">
        <v>7500.65</v>
      </c>
      <c r="N1446">
        <v>2020</v>
      </c>
      <c r="O1446">
        <v>5</v>
      </c>
    </row>
    <row r="1447" spans="1:15" x14ac:dyDescent="0.3">
      <c r="A1447" s="1">
        <v>43978</v>
      </c>
      <c r="B1447">
        <v>1000000033</v>
      </c>
      <c r="C1447" t="s">
        <v>23</v>
      </c>
      <c r="D1447">
        <v>1</v>
      </c>
      <c r="E1447">
        <v>7500.43</v>
      </c>
      <c r="F1447" t="s">
        <v>16</v>
      </c>
      <c r="G1447" t="s">
        <v>24</v>
      </c>
      <c r="H1447" t="s">
        <v>18</v>
      </c>
      <c r="I1447" t="s">
        <v>25</v>
      </c>
      <c r="J1447" t="s">
        <v>26</v>
      </c>
      <c r="K1447" t="s">
        <v>27</v>
      </c>
      <c r="L1447" t="s">
        <v>22</v>
      </c>
      <c r="M1447">
        <v>7500.43</v>
      </c>
      <c r="N1447">
        <v>2020</v>
      </c>
      <c r="O1447">
        <v>5</v>
      </c>
    </row>
    <row r="1448" spans="1:15" x14ac:dyDescent="0.3">
      <c r="A1448" s="1">
        <v>43978</v>
      </c>
      <c r="B1448">
        <v>1000000036</v>
      </c>
      <c r="C1448" t="s">
        <v>15</v>
      </c>
      <c r="D1448">
        <v>1</v>
      </c>
      <c r="E1448">
        <v>7500.22</v>
      </c>
      <c r="F1448" t="s">
        <v>16</v>
      </c>
      <c r="G1448" t="s">
        <v>17</v>
      </c>
      <c r="H1448" t="s">
        <v>47</v>
      </c>
      <c r="I1448" t="s">
        <v>48</v>
      </c>
      <c r="J1448" t="s">
        <v>36</v>
      </c>
      <c r="K1448" t="s">
        <v>49</v>
      </c>
      <c r="L1448" t="s">
        <v>28</v>
      </c>
      <c r="M1448">
        <v>7500.22</v>
      </c>
      <c r="N1448">
        <v>2020</v>
      </c>
      <c r="O1448">
        <v>5</v>
      </c>
    </row>
    <row r="1449" spans="1:15" x14ac:dyDescent="0.3">
      <c r="A1449" s="1">
        <v>43978</v>
      </c>
      <c r="B1449">
        <v>1000008239</v>
      </c>
      <c r="C1449" t="s">
        <v>23</v>
      </c>
      <c r="D1449">
        <v>1</v>
      </c>
      <c r="E1449">
        <v>7000.43</v>
      </c>
      <c r="F1449" t="s">
        <v>16</v>
      </c>
      <c r="G1449" t="s">
        <v>24</v>
      </c>
      <c r="H1449" t="s">
        <v>18</v>
      </c>
      <c r="I1449" t="s">
        <v>61</v>
      </c>
      <c r="J1449" t="s">
        <v>26</v>
      </c>
      <c r="K1449" t="s">
        <v>62</v>
      </c>
      <c r="L1449" t="s">
        <v>28</v>
      </c>
      <c r="M1449">
        <v>7000.43</v>
      </c>
      <c r="N1449">
        <v>2020</v>
      </c>
      <c r="O1449">
        <v>5</v>
      </c>
    </row>
    <row r="1450" spans="1:15" x14ac:dyDescent="0.3">
      <c r="A1450" s="1">
        <v>43978</v>
      </c>
      <c r="B1450">
        <v>1000000045</v>
      </c>
      <c r="C1450" t="s">
        <v>15</v>
      </c>
      <c r="D1450">
        <v>1</v>
      </c>
      <c r="E1450">
        <v>6999.97</v>
      </c>
      <c r="F1450" t="s">
        <v>16</v>
      </c>
      <c r="G1450" t="s">
        <v>17</v>
      </c>
      <c r="H1450" t="s">
        <v>47</v>
      </c>
      <c r="I1450" t="s">
        <v>59</v>
      </c>
      <c r="J1450" t="s">
        <v>26</v>
      </c>
      <c r="K1450" t="s">
        <v>60</v>
      </c>
      <c r="L1450" t="s">
        <v>22</v>
      </c>
      <c r="M1450">
        <v>6999.97</v>
      </c>
      <c r="N1450">
        <v>2020</v>
      </c>
      <c r="O1450">
        <v>5</v>
      </c>
    </row>
    <row r="1451" spans="1:15" x14ac:dyDescent="0.3">
      <c r="A1451" s="1">
        <v>43978</v>
      </c>
      <c r="B1451">
        <v>1000000044</v>
      </c>
      <c r="C1451" t="s">
        <v>23</v>
      </c>
      <c r="D1451">
        <v>1</v>
      </c>
      <c r="E1451">
        <v>6500.04</v>
      </c>
      <c r="F1451" t="s">
        <v>16</v>
      </c>
      <c r="G1451" t="s">
        <v>24</v>
      </c>
      <c r="H1451" t="s">
        <v>30</v>
      </c>
      <c r="I1451" t="s">
        <v>31</v>
      </c>
      <c r="J1451" t="s">
        <v>36</v>
      </c>
      <c r="K1451" t="s">
        <v>52</v>
      </c>
      <c r="L1451" t="s">
        <v>28</v>
      </c>
      <c r="M1451">
        <v>6500.04</v>
      </c>
      <c r="N1451">
        <v>2020</v>
      </c>
      <c r="O1451">
        <v>5</v>
      </c>
    </row>
    <row r="1452" spans="1:15" x14ac:dyDescent="0.3">
      <c r="A1452" s="1">
        <v>43978</v>
      </c>
      <c r="B1452">
        <v>1000006064</v>
      </c>
      <c r="C1452" t="s">
        <v>15</v>
      </c>
      <c r="D1452">
        <v>1</v>
      </c>
      <c r="E1452">
        <v>6000.57</v>
      </c>
      <c r="F1452" t="s">
        <v>16</v>
      </c>
      <c r="G1452" t="s">
        <v>17</v>
      </c>
      <c r="H1452" t="s">
        <v>18</v>
      </c>
      <c r="I1452" t="s">
        <v>40</v>
      </c>
      <c r="J1452" t="s">
        <v>26</v>
      </c>
      <c r="K1452" t="s">
        <v>41</v>
      </c>
      <c r="L1452" t="s">
        <v>22</v>
      </c>
      <c r="M1452">
        <v>6000.57</v>
      </c>
      <c r="N1452">
        <v>2020</v>
      </c>
      <c r="O1452">
        <v>5</v>
      </c>
    </row>
    <row r="1453" spans="1:15" x14ac:dyDescent="0.3">
      <c r="A1453" s="1">
        <v>43978</v>
      </c>
      <c r="B1453">
        <v>1000006860</v>
      </c>
      <c r="C1453" t="s">
        <v>23</v>
      </c>
      <c r="D1453">
        <v>1</v>
      </c>
      <c r="E1453">
        <v>6000.32</v>
      </c>
      <c r="F1453" t="s">
        <v>16</v>
      </c>
      <c r="G1453" t="s">
        <v>24</v>
      </c>
      <c r="H1453" t="s">
        <v>18</v>
      </c>
      <c r="I1453" t="s">
        <v>61</v>
      </c>
      <c r="J1453" t="s">
        <v>26</v>
      </c>
      <c r="K1453" t="s">
        <v>62</v>
      </c>
      <c r="L1453" t="s">
        <v>22</v>
      </c>
      <c r="M1453">
        <v>6000.32</v>
      </c>
      <c r="N1453">
        <v>2020</v>
      </c>
      <c r="O1453">
        <v>5</v>
      </c>
    </row>
    <row r="1454" spans="1:15" x14ac:dyDescent="0.3">
      <c r="A1454" s="1">
        <v>43978</v>
      </c>
      <c r="B1454">
        <v>1000000039</v>
      </c>
      <c r="C1454" t="s">
        <v>23</v>
      </c>
      <c r="D1454">
        <v>2</v>
      </c>
      <c r="E1454">
        <v>5738.7599999999993</v>
      </c>
      <c r="F1454" t="s">
        <v>16</v>
      </c>
      <c r="G1454" t="s">
        <v>24</v>
      </c>
      <c r="H1454" t="s">
        <v>18</v>
      </c>
      <c r="I1454" t="s">
        <v>25</v>
      </c>
      <c r="J1454" t="s">
        <v>20</v>
      </c>
      <c r="K1454" t="s">
        <v>51</v>
      </c>
      <c r="L1454" t="s">
        <v>28</v>
      </c>
      <c r="M1454">
        <v>2869.3799999999997</v>
      </c>
      <c r="N1454">
        <v>2020</v>
      </c>
      <c r="O1454">
        <v>5</v>
      </c>
    </row>
    <row r="1455" spans="1:15" x14ac:dyDescent="0.3">
      <c r="A1455" s="1">
        <v>43978</v>
      </c>
      <c r="B1455">
        <v>1000000068</v>
      </c>
      <c r="C1455" t="s">
        <v>23</v>
      </c>
      <c r="D1455">
        <v>1</v>
      </c>
      <c r="E1455">
        <v>5500.56</v>
      </c>
      <c r="F1455" t="s">
        <v>16</v>
      </c>
      <c r="G1455" t="s">
        <v>24</v>
      </c>
      <c r="H1455" t="s">
        <v>30</v>
      </c>
      <c r="I1455" t="s">
        <v>55</v>
      </c>
      <c r="J1455" t="s">
        <v>26</v>
      </c>
      <c r="K1455" t="s">
        <v>56</v>
      </c>
      <c r="L1455" t="s">
        <v>28</v>
      </c>
      <c r="M1455">
        <v>5500.56</v>
      </c>
      <c r="N1455">
        <v>2020</v>
      </c>
      <c r="O1455">
        <v>5</v>
      </c>
    </row>
    <row r="1456" spans="1:15" x14ac:dyDescent="0.3">
      <c r="A1456" s="1">
        <v>43978</v>
      </c>
      <c r="B1456">
        <v>1000006867</v>
      </c>
      <c r="C1456" t="s">
        <v>23</v>
      </c>
      <c r="D1456">
        <v>1</v>
      </c>
      <c r="E1456">
        <v>5000.7299999999996</v>
      </c>
      <c r="F1456" t="s">
        <v>16</v>
      </c>
      <c r="G1456" t="s">
        <v>24</v>
      </c>
      <c r="H1456" t="s">
        <v>18</v>
      </c>
      <c r="I1456" t="s">
        <v>61</v>
      </c>
      <c r="J1456" t="s">
        <v>26</v>
      </c>
      <c r="K1456" t="s">
        <v>62</v>
      </c>
      <c r="L1456" t="s">
        <v>22</v>
      </c>
      <c r="M1456">
        <v>5000.7299999999996</v>
      </c>
      <c r="N1456">
        <v>2020</v>
      </c>
      <c r="O1456">
        <v>5</v>
      </c>
    </row>
    <row r="1457" spans="1:15" x14ac:dyDescent="0.3">
      <c r="A1457" s="1">
        <v>43978</v>
      </c>
      <c r="B1457">
        <v>1000000046</v>
      </c>
      <c r="C1457" t="s">
        <v>15</v>
      </c>
      <c r="D1457">
        <v>1</v>
      </c>
      <c r="E1457">
        <v>5000.68</v>
      </c>
      <c r="F1457" t="s">
        <v>16</v>
      </c>
      <c r="G1457" t="s">
        <v>17</v>
      </c>
      <c r="H1457" t="s">
        <v>30</v>
      </c>
      <c r="I1457" t="s">
        <v>38</v>
      </c>
      <c r="J1457" t="s">
        <v>26</v>
      </c>
      <c r="K1457" t="s">
        <v>39</v>
      </c>
      <c r="L1457" t="s">
        <v>22</v>
      </c>
      <c r="M1457">
        <v>5000.68</v>
      </c>
      <c r="N1457">
        <v>2020</v>
      </c>
      <c r="O1457">
        <v>5</v>
      </c>
    </row>
    <row r="1458" spans="1:15" x14ac:dyDescent="0.3">
      <c r="A1458" s="1">
        <v>43978</v>
      </c>
      <c r="B1458">
        <v>1000003989</v>
      </c>
      <c r="C1458" t="s">
        <v>23</v>
      </c>
      <c r="D1458">
        <v>1</v>
      </c>
      <c r="E1458">
        <v>5000.6099999999997</v>
      </c>
      <c r="F1458" t="s">
        <v>16</v>
      </c>
      <c r="G1458" t="s">
        <v>24</v>
      </c>
      <c r="H1458" t="s">
        <v>30</v>
      </c>
      <c r="I1458" t="s">
        <v>31</v>
      </c>
      <c r="J1458" t="s">
        <v>36</v>
      </c>
      <c r="K1458" t="s">
        <v>52</v>
      </c>
      <c r="L1458" t="s">
        <v>22</v>
      </c>
      <c r="M1458">
        <v>5000.6099999999997</v>
      </c>
      <c r="N1458">
        <v>2020</v>
      </c>
      <c r="O1458">
        <v>5</v>
      </c>
    </row>
    <row r="1459" spans="1:15" x14ac:dyDescent="0.3">
      <c r="A1459" s="1">
        <v>43978</v>
      </c>
      <c r="B1459">
        <v>1000003926</v>
      </c>
      <c r="C1459" t="s">
        <v>15</v>
      </c>
      <c r="D1459">
        <v>2</v>
      </c>
      <c r="E1459">
        <v>5000.51</v>
      </c>
      <c r="F1459" t="s">
        <v>16</v>
      </c>
      <c r="G1459" t="s">
        <v>17</v>
      </c>
      <c r="H1459" t="s">
        <v>47</v>
      </c>
      <c r="I1459" t="s">
        <v>48</v>
      </c>
      <c r="J1459" t="s">
        <v>26</v>
      </c>
      <c r="K1459" t="s">
        <v>50</v>
      </c>
      <c r="L1459" t="s">
        <v>28</v>
      </c>
      <c r="M1459">
        <v>2500.2550000000001</v>
      </c>
      <c r="N1459">
        <v>2020</v>
      </c>
      <c r="O1459">
        <v>5</v>
      </c>
    </row>
    <row r="1460" spans="1:15" x14ac:dyDescent="0.3">
      <c r="A1460" s="1">
        <v>43978</v>
      </c>
      <c r="B1460">
        <v>1000003489</v>
      </c>
      <c r="C1460" t="s">
        <v>23</v>
      </c>
      <c r="D1460">
        <v>1</v>
      </c>
      <c r="E1460">
        <v>5000.37</v>
      </c>
      <c r="F1460" t="s">
        <v>16</v>
      </c>
      <c r="G1460" t="s">
        <v>24</v>
      </c>
      <c r="H1460" t="s">
        <v>47</v>
      </c>
      <c r="I1460" t="s">
        <v>48</v>
      </c>
      <c r="J1460" t="s">
        <v>26</v>
      </c>
      <c r="K1460" t="s">
        <v>50</v>
      </c>
      <c r="L1460" t="s">
        <v>22</v>
      </c>
      <c r="M1460">
        <v>5000.37</v>
      </c>
      <c r="N1460">
        <v>2020</v>
      </c>
      <c r="O1460">
        <v>5</v>
      </c>
    </row>
    <row r="1461" spans="1:15" x14ac:dyDescent="0.3">
      <c r="A1461" s="1">
        <v>43978</v>
      </c>
      <c r="B1461">
        <v>1000005873</v>
      </c>
      <c r="C1461" t="s">
        <v>15</v>
      </c>
      <c r="D1461">
        <v>1</v>
      </c>
      <c r="E1461">
        <v>1700.32</v>
      </c>
      <c r="F1461" t="s">
        <v>16</v>
      </c>
      <c r="G1461" t="s">
        <v>17</v>
      </c>
      <c r="H1461" t="s">
        <v>18</v>
      </c>
      <c r="I1461" t="s">
        <v>19</v>
      </c>
      <c r="J1461" t="s">
        <v>20</v>
      </c>
      <c r="K1461" t="s">
        <v>21</v>
      </c>
      <c r="L1461" t="s">
        <v>28</v>
      </c>
      <c r="M1461">
        <v>1700.32</v>
      </c>
      <c r="N1461">
        <v>2020</v>
      </c>
      <c r="O1461">
        <v>5</v>
      </c>
    </row>
    <row r="1462" spans="1:15" x14ac:dyDescent="0.3">
      <c r="A1462" s="1">
        <v>43978</v>
      </c>
      <c r="B1462">
        <v>1000000043</v>
      </c>
      <c r="C1462" t="s">
        <v>23</v>
      </c>
      <c r="D1462">
        <v>1</v>
      </c>
      <c r="E1462">
        <v>1672.45</v>
      </c>
      <c r="F1462" t="s">
        <v>16</v>
      </c>
      <c r="G1462" t="s">
        <v>24</v>
      </c>
      <c r="H1462" t="s">
        <v>30</v>
      </c>
      <c r="I1462" t="s">
        <v>38</v>
      </c>
      <c r="J1462" t="s">
        <v>26</v>
      </c>
      <c r="K1462" t="s">
        <v>39</v>
      </c>
      <c r="L1462" t="s">
        <v>22</v>
      </c>
      <c r="M1462">
        <v>1672.45</v>
      </c>
      <c r="N1462">
        <v>2020</v>
      </c>
      <c r="O1462">
        <v>5</v>
      </c>
    </row>
    <row r="1463" spans="1:15" x14ac:dyDescent="0.3">
      <c r="A1463" s="1">
        <v>43978</v>
      </c>
      <c r="B1463">
        <v>1000000046</v>
      </c>
      <c r="C1463" t="s">
        <v>42</v>
      </c>
      <c r="D1463">
        <v>1</v>
      </c>
      <c r="E1463">
        <v>1500.55</v>
      </c>
      <c r="F1463" t="s">
        <v>16</v>
      </c>
      <c r="G1463" t="s">
        <v>43</v>
      </c>
      <c r="H1463" t="s">
        <v>30</v>
      </c>
      <c r="I1463" t="s">
        <v>38</v>
      </c>
      <c r="J1463" t="s">
        <v>26</v>
      </c>
      <c r="K1463" t="s">
        <v>39</v>
      </c>
      <c r="L1463" t="s">
        <v>22</v>
      </c>
      <c r="M1463">
        <v>1500.55</v>
      </c>
      <c r="N1463">
        <v>2020</v>
      </c>
      <c r="O1463">
        <v>5</v>
      </c>
    </row>
    <row r="1464" spans="1:15" x14ac:dyDescent="0.3">
      <c r="A1464" s="1">
        <v>43978</v>
      </c>
      <c r="B1464">
        <v>1000000029</v>
      </c>
      <c r="C1464" t="s">
        <v>42</v>
      </c>
      <c r="D1464">
        <v>1</v>
      </c>
      <c r="E1464">
        <v>1452.41</v>
      </c>
      <c r="F1464" t="s">
        <v>16</v>
      </c>
      <c r="G1464" t="s">
        <v>43</v>
      </c>
      <c r="H1464" t="s">
        <v>18</v>
      </c>
      <c r="I1464" t="s">
        <v>19</v>
      </c>
      <c r="J1464" t="s">
        <v>20</v>
      </c>
      <c r="K1464" t="s">
        <v>21</v>
      </c>
      <c r="L1464" t="s">
        <v>22</v>
      </c>
      <c r="M1464">
        <v>1452.41</v>
      </c>
      <c r="N1464">
        <v>2020</v>
      </c>
      <c r="O1464">
        <v>5</v>
      </c>
    </row>
    <row r="1465" spans="1:15" x14ac:dyDescent="0.3">
      <c r="A1465" s="1">
        <v>43978</v>
      </c>
      <c r="B1465">
        <v>1000000035</v>
      </c>
      <c r="C1465" t="s">
        <v>23</v>
      </c>
      <c r="D1465">
        <v>1</v>
      </c>
      <c r="E1465">
        <v>752.17</v>
      </c>
      <c r="F1465" t="s">
        <v>16</v>
      </c>
      <c r="G1465" t="s">
        <v>24</v>
      </c>
      <c r="H1465" t="s">
        <v>18</v>
      </c>
      <c r="I1465" t="s">
        <v>25</v>
      </c>
      <c r="J1465" t="s">
        <v>36</v>
      </c>
      <c r="K1465" t="s">
        <v>37</v>
      </c>
      <c r="L1465" t="s">
        <v>22</v>
      </c>
      <c r="M1465">
        <v>752.17</v>
      </c>
      <c r="N1465">
        <v>2020</v>
      </c>
      <c r="O1465">
        <v>5</v>
      </c>
    </row>
    <row r="1466" spans="1:15" x14ac:dyDescent="0.3">
      <c r="A1466" s="1">
        <v>43978</v>
      </c>
      <c r="B1466">
        <v>1000000031</v>
      </c>
      <c r="C1466" t="s">
        <v>15</v>
      </c>
      <c r="D1466">
        <v>1</v>
      </c>
      <c r="E1466">
        <v>500.41</v>
      </c>
      <c r="F1466" t="s">
        <v>16</v>
      </c>
      <c r="G1466" t="s">
        <v>17</v>
      </c>
      <c r="H1466" t="s">
        <v>18</v>
      </c>
      <c r="I1466" t="s">
        <v>19</v>
      </c>
      <c r="J1466" t="s">
        <v>26</v>
      </c>
      <c r="K1466" t="s">
        <v>29</v>
      </c>
      <c r="L1466" t="s">
        <v>28</v>
      </c>
      <c r="M1466">
        <v>500.41</v>
      </c>
      <c r="N1466">
        <v>2020</v>
      </c>
      <c r="O1466">
        <v>5</v>
      </c>
    </row>
    <row r="1467" spans="1:15" x14ac:dyDescent="0.3">
      <c r="A1467" s="1">
        <v>43978</v>
      </c>
      <c r="B1467">
        <v>1000000067</v>
      </c>
      <c r="C1467" t="s">
        <v>42</v>
      </c>
      <c r="D1467">
        <v>1</v>
      </c>
      <c r="E1467">
        <v>500.28</v>
      </c>
      <c r="F1467" t="s">
        <v>16</v>
      </c>
      <c r="G1467" t="s">
        <v>43</v>
      </c>
      <c r="H1467" t="s">
        <v>18</v>
      </c>
      <c r="I1467" t="s">
        <v>25</v>
      </c>
      <c r="J1467" t="s">
        <v>20</v>
      </c>
      <c r="K1467" t="s">
        <v>51</v>
      </c>
      <c r="L1467" t="s">
        <v>22</v>
      </c>
      <c r="M1467">
        <v>500.28</v>
      </c>
      <c r="N1467">
        <v>2020</v>
      </c>
      <c r="O1467">
        <v>5</v>
      </c>
    </row>
    <row r="1468" spans="1:15" x14ac:dyDescent="0.3">
      <c r="A1468" s="1">
        <v>43979</v>
      </c>
      <c r="B1468">
        <v>1000000032</v>
      </c>
      <c r="C1468" t="s">
        <v>23</v>
      </c>
      <c r="D1468">
        <v>5</v>
      </c>
      <c r="E1468">
        <v>71502.350000000006</v>
      </c>
      <c r="F1468" t="s">
        <v>16</v>
      </c>
      <c r="G1468" t="s">
        <v>24</v>
      </c>
      <c r="H1468" t="s">
        <v>18</v>
      </c>
      <c r="I1468" t="s">
        <v>25</v>
      </c>
      <c r="J1468" t="s">
        <v>26</v>
      </c>
      <c r="K1468" t="s">
        <v>27</v>
      </c>
      <c r="L1468" t="s">
        <v>28</v>
      </c>
      <c r="M1468">
        <v>14300.47</v>
      </c>
      <c r="N1468">
        <v>2020</v>
      </c>
      <c r="O1468">
        <v>5</v>
      </c>
    </row>
    <row r="1469" spans="1:15" x14ac:dyDescent="0.3">
      <c r="A1469" s="1">
        <v>43979</v>
      </c>
      <c r="B1469">
        <v>1000000928</v>
      </c>
      <c r="C1469" t="s">
        <v>15</v>
      </c>
      <c r="D1469">
        <v>4</v>
      </c>
      <c r="E1469">
        <v>68001.700000000012</v>
      </c>
      <c r="F1469" t="s">
        <v>16</v>
      </c>
      <c r="G1469" t="s">
        <v>17</v>
      </c>
      <c r="H1469" t="s">
        <v>30</v>
      </c>
      <c r="I1469" t="s">
        <v>57</v>
      </c>
      <c r="J1469" t="s">
        <v>26</v>
      </c>
      <c r="K1469" t="s">
        <v>58</v>
      </c>
      <c r="L1469" t="s">
        <v>22</v>
      </c>
      <c r="M1469">
        <v>17000.425000000003</v>
      </c>
      <c r="N1469">
        <v>2020</v>
      </c>
      <c r="O1469">
        <v>5</v>
      </c>
    </row>
    <row r="1470" spans="1:15" x14ac:dyDescent="0.3">
      <c r="A1470" s="1">
        <v>43979</v>
      </c>
      <c r="B1470">
        <v>1000009288</v>
      </c>
      <c r="C1470" t="s">
        <v>15</v>
      </c>
      <c r="D1470">
        <v>2</v>
      </c>
      <c r="E1470">
        <v>39000.06</v>
      </c>
      <c r="F1470" t="s">
        <v>16</v>
      </c>
      <c r="G1470" t="s">
        <v>17</v>
      </c>
      <c r="H1470" t="s">
        <v>18</v>
      </c>
      <c r="I1470" t="s">
        <v>25</v>
      </c>
      <c r="J1470" t="s">
        <v>20</v>
      </c>
      <c r="K1470" t="s">
        <v>51</v>
      </c>
      <c r="L1470" t="s">
        <v>22</v>
      </c>
      <c r="M1470">
        <v>19500.03</v>
      </c>
      <c r="N1470">
        <v>2020</v>
      </c>
      <c r="O1470">
        <v>5</v>
      </c>
    </row>
    <row r="1471" spans="1:15" x14ac:dyDescent="0.3">
      <c r="A1471" s="1">
        <v>43979</v>
      </c>
      <c r="B1471">
        <v>1000006867</v>
      </c>
      <c r="C1471" t="s">
        <v>42</v>
      </c>
      <c r="D1471">
        <v>3</v>
      </c>
      <c r="E1471">
        <v>35000.949999999997</v>
      </c>
      <c r="F1471" t="s">
        <v>16</v>
      </c>
      <c r="G1471" t="s">
        <v>43</v>
      </c>
      <c r="H1471" t="s">
        <v>18</v>
      </c>
      <c r="I1471" t="s">
        <v>61</v>
      </c>
      <c r="J1471" t="s">
        <v>26</v>
      </c>
      <c r="K1471" t="s">
        <v>62</v>
      </c>
      <c r="L1471" t="s">
        <v>22</v>
      </c>
      <c r="M1471">
        <v>11666.983333333332</v>
      </c>
      <c r="N1471">
        <v>2020</v>
      </c>
      <c r="O1471">
        <v>5</v>
      </c>
    </row>
    <row r="1472" spans="1:15" x14ac:dyDescent="0.3">
      <c r="A1472" s="1">
        <v>43979</v>
      </c>
      <c r="B1472">
        <v>1000000041</v>
      </c>
      <c r="C1472" t="s">
        <v>15</v>
      </c>
      <c r="D1472">
        <v>3</v>
      </c>
      <c r="E1472">
        <v>32001.86</v>
      </c>
      <c r="F1472" t="s">
        <v>16</v>
      </c>
      <c r="G1472" t="s">
        <v>17</v>
      </c>
      <c r="H1472" t="s">
        <v>30</v>
      </c>
      <c r="I1472" t="s">
        <v>31</v>
      </c>
      <c r="J1472" t="s">
        <v>32</v>
      </c>
      <c r="K1472" t="s">
        <v>33</v>
      </c>
      <c r="L1472" t="s">
        <v>22</v>
      </c>
      <c r="M1472">
        <v>10667.286666666669</v>
      </c>
      <c r="N1472">
        <v>2020</v>
      </c>
      <c r="O1472">
        <v>5</v>
      </c>
    </row>
    <row r="1473" spans="1:15" x14ac:dyDescent="0.3">
      <c r="A1473" s="1">
        <v>43979</v>
      </c>
      <c r="B1473">
        <v>1000008239</v>
      </c>
      <c r="C1473" t="s">
        <v>15</v>
      </c>
      <c r="D1473">
        <v>3</v>
      </c>
      <c r="E1473">
        <v>32000.400000000001</v>
      </c>
      <c r="F1473" t="s">
        <v>16</v>
      </c>
      <c r="G1473" t="s">
        <v>17</v>
      </c>
      <c r="H1473" t="s">
        <v>18</v>
      </c>
      <c r="I1473" t="s">
        <v>61</v>
      </c>
      <c r="J1473" t="s">
        <v>26</v>
      </c>
      <c r="K1473" t="s">
        <v>62</v>
      </c>
      <c r="L1473" t="s">
        <v>28</v>
      </c>
      <c r="M1473">
        <v>10666.8</v>
      </c>
      <c r="N1473">
        <v>2020</v>
      </c>
      <c r="O1473">
        <v>5</v>
      </c>
    </row>
    <row r="1474" spans="1:15" x14ac:dyDescent="0.3">
      <c r="A1474" s="1">
        <v>43979</v>
      </c>
      <c r="B1474">
        <v>1000000031</v>
      </c>
      <c r="C1474" t="s">
        <v>15</v>
      </c>
      <c r="D1474">
        <v>2</v>
      </c>
      <c r="E1474">
        <v>31000.690000000002</v>
      </c>
      <c r="F1474" t="s">
        <v>16</v>
      </c>
      <c r="G1474" t="s">
        <v>17</v>
      </c>
      <c r="H1474" t="s">
        <v>18</v>
      </c>
      <c r="I1474" t="s">
        <v>19</v>
      </c>
      <c r="J1474" t="s">
        <v>26</v>
      </c>
      <c r="K1474" t="s">
        <v>29</v>
      </c>
      <c r="L1474" t="s">
        <v>28</v>
      </c>
      <c r="M1474">
        <v>15500.344999999999</v>
      </c>
      <c r="N1474">
        <v>2020</v>
      </c>
      <c r="O1474">
        <v>5</v>
      </c>
    </row>
    <row r="1475" spans="1:15" x14ac:dyDescent="0.3">
      <c r="A1475" s="1">
        <v>43979</v>
      </c>
      <c r="B1475">
        <v>1000000032</v>
      </c>
      <c r="C1475" t="s">
        <v>15</v>
      </c>
      <c r="D1475">
        <v>3</v>
      </c>
      <c r="E1475">
        <v>31000.620000000003</v>
      </c>
      <c r="F1475" t="s">
        <v>16</v>
      </c>
      <c r="G1475" t="s">
        <v>17</v>
      </c>
      <c r="H1475" t="s">
        <v>18</v>
      </c>
      <c r="I1475" t="s">
        <v>25</v>
      </c>
      <c r="J1475" t="s">
        <v>26</v>
      </c>
      <c r="K1475" t="s">
        <v>27</v>
      </c>
      <c r="L1475" t="s">
        <v>28</v>
      </c>
      <c r="M1475">
        <v>10333.540000000001</v>
      </c>
      <c r="N1475">
        <v>2020</v>
      </c>
      <c r="O1475">
        <v>5</v>
      </c>
    </row>
    <row r="1476" spans="1:15" x14ac:dyDescent="0.3">
      <c r="A1476" s="1">
        <v>43979</v>
      </c>
      <c r="B1476">
        <v>1000000029</v>
      </c>
      <c r="C1476" t="s">
        <v>15</v>
      </c>
      <c r="D1476">
        <v>2</v>
      </c>
      <c r="E1476">
        <v>31000.520000000004</v>
      </c>
      <c r="F1476" t="s">
        <v>16</v>
      </c>
      <c r="G1476" t="s">
        <v>17</v>
      </c>
      <c r="H1476" t="s">
        <v>18</v>
      </c>
      <c r="I1476" t="s">
        <v>19</v>
      </c>
      <c r="J1476" t="s">
        <v>20</v>
      </c>
      <c r="K1476" t="s">
        <v>21</v>
      </c>
      <c r="L1476" t="s">
        <v>22</v>
      </c>
      <c r="M1476">
        <v>15500.260000000002</v>
      </c>
      <c r="N1476">
        <v>2020</v>
      </c>
      <c r="O1476">
        <v>5</v>
      </c>
    </row>
    <row r="1477" spans="1:15" x14ac:dyDescent="0.3">
      <c r="A1477" s="1">
        <v>43979</v>
      </c>
      <c r="B1477">
        <v>1000000037</v>
      </c>
      <c r="C1477" t="s">
        <v>42</v>
      </c>
      <c r="D1477">
        <v>2</v>
      </c>
      <c r="E1477">
        <v>30400.98</v>
      </c>
      <c r="F1477" t="s">
        <v>16</v>
      </c>
      <c r="G1477" t="s">
        <v>43</v>
      </c>
      <c r="H1477" t="s">
        <v>18</v>
      </c>
      <c r="I1477" t="s">
        <v>19</v>
      </c>
      <c r="J1477" t="s">
        <v>20</v>
      </c>
      <c r="K1477" t="s">
        <v>21</v>
      </c>
      <c r="L1477" t="s">
        <v>22</v>
      </c>
      <c r="M1477">
        <v>15200.49</v>
      </c>
      <c r="N1477">
        <v>2020</v>
      </c>
      <c r="O1477">
        <v>5</v>
      </c>
    </row>
    <row r="1478" spans="1:15" x14ac:dyDescent="0.3">
      <c r="A1478" s="1">
        <v>43979</v>
      </c>
      <c r="B1478">
        <v>1000000046</v>
      </c>
      <c r="C1478" t="s">
        <v>15</v>
      </c>
      <c r="D1478">
        <v>2</v>
      </c>
      <c r="E1478">
        <v>29000.29</v>
      </c>
      <c r="F1478" t="s">
        <v>16</v>
      </c>
      <c r="G1478" t="s">
        <v>17</v>
      </c>
      <c r="H1478" t="s">
        <v>30</v>
      </c>
      <c r="I1478" t="s">
        <v>38</v>
      </c>
      <c r="J1478" t="s">
        <v>26</v>
      </c>
      <c r="K1478" t="s">
        <v>39</v>
      </c>
      <c r="L1478" t="s">
        <v>22</v>
      </c>
      <c r="M1478">
        <v>14500.145</v>
      </c>
      <c r="N1478">
        <v>2020</v>
      </c>
      <c r="O1478">
        <v>5</v>
      </c>
    </row>
    <row r="1479" spans="1:15" x14ac:dyDescent="0.3">
      <c r="A1479" s="1">
        <v>43979</v>
      </c>
      <c r="B1479">
        <v>1000005873</v>
      </c>
      <c r="C1479" t="s">
        <v>23</v>
      </c>
      <c r="D1479">
        <v>2</v>
      </c>
      <c r="E1479">
        <v>26000.86</v>
      </c>
      <c r="F1479" t="s">
        <v>16</v>
      </c>
      <c r="G1479" t="s">
        <v>24</v>
      </c>
      <c r="H1479" t="s">
        <v>18</v>
      </c>
      <c r="I1479" t="s">
        <v>19</v>
      </c>
      <c r="J1479" t="s">
        <v>20</v>
      </c>
      <c r="K1479" t="s">
        <v>21</v>
      </c>
      <c r="L1479" t="s">
        <v>28</v>
      </c>
      <c r="M1479">
        <v>13000.43</v>
      </c>
      <c r="N1479">
        <v>2020</v>
      </c>
      <c r="O1479">
        <v>5</v>
      </c>
    </row>
    <row r="1480" spans="1:15" x14ac:dyDescent="0.3">
      <c r="A1480" s="1">
        <v>43979</v>
      </c>
      <c r="B1480">
        <v>1000000040</v>
      </c>
      <c r="C1480" t="s">
        <v>23</v>
      </c>
      <c r="D1480">
        <v>1</v>
      </c>
      <c r="E1480">
        <v>20000.55</v>
      </c>
      <c r="F1480" t="s">
        <v>16</v>
      </c>
      <c r="G1480" t="s">
        <v>24</v>
      </c>
      <c r="H1480" t="s">
        <v>30</v>
      </c>
      <c r="I1480" t="s">
        <v>31</v>
      </c>
      <c r="J1480" t="s">
        <v>32</v>
      </c>
      <c r="K1480" t="s">
        <v>33</v>
      </c>
      <c r="L1480" t="s">
        <v>28</v>
      </c>
      <c r="M1480">
        <v>20000.55</v>
      </c>
      <c r="N1480">
        <v>2020</v>
      </c>
      <c r="O1480">
        <v>5</v>
      </c>
    </row>
    <row r="1481" spans="1:15" x14ac:dyDescent="0.3">
      <c r="A1481" s="1">
        <v>43979</v>
      </c>
      <c r="B1481">
        <v>1000006860</v>
      </c>
      <c r="C1481" t="s">
        <v>42</v>
      </c>
      <c r="D1481">
        <v>1</v>
      </c>
      <c r="E1481">
        <v>20000.41</v>
      </c>
      <c r="F1481" t="s">
        <v>16</v>
      </c>
      <c r="G1481" t="s">
        <v>43</v>
      </c>
      <c r="H1481" t="s">
        <v>18</v>
      </c>
      <c r="I1481" t="s">
        <v>61</v>
      </c>
      <c r="J1481" t="s">
        <v>26</v>
      </c>
      <c r="K1481" t="s">
        <v>62</v>
      </c>
      <c r="L1481" t="s">
        <v>22</v>
      </c>
      <c r="M1481">
        <v>20000.41</v>
      </c>
      <c r="N1481">
        <v>2020</v>
      </c>
      <c r="O1481">
        <v>5</v>
      </c>
    </row>
    <row r="1482" spans="1:15" x14ac:dyDescent="0.3">
      <c r="A1482" s="1">
        <v>43979</v>
      </c>
      <c r="B1482">
        <v>1000006859</v>
      </c>
      <c r="C1482" t="s">
        <v>15</v>
      </c>
      <c r="D1482">
        <v>2</v>
      </c>
      <c r="E1482">
        <v>20000.25</v>
      </c>
      <c r="F1482" t="s">
        <v>16</v>
      </c>
      <c r="G1482" t="s">
        <v>17</v>
      </c>
      <c r="H1482" t="s">
        <v>18</v>
      </c>
      <c r="I1482" t="s">
        <v>61</v>
      </c>
      <c r="J1482" t="s">
        <v>26</v>
      </c>
      <c r="K1482" t="s">
        <v>62</v>
      </c>
      <c r="L1482" t="s">
        <v>22</v>
      </c>
      <c r="M1482">
        <v>10000.125</v>
      </c>
      <c r="N1482">
        <v>2020</v>
      </c>
      <c r="O1482">
        <v>5</v>
      </c>
    </row>
    <row r="1483" spans="1:15" x14ac:dyDescent="0.3">
      <c r="A1483" s="1">
        <v>43979</v>
      </c>
      <c r="B1483">
        <v>1000000030</v>
      </c>
      <c r="C1483" t="s">
        <v>15</v>
      </c>
      <c r="D1483">
        <v>1</v>
      </c>
      <c r="E1483">
        <v>20000.11</v>
      </c>
      <c r="F1483" t="s">
        <v>16</v>
      </c>
      <c r="G1483" t="s">
        <v>17</v>
      </c>
      <c r="H1483" t="s">
        <v>47</v>
      </c>
      <c r="I1483" t="s">
        <v>48</v>
      </c>
      <c r="J1483" t="s">
        <v>36</v>
      </c>
      <c r="K1483" t="s">
        <v>49</v>
      </c>
      <c r="L1483" t="s">
        <v>22</v>
      </c>
      <c r="M1483">
        <v>20000.11</v>
      </c>
      <c r="N1483">
        <v>2020</v>
      </c>
      <c r="O1483">
        <v>5</v>
      </c>
    </row>
    <row r="1484" spans="1:15" x14ac:dyDescent="0.3">
      <c r="A1484" s="1">
        <v>43979</v>
      </c>
      <c r="B1484">
        <v>1000000566</v>
      </c>
      <c r="C1484" t="s">
        <v>15</v>
      </c>
      <c r="D1484">
        <v>1</v>
      </c>
      <c r="E1484">
        <v>20000.099999999999</v>
      </c>
      <c r="F1484" t="s">
        <v>16</v>
      </c>
      <c r="G1484" t="s">
        <v>17</v>
      </c>
      <c r="H1484" t="s">
        <v>47</v>
      </c>
      <c r="I1484" t="s">
        <v>48</v>
      </c>
      <c r="J1484" t="s">
        <v>36</v>
      </c>
      <c r="K1484" t="s">
        <v>49</v>
      </c>
      <c r="L1484" t="s">
        <v>22</v>
      </c>
      <c r="M1484">
        <v>20000.099999999999</v>
      </c>
      <c r="N1484">
        <v>2020</v>
      </c>
      <c r="O1484">
        <v>5</v>
      </c>
    </row>
    <row r="1485" spans="1:15" x14ac:dyDescent="0.3">
      <c r="A1485" s="1">
        <v>43979</v>
      </c>
      <c r="B1485">
        <v>1000000040</v>
      </c>
      <c r="C1485" t="s">
        <v>15</v>
      </c>
      <c r="D1485">
        <v>2</v>
      </c>
      <c r="E1485">
        <v>19000.77</v>
      </c>
      <c r="F1485" t="s">
        <v>16</v>
      </c>
      <c r="G1485" t="s">
        <v>17</v>
      </c>
      <c r="H1485" t="s">
        <v>30</v>
      </c>
      <c r="I1485" t="s">
        <v>31</v>
      </c>
      <c r="J1485" t="s">
        <v>32</v>
      </c>
      <c r="K1485" t="s">
        <v>33</v>
      </c>
      <c r="L1485" t="s">
        <v>28</v>
      </c>
      <c r="M1485">
        <v>9500.3850000000002</v>
      </c>
      <c r="N1485">
        <v>2020</v>
      </c>
      <c r="O1485">
        <v>5</v>
      </c>
    </row>
    <row r="1486" spans="1:15" x14ac:dyDescent="0.3">
      <c r="A1486" s="1">
        <v>43979</v>
      </c>
      <c r="B1486">
        <v>1000000045</v>
      </c>
      <c r="C1486" t="s">
        <v>23</v>
      </c>
      <c r="D1486">
        <v>2</v>
      </c>
      <c r="E1486">
        <v>18000.34</v>
      </c>
      <c r="F1486" t="s">
        <v>16</v>
      </c>
      <c r="G1486" t="s">
        <v>24</v>
      </c>
      <c r="H1486" t="s">
        <v>47</v>
      </c>
      <c r="I1486" t="s">
        <v>59</v>
      </c>
      <c r="J1486" t="s">
        <v>26</v>
      </c>
      <c r="K1486" t="s">
        <v>60</v>
      </c>
      <c r="L1486" t="s">
        <v>22</v>
      </c>
      <c r="M1486">
        <v>9000.17</v>
      </c>
      <c r="N1486">
        <v>2020</v>
      </c>
      <c r="O1486">
        <v>5</v>
      </c>
    </row>
    <row r="1487" spans="1:15" x14ac:dyDescent="0.3">
      <c r="A1487" s="1">
        <v>43979</v>
      </c>
      <c r="B1487">
        <v>1000003926</v>
      </c>
      <c r="C1487" t="s">
        <v>23</v>
      </c>
      <c r="D1487">
        <v>2</v>
      </c>
      <c r="E1487">
        <v>17000.93</v>
      </c>
      <c r="F1487" t="s">
        <v>16</v>
      </c>
      <c r="G1487" t="s">
        <v>24</v>
      </c>
      <c r="H1487" t="s">
        <v>47</v>
      </c>
      <c r="I1487" t="s">
        <v>48</v>
      </c>
      <c r="J1487" t="s">
        <v>26</v>
      </c>
      <c r="K1487" t="s">
        <v>50</v>
      </c>
      <c r="L1487" t="s">
        <v>28</v>
      </c>
      <c r="M1487">
        <v>8500.4650000000001</v>
      </c>
      <c r="N1487">
        <v>2020</v>
      </c>
      <c r="O1487">
        <v>5</v>
      </c>
    </row>
    <row r="1488" spans="1:15" x14ac:dyDescent="0.3">
      <c r="A1488" s="1">
        <v>43979</v>
      </c>
      <c r="B1488">
        <v>1000006869</v>
      </c>
      <c r="C1488" t="s">
        <v>23</v>
      </c>
      <c r="D1488">
        <v>1</v>
      </c>
      <c r="E1488">
        <v>17000.39</v>
      </c>
      <c r="F1488" t="s">
        <v>16</v>
      </c>
      <c r="G1488" t="s">
        <v>24</v>
      </c>
      <c r="H1488" t="s">
        <v>18</v>
      </c>
      <c r="I1488" t="s">
        <v>61</v>
      </c>
      <c r="J1488" t="s">
        <v>26</v>
      </c>
      <c r="K1488" t="s">
        <v>62</v>
      </c>
      <c r="L1488" t="s">
        <v>22</v>
      </c>
      <c r="M1488">
        <v>17000.39</v>
      </c>
      <c r="N1488">
        <v>2020</v>
      </c>
      <c r="O1488">
        <v>5</v>
      </c>
    </row>
    <row r="1489" spans="1:15" x14ac:dyDescent="0.3">
      <c r="A1489" s="1">
        <v>43979</v>
      </c>
      <c r="B1489">
        <v>1000000039</v>
      </c>
      <c r="C1489" t="s">
        <v>23</v>
      </c>
      <c r="D1489">
        <v>3</v>
      </c>
      <c r="E1489">
        <v>17000.349999999999</v>
      </c>
      <c r="F1489" t="s">
        <v>16</v>
      </c>
      <c r="G1489" t="s">
        <v>24</v>
      </c>
      <c r="H1489" t="s">
        <v>18</v>
      </c>
      <c r="I1489" t="s">
        <v>25</v>
      </c>
      <c r="J1489" t="s">
        <v>20</v>
      </c>
      <c r="K1489" t="s">
        <v>51</v>
      </c>
      <c r="L1489" t="s">
        <v>28</v>
      </c>
      <c r="M1489">
        <v>5666.7833333333328</v>
      </c>
      <c r="N1489">
        <v>2020</v>
      </c>
      <c r="O1489">
        <v>5</v>
      </c>
    </row>
    <row r="1490" spans="1:15" x14ac:dyDescent="0.3">
      <c r="A1490" s="1">
        <v>43979</v>
      </c>
      <c r="B1490">
        <v>1000000566</v>
      </c>
      <c r="C1490" t="s">
        <v>23</v>
      </c>
      <c r="D1490">
        <v>1</v>
      </c>
      <c r="E1490">
        <v>17000.080000000002</v>
      </c>
      <c r="F1490" t="s">
        <v>16</v>
      </c>
      <c r="G1490" t="s">
        <v>24</v>
      </c>
      <c r="H1490" t="s">
        <v>47</v>
      </c>
      <c r="I1490" t="s">
        <v>48</v>
      </c>
      <c r="J1490" t="s">
        <v>36</v>
      </c>
      <c r="K1490" t="s">
        <v>49</v>
      </c>
      <c r="L1490" t="s">
        <v>22</v>
      </c>
      <c r="M1490">
        <v>17000.080000000002</v>
      </c>
      <c r="N1490">
        <v>2020</v>
      </c>
      <c r="O1490">
        <v>5</v>
      </c>
    </row>
    <row r="1491" spans="1:15" x14ac:dyDescent="0.3">
      <c r="A1491" s="1">
        <v>43979</v>
      </c>
      <c r="B1491">
        <v>1000005873</v>
      </c>
      <c r="C1491" t="s">
        <v>15</v>
      </c>
      <c r="D1491">
        <v>1</v>
      </c>
      <c r="E1491">
        <v>17000.009999999998</v>
      </c>
      <c r="F1491" t="s">
        <v>16</v>
      </c>
      <c r="G1491" t="s">
        <v>17</v>
      </c>
      <c r="H1491" t="s">
        <v>18</v>
      </c>
      <c r="I1491" t="s">
        <v>19</v>
      </c>
      <c r="J1491" t="s">
        <v>20</v>
      </c>
      <c r="K1491" t="s">
        <v>21</v>
      </c>
      <c r="L1491" t="s">
        <v>28</v>
      </c>
      <c r="M1491">
        <v>17000.009999999998</v>
      </c>
      <c r="N1491">
        <v>2020</v>
      </c>
      <c r="O1491">
        <v>5</v>
      </c>
    </row>
    <row r="1492" spans="1:15" x14ac:dyDescent="0.3">
      <c r="A1492" s="1">
        <v>43979</v>
      </c>
      <c r="B1492">
        <v>1000000030</v>
      </c>
      <c r="C1492" t="s">
        <v>42</v>
      </c>
      <c r="D1492">
        <v>1</v>
      </c>
      <c r="E1492">
        <v>16000.55</v>
      </c>
      <c r="F1492" t="s">
        <v>16</v>
      </c>
      <c r="G1492" t="s">
        <v>43</v>
      </c>
      <c r="H1492" t="s">
        <v>47</v>
      </c>
      <c r="I1492" t="s">
        <v>48</v>
      </c>
      <c r="J1492" t="s">
        <v>36</v>
      </c>
      <c r="K1492" t="s">
        <v>49</v>
      </c>
      <c r="L1492" t="s">
        <v>22</v>
      </c>
      <c r="M1492">
        <v>16000.55</v>
      </c>
      <c r="N1492">
        <v>2020</v>
      </c>
      <c r="O1492">
        <v>5</v>
      </c>
    </row>
    <row r="1493" spans="1:15" x14ac:dyDescent="0.3">
      <c r="A1493" s="1">
        <v>43979</v>
      </c>
      <c r="B1493">
        <v>1000000036</v>
      </c>
      <c r="C1493" t="s">
        <v>23</v>
      </c>
      <c r="D1493">
        <v>1</v>
      </c>
      <c r="E1493">
        <v>15000.61</v>
      </c>
      <c r="F1493" t="s">
        <v>16</v>
      </c>
      <c r="G1493" t="s">
        <v>24</v>
      </c>
      <c r="H1493" t="s">
        <v>47</v>
      </c>
      <c r="I1493" t="s">
        <v>48</v>
      </c>
      <c r="J1493" t="s">
        <v>36</v>
      </c>
      <c r="K1493" t="s">
        <v>49</v>
      </c>
      <c r="L1493" t="s">
        <v>28</v>
      </c>
      <c r="M1493">
        <v>15000.61</v>
      </c>
      <c r="N1493">
        <v>2020</v>
      </c>
      <c r="O1493">
        <v>5</v>
      </c>
    </row>
    <row r="1494" spans="1:15" x14ac:dyDescent="0.3">
      <c r="A1494" s="1">
        <v>43979</v>
      </c>
      <c r="B1494">
        <v>1000000068</v>
      </c>
      <c r="C1494" t="s">
        <v>23</v>
      </c>
      <c r="D1494">
        <v>1</v>
      </c>
      <c r="E1494">
        <v>15000.49</v>
      </c>
      <c r="F1494" t="s">
        <v>16</v>
      </c>
      <c r="G1494" t="s">
        <v>24</v>
      </c>
      <c r="H1494" t="s">
        <v>30</v>
      </c>
      <c r="I1494" t="s">
        <v>55</v>
      </c>
      <c r="J1494" t="s">
        <v>26</v>
      </c>
      <c r="K1494" t="s">
        <v>56</v>
      </c>
      <c r="L1494" t="s">
        <v>28</v>
      </c>
      <c r="M1494">
        <v>15000.49</v>
      </c>
      <c r="N1494">
        <v>2020</v>
      </c>
      <c r="O1494">
        <v>5</v>
      </c>
    </row>
    <row r="1495" spans="1:15" x14ac:dyDescent="0.3">
      <c r="A1495" s="1">
        <v>43979</v>
      </c>
      <c r="B1495">
        <v>1000004170</v>
      </c>
      <c r="C1495" t="s">
        <v>15</v>
      </c>
      <c r="D1495">
        <v>1</v>
      </c>
      <c r="E1495">
        <v>15000.28</v>
      </c>
      <c r="F1495" t="s">
        <v>16</v>
      </c>
      <c r="G1495" t="s">
        <v>17</v>
      </c>
      <c r="H1495" t="s">
        <v>18</v>
      </c>
      <c r="I1495" t="s">
        <v>34</v>
      </c>
      <c r="J1495" t="s">
        <v>20</v>
      </c>
      <c r="K1495" t="s">
        <v>44</v>
      </c>
      <c r="L1495" t="s">
        <v>28</v>
      </c>
      <c r="M1495">
        <v>15000.28</v>
      </c>
      <c r="N1495">
        <v>2020</v>
      </c>
      <c r="O1495">
        <v>5</v>
      </c>
    </row>
    <row r="1496" spans="1:15" x14ac:dyDescent="0.3">
      <c r="A1496" s="1">
        <v>43979</v>
      </c>
      <c r="B1496">
        <v>1000006867</v>
      </c>
      <c r="C1496" t="s">
        <v>23</v>
      </c>
      <c r="D1496">
        <v>1</v>
      </c>
      <c r="E1496">
        <v>15000.18</v>
      </c>
      <c r="F1496" t="s">
        <v>16</v>
      </c>
      <c r="G1496" t="s">
        <v>24</v>
      </c>
      <c r="H1496" t="s">
        <v>18</v>
      </c>
      <c r="I1496" t="s">
        <v>61</v>
      </c>
      <c r="J1496" t="s">
        <v>26</v>
      </c>
      <c r="K1496" t="s">
        <v>62</v>
      </c>
      <c r="L1496" t="s">
        <v>22</v>
      </c>
      <c r="M1496">
        <v>15000.18</v>
      </c>
      <c r="N1496">
        <v>2020</v>
      </c>
      <c r="O1496">
        <v>5</v>
      </c>
    </row>
    <row r="1497" spans="1:15" x14ac:dyDescent="0.3">
      <c r="A1497" s="1">
        <v>43979</v>
      </c>
      <c r="B1497">
        <v>1000003803</v>
      </c>
      <c r="C1497" t="s">
        <v>23</v>
      </c>
      <c r="D1497">
        <v>2</v>
      </c>
      <c r="E1497">
        <v>14500.79</v>
      </c>
      <c r="F1497" t="s">
        <v>16</v>
      </c>
      <c r="G1497" t="s">
        <v>24</v>
      </c>
      <c r="H1497" t="s">
        <v>30</v>
      </c>
      <c r="I1497" t="s">
        <v>31</v>
      </c>
      <c r="J1497" t="s">
        <v>36</v>
      </c>
      <c r="K1497" t="s">
        <v>52</v>
      </c>
      <c r="L1497" t="s">
        <v>22</v>
      </c>
      <c r="M1497">
        <v>7250.3950000000004</v>
      </c>
      <c r="N1497">
        <v>2020</v>
      </c>
      <c r="O1497">
        <v>5</v>
      </c>
    </row>
    <row r="1498" spans="1:15" x14ac:dyDescent="0.3">
      <c r="A1498" s="1">
        <v>43979</v>
      </c>
      <c r="B1498">
        <v>1000007320</v>
      </c>
      <c r="C1498" t="s">
        <v>15</v>
      </c>
      <c r="D1498">
        <v>1</v>
      </c>
      <c r="E1498">
        <v>14000.38</v>
      </c>
      <c r="F1498" t="s">
        <v>16</v>
      </c>
      <c r="G1498" t="s">
        <v>17</v>
      </c>
      <c r="H1498" t="s">
        <v>18</v>
      </c>
      <c r="I1498" t="s">
        <v>34</v>
      </c>
      <c r="J1498" t="s">
        <v>26</v>
      </c>
      <c r="K1498" t="s">
        <v>35</v>
      </c>
      <c r="L1498" t="s">
        <v>22</v>
      </c>
      <c r="M1498">
        <v>14000.38</v>
      </c>
      <c r="N1498">
        <v>2020</v>
      </c>
      <c r="O1498">
        <v>5</v>
      </c>
    </row>
    <row r="1499" spans="1:15" x14ac:dyDescent="0.3">
      <c r="A1499" s="1">
        <v>43979</v>
      </c>
      <c r="B1499">
        <v>1000000104</v>
      </c>
      <c r="C1499" t="s">
        <v>15</v>
      </c>
      <c r="D1499">
        <v>1</v>
      </c>
      <c r="E1499">
        <v>13000.02</v>
      </c>
      <c r="F1499" t="s">
        <v>16</v>
      </c>
      <c r="G1499" t="s">
        <v>17</v>
      </c>
      <c r="H1499" t="s">
        <v>18</v>
      </c>
      <c r="I1499" t="s">
        <v>40</v>
      </c>
      <c r="J1499" t="s">
        <v>26</v>
      </c>
      <c r="K1499" t="s">
        <v>41</v>
      </c>
      <c r="L1499" t="s">
        <v>22</v>
      </c>
      <c r="M1499">
        <v>13000.02</v>
      </c>
      <c r="N1499">
        <v>2020</v>
      </c>
      <c r="O1499">
        <v>5</v>
      </c>
    </row>
    <row r="1500" spans="1:15" x14ac:dyDescent="0.3">
      <c r="A1500" s="1">
        <v>43979</v>
      </c>
      <c r="B1500">
        <v>1000000044</v>
      </c>
      <c r="C1500" t="s">
        <v>23</v>
      </c>
      <c r="D1500">
        <v>2</v>
      </c>
      <c r="E1500">
        <v>12701.019999999999</v>
      </c>
      <c r="F1500" t="s">
        <v>16</v>
      </c>
      <c r="G1500" t="s">
        <v>24</v>
      </c>
      <c r="H1500" t="s">
        <v>30</v>
      </c>
      <c r="I1500" t="s">
        <v>31</v>
      </c>
      <c r="J1500" t="s">
        <v>36</v>
      </c>
      <c r="K1500" t="s">
        <v>52</v>
      </c>
      <c r="L1500" t="s">
        <v>28</v>
      </c>
      <c r="M1500">
        <v>6350.5099999999993</v>
      </c>
      <c r="N1500">
        <v>2020</v>
      </c>
      <c r="O1500">
        <v>5</v>
      </c>
    </row>
    <row r="1501" spans="1:15" x14ac:dyDescent="0.3">
      <c r="A1501" s="1">
        <v>43979</v>
      </c>
      <c r="B1501">
        <v>1000000041</v>
      </c>
      <c r="C1501" t="s">
        <v>23</v>
      </c>
      <c r="D1501">
        <v>3</v>
      </c>
      <c r="E1501">
        <v>12554.69</v>
      </c>
      <c r="F1501" t="s">
        <v>16</v>
      </c>
      <c r="G1501" t="s">
        <v>24</v>
      </c>
      <c r="H1501" t="s">
        <v>30</v>
      </c>
      <c r="I1501" t="s">
        <v>31</v>
      </c>
      <c r="J1501" t="s">
        <v>32</v>
      </c>
      <c r="K1501" t="s">
        <v>33</v>
      </c>
      <c r="L1501" t="s">
        <v>22</v>
      </c>
      <c r="M1501">
        <v>4184.8966666666665</v>
      </c>
      <c r="N1501">
        <v>2020</v>
      </c>
      <c r="O1501">
        <v>5</v>
      </c>
    </row>
    <row r="1502" spans="1:15" x14ac:dyDescent="0.3">
      <c r="A1502" s="1">
        <v>43979</v>
      </c>
      <c r="B1502">
        <v>1000000052</v>
      </c>
      <c r="C1502" t="s">
        <v>15</v>
      </c>
      <c r="D1502">
        <v>1</v>
      </c>
      <c r="E1502">
        <v>12000.17</v>
      </c>
      <c r="F1502" t="s">
        <v>16</v>
      </c>
      <c r="G1502" t="s">
        <v>17</v>
      </c>
      <c r="H1502" t="s">
        <v>18</v>
      </c>
      <c r="I1502" t="s">
        <v>34</v>
      </c>
      <c r="J1502" t="s">
        <v>20</v>
      </c>
      <c r="K1502" t="s">
        <v>44</v>
      </c>
      <c r="L1502" t="s">
        <v>22</v>
      </c>
      <c r="M1502">
        <v>12000.17</v>
      </c>
      <c r="N1502">
        <v>2020</v>
      </c>
      <c r="O1502">
        <v>5</v>
      </c>
    </row>
    <row r="1503" spans="1:15" x14ac:dyDescent="0.3">
      <c r="A1503" s="1">
        <v>43979</v>
      </c>
      <c r="B1503">
        <v>1000000043</v>
      </c>
      <c r="C1503" t="s">
        <v>23</v>
      </c>
      <c r="D1503">
        <v>2</v>
      </c>
      <c r="E1503">
        <v>11000.810000000001</v>
      </c>
      <c r="F1503" t="s">
        <v>16</v>
      </c>
      <c r="G1503" t="s">
        <v>24</v>
      </c>
      <c r="H1503" t="s">
        <v>30</v>
      </c>
      <c r="I1503" t="s">
        <v>38</v>
      </c>
      <c r="J1503" t="s">
        <v>26</v>
      </c>
      <c r="K1503" t="s">
        <v>39</v>
      </c>
      <c r="L1503" t="s">
        <v>22</v>
      </c>
      <c r="M1503">
        <v>5500.4050000000007</v>
      </c>
      <c r="N1503">
        <v>2020</v>
      </c>
      <c r="O1503">
        <v>5</v>
      </c>
    </row>
    <row r="1504" spans="1:15" x14ac:dyDescent="0.3">
      <c r="A1504" s="1">
        <v>43979</v>
      </c>
      <c r="B1504">
        <v>1000000054</v>
      </c>
      <c r="C1504" t="s">
        <v>23</v>
      </c>
      <c r="D1504">
        <v>2</v>
      </c>
      <c r="E1504">
        <v>11000.3</v>
      </c>
      <c r="F1504" t="s">
        <v>16</v>
      </c>
      <c r="G1504" t="s">
        <v>24</v>
      </c>
      <c r="H1504" t="s">
        <v>18</v>
      </c>
      <c r="I1504" t="s">
        <v>34</v>
      </c>
      <c r="J1504" t="s">
        <v>26</v>
      </c>
      <c r="K1504" t="s">
        <v>35</v>
      </c>
      <c r="L1504" t="s">
        <v>22</v>
      </c>
      <c r="M1504">
        <v>5500.15</v>
      </c>
      <c r="N1504">
        <v>2020</v>
      </c>
      <c r="O1504">
        <v>5</v>
      </c>
    </row>
    <row r="1505" spans="1:15" x14ac:dyDescent="0.3">
      <c r="A1505" s="1">
        <v>43979</v>
      </c>
      <c r="B1505">
        <v>1000000030</v>
      </c>
      <c r="C1505" t="s">
        <v>23</v>
      </c>
      <c r="D1505">
        <v>1</v>
      </c>
      <c r="E1505">
        <v>10000.73</v>
      </c>
      <c r="F1505" t="s">
        <v>16</v>
      </c>
      <c r="G1505" t="s">
        <v>24</v>
      </c>
      <c r="H1505" t="s">
        <v>47</v>
      </c>
      <c r="I1505" t="s">
        <v>48</v>
      </c>
      <c r="J1505" t="s">
        <v>36</v>
      </c>
      <c r="K1505" t="s">
        <v>49</v>
      </c>
      <c r="L1505" t="s">
        <v>22</v>
      </c>
      <c r="M1505">
        <v>10000.73</v>
      </c>
      <c r="N1505">
        <v>2020</v>
      </c>
      <c r="O1505">
        <v>5</v>
      </c>
    </row>
    <row r="1506" spans="1:15" x14ac:dyDescent="0.3">
      <c r="A1506" s="1">
        <v>43979</v>
      </c>
      <c r="B1506">
        <v>1000000047</v>
      </c>
      <c r="C1506" t="s">
        <v>42</v>
      </c>
      <c r="D1506">
        <v>1</v>
      </c>
      <c r="E1506">
        <v>10000.030000000001</v>
      </c>
      <c r="F1506" t="s">
        <v>16</v>
      </c>
      <c r="G1506" t="s">
        <v>43</v>
      </c>
      <c r="H1506" t="s">
        <v>47</v>
      </c>
      <c r="I1506" t="s">
        <v>48</v>
      </c>
      <c r="J1506" t="s">
        <v>26</v>
      </c>
      <c r="K1506" t="s">
        <v>50</v>
      </c>
      <c r="L1506" t="s">
        <v>22</v>
      </c>
      <c r="M1506">
        <v>10000.030000000001</v>
      </c>
      <c r="N1506">
        <v>2020</v>
      </c>
      <c r="O1506">
        <v>5</v>
      </c>
    </row>
    <row r="1507" spans="1:15" x14ac:dyDescent="0.3">
      <c r="A1507" s="1">
        <v>43979</v>
      </c>
      <c r="B1507">
        <v>1000006064</v>
      </c>
      <c r="C1507" t="s">
        <v>15</v>
      </c>
      <c r="D1507">
        <v>1</v>
      </c>
      <c r="E1507">
        <v>9000.41</v>
      </c>
      <c r="F1507" t="s">
        <v>16</v>
      </c>
      <c r="G1507" t="s">
        <v>17</v>
      </c>
      <c r="H1507" t="s">
        <v>18</v>
      </c>
      <c r="I1507" t="s">
        <v>40</v>
      </c>
      <c r="J1507" t="s">
        <v>26</v>
      </c>
      <c r="K1507" t="s">
        <v>41</v>
      </c>
      <c r="L1507" t="s">
        <v>22</v>
      </c>
      <c r="M1507">
        <v>9000.41</v>
      </c>
      <c r="N1507">
        <v>2020</v>
      </c>
      <c r="O1507">
        <v>5</v>
      </c>
    </row>
    <row r="1508" spans="1:15" x14ac:dyDescent="0.3">
      <c r="A1508" s="1">
        <v>43979</v>
      </c>
      <c r="B1508">
        <v>1000004256</v>
      </c>
      <c r="C1508" t="s">
        <v>23</v>
      </c>
      <c r="D1508">
        <v>1</v>
      </c>
      <c r="E1508">
        <v>8000.3</v>
      </c>
      <c r="F1508" t="s">
        <v>16</v>
      </c>
      <c r="G1508" t="s">
        <v>24</v>
      </c>
      <c r="H1508" t="s">
        <v>18</v>
      </c>
      <c r="I1508" t="s">
        <v>40</v>
      </c>
      <c r="J1508" t="s">
        <v>26</v>
      </c>
      <c r="K1508" t="s">
        <v>41</v>
      </c>
      <c r="L1508" t="s">
        <v>22</v>
      </c>
      <c r="M1508">
        <v>8000.3</v>
      </c>
      <c r="N1508">
        <v>2020</v>
      </c>
      <c r="O1508">
        <v>5</v>
      </c>
    </row>
    <row r="1509" spans="1:15" x14ac:dyDescent="0.3">
      <c r="A1509" s="1">
        <v>43979</v>
      </c>
      <c r="B1509">
        <v>1000000067</v>
      </c>
      <c r="C1509" t="s">
        <v>23</v>
      </c>
      <c r="D1509">
        <v>1</v>
      </c>
      <c r="E1509">
        <v>7500.4</v>
      </c>
      <c r="F1509" t="s">
        <v>16</v>
      </c>
      <c r="G1509" t="s">
        <v>24</v>
      </c>
      <c r="H1509" t="s">
        <v>18</v>
      </c>
      <c r="I1509" t="s">
        <v>25</v>
      </c>
      <c r="J1509" t="s">
        <v>20</v>
      </c>
      <c r="K1509" t="s">
        <v>51</v>
      </c>
      <c r="L1509" t="s">
        <v>22</v>
      </c>
      <c r="M1509">
        <v>7500.4</v>
      </c>
      <c r="N1509">
        <v>2020</v>
      </c>
      <c r="O1509">
        <v>5</v>
      </c>
    </row>
    <row r="1510" spans="1:15" x14ac:dyDescent="0.3">
      <c r="A1510" s="1">
        <v>43979</v>
      </c>
      <c r="B1510">
        <v>1000000035</v>
      </c>
      <c r="C1510" t="s">
        <v>15</v>
      </c>
      <c r="D1510">
        <v>1</v>
      </c>
      <c r="E1510">
        <v>7500.39</v>
      </c>
      <c r="F1510" t="s">
        <v>16</v>
      </c>
      <c r="G1510" t="s">
        <v>17</v>
      </c>
      <c r="H1510" t="s">
        <v>18</v>
      </c>
      <c r="I1510" t="s">
        <v>25</v>
      </c>
      <c r="J1510" t="s">
        <v>36</v>
      </c>
      <c r="K1510" t="s">
        <v>37</v>
      </c>
      <c r="L1510" t="s">
        <v>22</v>
      </c>
      <c r="M1510">
        <v>7500.39</v>
      </c>
      <c r="N1510">
        <v>2020</v>
      </c>
      <c r="O1510">
        <v>5</v>
      </c>
    </row>
    <row r="1511" spans="1:15" x14ac:dyDescent="0.3">
      <c r="A1511" s="1">
        <v>43979</v>
      </c>
      <c r="B1511">
        <v>1000003989</v>
      </c>
      <c r="C1511" t="s">
        <v>23</v>
      </c>
      <c r="D1511">
        <v>1</v>
      </c>
      <c r="E1511">
        <v>7000.36</v>
      </c>
      <c r="F1511" t="s">
        <v>16</v>
      </c>
      <c r="G1511" t="s">
        <v>24</v>
      </c>
      <c r="H1511" t="s">
        <v>30</v>
      </c>
      <c r="I1511" t="s">
        <v>31</v>
      </c>
      <c r="J1511" t="s">
        <v>36</v>
      </c>
      <c r="K1511" t="s">
        <v>52</v>
      </c>
      <c r="L1511" t="s">
        <v>22</v>
      </c>
      <c r="M1511">
        <v>7000.36</v>
      </c>
      <c r="N1511">
        <v>2020</v>
      </c>
      <c r="O1511">
        <v>5</v>
      </c>
    </row>
    <row r="1512" spans="1:15" x14ac:dyDescent="0.3">
      <c r="A1512" s="1">
        <v>43979</v>
      </c>
      <c r="B1512">
        <v>1000000104</v>
      </c>
      <c r="C1512" t="s">
        <v>42</v>
      </c>
      <c r="D1512">
        <v>1</v>
      </c>
      <c r="E1512">
        <v>7000.12</v>
      </c>
      <c r="F1512" t="s">
        <v>16</v>
      </c>
      <c r="G1512" t="s">
        <v>43</v>
      </c>
      <c r="H1512" t="s">
        <v>18</v>
      </c>
      <c r="I1512" t="s">
        <v>40</v>
      </c>
      <c r="J1512" t="s">
        <v>26</v>
      </c>
      <c r="K1512" t="s">
        <v>41</v>
      </c>
      <c r="L1512" t="s">
        <v>22</v>
      </c>
      <c r="M1512">
        <v>7000.12</v>
      </c>
      <c r="N1512">
        <v>2020</v>
      </c>
      <c r="O1512">
        <v>5</v>
      </c>
    </row>
    <row r="1513" spans="1:15" x14ac:dyDescent="0.3">
      <c r="A1513" s="1">
        <v>43979</v>
      </c>
      <c r="B1513">
        <v>1000000032</v>
      </c>
      <c r="C1513" t="s">
        <v>42</v>
      </c>
      <c r="D1513">
        <v>1</v>
      </c>
      <c r="E1513">
        <v>6500.42</v>
      </c>
      <c r="F1513" t="s">
        <v>16</v>
      </c>
      <c r="G1513" t="s">
        <v>43</v>
      </c>
      <c r="H1513" t="s">
        <v>18</v>
      </c>
      <c r="I1513" t="s">
        <v>25</v>
      </c>
      <c r="J1513" t="s">
        <v>26</v>
      </c>
      <c r="K1513" t="s">
        <v>27</v>
      </c>
      <c r="L1513" t="s">
        <v>28</v>
      </c>
      <c r="M1513">
        <v>6500.42</v>
      </c>
      <c r="N1513">
        <v>2020</v>
      </c>
      <c r="O1513">
        <v>5</v>
      </c>
    </row>
    <row r="1514" spans="1:15" x14ac:dyDescent="0.3">
      <c r="A1514" s="1">
        <v>43979</v>
      </c>
      <c r="B1514">
        <v>1000004256</v>
      </c>
      <c r="C1514" t="s">
        <v>15</v>
      </c>
      <c r="D1514">
        <v>1</v>
      </c>
      <c r="E1514">
        <v>6500.25</v>
      </c>
      <c r="F1514" t="s">
        <v>16</v>
      </c>
      <c r="G1514" t="s">
        <v>17</v>
      </c>
      <c r="H1514" t="s">
        <v>18</v>
      </c>
      <c r="I1514" t="s">
        <v>40</v>
      </c>
      <c r="J1514" t="s">
        <v>26</v>
      </c>
      <c r="K1514" t="s">
        <v>41</v>
      </c>
      <c r="L1514" t="s">
        <v>22</v>
      </c>
      <c r="M1514">
        <v>6500.25</v>
      </c>
      <c r="N1514">
        <v>2020</v>
      </c>
      <c r="O1514">
        <v>5</v>
      </c>
    </row>
    <row r="1515" spans="1:15" x14ac:dyDescent="0.3">
      <c r="A1515" s="1">
        <v>43979</v>
      </c>
      <c r="B1515">
        <v>1000000050</v>
      </c>
      <c r="C1515" t="s">
        <v>15</v>
      </c>
      <c r="D1515">
        <v>1</v>
      </c>
      <c r="E1515">
        <v>5999.98</v>
      </c>
      <c r="F1515" t="s">
        <v>16</v>
      </c>
      <c r="G1515" t="s">
        <v>17</v>
      </c>
      <c r="H1515" t="s">
        <v>18</v>
      </c>
      <c r="I1515" t="s">
        <v>40</v>
      </c>
      <c r="J1515" t="s">
        <v>26</v>
      </c>
      <c r="K1515" t="s">
        <v>41</v>
      </c>
      <c r="L1515" t="s">
        <v>22</v>
      </c>
      <c r="M1515">
        <v>5999.98</v>
      </c>
      <c r="N1515">
        <v>2020</v>
      </c>
      <c r="O1515">
        <v>5</v>
      </c>
    </row>
    <row r="1516" spans="1:15" x14ac:dyDescent="0.3">
      <c r="A1516" s="1">
        <v>43979</v>
      </c>
      <c r="B1516">
        <v>1000000566</v>
      </c>
      <c r="C1516" t="s">
        <v>42</v>
      </c>
      <c r="D1516">
        <v>1</v>
      </c>
      <c r="E1516">
        <v>5500.09</v>
      </c>
      <c r="F1516" t="s">
        <v>16</v>
      </c>
      <c r="G1516" t="s">
        <v>43</v>
      </c>
      <c r="H1516" t="s">
        <v>47</v>
      </c>
      <c r="I1516" t="s">
        <v>48</v>
      </c>
      <c r="J1516" t="s">
        <v>36</v>
      </c>
      <c r="K1516" t="s">
        <v>49</v>
      </c>
      <c r="L1516" t="s">
        <v>22</v>
      </c>
      <c r="M1516">
        <v>5500.09</v>
      </c>
      <c r="N1516">
        <v>2020</v>
      </c>
      <c r="O1516">
        <v>5</v>
      </c>
    </row>
    <row r="1517" spans="1:15" x14ac:dyDescent="0.3">
      <c r="A1517" s="1">
        <v>43979</v>
      </c>
      <c r="B1517">
        <v>1000003489</v>
      </c>
      <c r="C1517" t="s">
        <v>23</v>
      </c>
      <c r="D1517">
        <v>1</v>
      </c>
      <c r="E1517">
        <v>5500.05</v>
      </c>
      <c r="F1517" t="s">
        <v>16</v>
      </c>
      <c r="G1517" t="s">
        <v>24</v>
      </c>
      <c r="H1517" t="s">
        <v>47</v>
      </c>
      <c r="I1517" t="s">
        <v>48</v>
      </c>
      <c r="J1517" t="s">
        <v>26</v>
      </c>
      <c r="K1517" t="s">
        <v>50</v>
      </c>
      <c r="L1517" t="s">
        <v>22</v>
      </c>
      <c r="M1517">
        <v>5500.05</v>
      </c>
      <c r="N1517">
        <v>2020</v>
      </c>
      <c r="O1517">
        <v>5</v>
      </c>
    </row>
    <row r="1518" spans="1:15" x14ac:dyDescent="0.3">
      <c r="A1518" s="1">
        <v>43979</v>
      </c>
      <c r="B1518">
        <v>1000000067</v>
      </c>
      <c r="C1518" t="s">
        <v>15</v>
      </c>
      <c r="D1518">
        <v>1</v>
      </c>
      <c r="E1518">
        <v>4999.99</v>
      </c>
      <c r="F1518" t="s">
        <v>16</v>
      </c>
      <c r="G1518" t="s">
        <v>17</v>
      </c>
      <c r="H1518" t="s">
        <v>18</v>
      </c>
      <c r="I1518" t="s">
        <v>25</v>
      </c>
      <c r="J1518" t="s">
        <v>20</v>
      </c>
      <c r="K1518" t="s">
        <v>51</v>
      </c>
      <c r="L1518" t="s">
        <v>22</v>
      </c>
      <c r="M1518">
        <v>4999.99</v>
      </c>
      <c r="N1518">
        <v>2020</v>
      </c>
      <c r="O1518">
        <v>5</v>
      </c>
    </row>
    <row r="1519" spans="1:15" x14ac:dyDescent="0.3">
      <c r="A1519" s="1">
        <v>43979</v>
      </c>
      <c r="B1519">
        <v>1000000068</v>
      </c>
      <c r="C1519" t="s">
        <v>42</v>
      </c>
      <c r="D1519">
        <v>1</v>
      </c>
      <c r="E1519">
        <v>4000.56</v>
      </c>
      <c r="F1519" t="s">
        <v>16</v>
      </c>
      <c r="G1519" t="s">
        <v>43</v>
      </c>
      <c r="H1519" t="s">
        <v>30</v>
      </c>
      <c r="I1519" t="s">
        <v>55</v>
      </c>
      <c r="J1519" t="s">
        <v>26</v>
      </c>
      <c r="K1519" t="s">
        <v>56</v>
      </c>
      <c r="L1519" t="s">
        <v>28</v>
      </c>
      <c r="M1519">
        <v>4000.56</v>
      </c>
      <c r="N1519">
        <v>2020</v>
      </c>
      <c r="O1519">
        <v>5</v>
      </c>
    </row>
    <row r="1520" spans="1:15" x14ac:dyDescent="0.3">
      <c r="A1520" s="1">
        <v>43979</v>
      </c>
      <c r="B1520">
        <v>1000000033</v>
      </c>
      <c r="C1520" t="s">
        <v>23</v>
      </c>
      <c r="D1520">
        <v>1</v>
      </c>
      <c r="E1520">
        <v>3000.59</v>
      </c>
      <c r="F1520" t="s">
        <v>16</v>
      </c>
      <c r="G1520" t="s">
        <v>24</v>
      </c>
      <c r="H1520" t="s">
        <v>18</v>
      </c>
      <c r="I1520" t="s">
        <v>25</v>
      </c>
      <c r="J1520" t="s">
        <v>26</v>
      </c>
      <c r="K1520" t="s">
        <v>27</v>
      </c>
      <c r="L1520" t="s">
        <v>22</v>
      </c>
      <c r="M1520">
        <v>3000.59</v>
      </c>
      <c r="N1520">
        <v>2020</v>
      </c>
      <c r="O1520">
        <v>5</v>
      </c>
    </row>
    <row r="1521" spans="1:15" x14ac:dyDescent="0.3">
      <c r="A1521" s="1">
        <v>43979</v>
      </c>
      <c r="B1521">
        <v>1000000035</v>
      </c>
      <c r="C1521" t="s">
        <v>23</v>
      </c>
      <c r="D1521">
        <v>1</v>
      </c>
      <c r="E1521">
        <v>1648.71</v>
      </c>
      <c r="F1521" t="s">
        <v>16</v>
      </c>
      <c r="G1521" t="s">
        <v>24</v>
      </c>
      <c r="H1521" t="s">
        <v>18</v>
      </c>
      <c r="I1521" t="s">
        <v>25</v>
      </c>
      <c r="J1521" t="s">
        <v>36</v>
      </c>
      <c r="K1521" t="s">
        <v>37</v>
      </c>
      <c r="L1521" t="s">
        <v>22</v>
      </c>
      <c r="M1521">
        <v>1648.71</v>
      </c>
      <c r="N1521">
        <v>2020</v>
      </c>
      <c r="O1521">
        <v>5</v>
      </c>
    </row>
    <row r="1522" spans="1:15" x14ac:dyDescent="0.3">
      <c r="A1522" s="1">
        <v>43979</v>
      </c>
      <c r="B1522">
        <v>1000000031</v>
      </c>
      <c r="C1522" t="s">
        <v>23</v>
      </c>
      <c r="D1522">
        <v>1</v>
      </c>
      <c r="E1522">
        <v>1500.11</v>
      </c>
      <c r="F1522" t="s">
        <v>16</v>
      </c>
      <c r="G1522" t="s">
        <v>24</v>
      </c>
      <c r="H1522" t="s">
        <v>18</v>
      </c>
      <c r="I1522" t="s">
        <v>19</v>
      </c>
      <c r="J1522" t="s">
        <v>26</v>
      </c>
      <c r="K1522" t="s">
        <v>29</v>
      </c>
      <c r="L1522" t="s">
        <v>28</v>
      </c>
      <c r="M1522">
        <v>1500.11</v>
      </c>
      <c r="N1522">
        <v>2020</v>
      </c>
      <c r="O1522">
        <v>5</v>
      </c>
    </row>
    <row r="1523" spans="1:15" x14ac:dyDescent="0.3">
      <c r="A1523" s="1">
        <v>43979</v>
      </c>
      <c r="B1523">
        <v>1000007197</v>
      </c>
      <c r="C1523" t="s">
        <v>23</v>
      </c>
      <c r="D1523">
        <v>1</v>
      </c>
      <c r="E1523">
        <v>1000.76</v>
      </c>
      <c r="F1523" t="s">
        <v>16</v>
      </c>
      <c r="G1523" t="s">
        <v>24</v>
      </c>
      <c r="H1523" t="s">
        <v>18</v>
      </c>
      <c r="I1523" t="s">
        <v>40</v>
      </c>
      <c r="J1523" t="s">
        <v>26</v>
      </c>
      <c r="K1523" t="s">
        <v>41</v>
      </c>
      <c r="L1523" t="s">
        <v>22</v>
      </c>
      <c r="M1523">
        <v>1000.76</v>
      </c>
      <c r="N1523">
        <v>2020</v>
      </c>
      <c r="O1523">
        <v>5</v>
      </c>
    </row>
    <row r="1524" spans="1:15" x14ac:dyDescent="0.3">
      <c r="A1524" s="1">
        <v>43979</v>
      </c>
      <c r="B1524">
        <v>1000000056</v>
      </c>
      <c r="C1524" t="s">
        <v>23</v>
      </c>
      <c r="D1524">
        <v>1</v>
      </c>
      <c r="E1524">
        <v>500.28</v>
      </c>
      <c r="F1524" t="s">
        <v>16</v>
      </c>
      <c r="G1524" t="s">
        <v>24</v>
      </c>
      <c r="H1524" t="s">
        <v>18</v>
      </c>
      <c r="I1524" t="s">
        <v>34</v>
      </c>
      <c r="J1524" t="s">
        <v>26</v>
      </c>
      <c r="K1524" t="s">
        <v>35</v>
      </c>
      <c r="L1524" t="s">
        <v>28</v>
      </c>
      <c r="M1524">
        <v>500.28</v>
      </c>
      <c r="N1524">
        <v>2020</v>
      </c>
      <c r="O1524">
        <v>5</v>
      </c>
    </row>
    <row r="1525" spans="1:15" x14ac:dyDescent="0.3">
      <c r="A1525" s="1">
        <v>43980</v>
      </c>
      <c r="B1525">
        <v>1000003926</v>
      </c>
      <c r="C1525" t="s">
        <v>23</v>
      </c>
      <c r="D1525">
        <v>2</v>
      </c>
      <c r="E1525">
        <v>50001.020000000004</v>
      </c>
      <c r="F1525" t="s">
        <v>16</v>
      </c>
      <c r="G1525" t="s">
        <v>24</v>
      </c>
      <c r="H1525" t="s">
        <v>47</v>
      </c>
      <c r="I1525" t="s">
        <v>48</v>
      </c>
      <c r="J1525" t="s">
        <v>26</v>
      </c>
      <c r="K1525" t="s">
        <v>50</v>
      </c>
      <c r="L1525" t="s">
        <v>28</v>
      </c>
      <c r="M1525">
        <v>25000.51</v>
      </c>
      <c r="N1525">
        <v>2020</v>
      </c>
      <c r="O1525">
        <v>5</v>
      </c>
    </row>
    <row r="1526" spans="1:15" x14ac:dyDescent="0.3">
      <c r="A1526" s="1">
        <v>43980</v>
      </c>
      <c r="B1526">
        <v>1000000237</v>
      </c>
      <c r="C1526" t="s">
        <v>42</v>
      </c>
      <c r="D1526">
        <v>3</v>
      </c>
      <c r="E1526">
        <v>43036.02</v>
      </c>
      <c r="F1526" t="s">
        <v>16</v>
      </c>
      <c r="G1526" t="s">
        <v>43</v>
      </c>
      <c r="H1526" t="s">
        <v>18</v>
      </c>
      <c r="I1526" t="s">
        <v>40</v>
      </c>
      <c r="J1526" t="s">
        <v>26</v>
      </c>
      <c r="K1526" t="s">
        <v>41</v>
      </c>
      <c r="L1526" t="s">
        <v>22</v>
      </c>
      <c r="M1526">
        <v>14345.339999999998</v>
      </c>
      <c r="N1526">
        <v>2020</v>
      </c>
      <c r="O1526">
        <v>5</v>
      </c>
    </row>
    <row r="1527" spans="1:15" x14ac:dyDescent="0.3">
      <c r="A1527" s="1">
        <v>43980</v>
      </c>
      <c r="B1527">
        <v>1000004256</v>
      </c>
      <c r="C1527" t="s">
        <v>42</v>
      </c>
      <c r="D1527">
        <v>2</v>
      </c>
      <c r="E1527">
        <v>38001.259999999995</v>
      </c>
      <c r="F1527" t="s">
        <v>16</v>
      </c>
      <c r="G1527" t="s">
        <v>43</v>
      </c>
      <c r="H1527" t="s">
        <v>18</v>
      </c>
      <c r="I1527" t="s">
        <v>40</v>
      </c>
      <c r="J1527" t="s">
        <v>26</v>
      </c>
      <c r="K1527" t="s">
        <v>41</v>
      </c>
      <c r="L1527" t="s">
        <v>22</v>
      </c>
      <c r="M1527">
        <v>19000.629999999997</v>
      </c>
      <c r="N1527">
        <v>2020</v>
      </c>
      <c r="O1527">
        <v>5</v>
      </c>
    </row>
    <row r="1528" spans="1:15" x14ac:dyDescent="0.3">
      <c r="A1528" s="1">
        <v>43980</v>
      </c>
      <c r="B1528">
        <v>1000007197</v>
      </c>
      <c r="C1528" t="s">
        <v>23</v>
      </c>
      <c r="D1528">
        <v>2</v>
      </c>
      <c r="E1528">
        <v>34000.83</v>
      </c>
      <c r="F1528" t="s">
        <v>16</v>
      </c>
      <c r="G1528" t="s">
        <v>24</v>
      </c>
      <c r="H1528" t="s">
        <v>18</v>
      </c>
      <c r="I1528" t="s">
        <v>40</v>
      </c>
      <c r="J1528" t="s">
        <v>26</v>
      </c>
      <c r="K1528" t="s">
        <v>41</v>
      </c>
      <c r="L1528" t="s">
        <v>22</v>
      </c>
      <c r="M1528">
        <v>17000.415000000001</v>
      </c>
      <c r="N1528">
        <v>2020</v>
      </c>
      <c r="O1528">
        <v>5</v>
      </c>
    </row>
    <row r="1529" spans="1:15" x14ac:dyDescent="0.3">
      <c r="A1529" s="1">
        <v>43980</v>
      </c>
      <c r="B1529">
        <v>1000003489</v>
      </c>
      <c r="C1529" t="s">
        <v>23</v>
      </c>
      <c r="D1529">
        <v>2</v>
      </c>
      <c r="E1529">
        <v>33000.620000000003</v>
      </c>
      <c r="F1529" t="s">
        <v>16</v>
      </c>
      <c r="G1529" t="s">
        <v>24</v>
      </c>
      <c r="H1529" t="s">
        <v>47</v>
      </c>
      <c r="I1529" t="s">
        <v>48</v>
      </c>
      <c r="J1529" t="s">
        <v>26</v>
      </c>
      <c r="K1529" t="s">
        <v>50</v>
      </c>
      <c r="L1529" t="s">
        <v>22</v>
      </c>
      <c r="M1529">
        <v>16500.310000000001</v>
      </c>
      <c r="N1529">
        <v>2020</v>
      </c>
      <c r="O1529">
        <v>5</v>
      </c>
    </row>
    <row r="1530" spans="1:15" x14ac:dyDescent="0.3">
      <c r="A1530" s="1">
        <v>43980</v>
      </c>
      <c r="B1530">
        <v>1000008239</v>
      </c>
      <c r="C1530" t="s">
        <v>15</v>
      </c>
      <c r="D1530">
        <v>2</v>
      </c>
      <c r="E1530">
        <v>27000.620000000003</v>
      </c>
      <c r="F1530" t="s">
        <v>16</v>
      </c>
      <c r="G1530" t="s">
        <v>17</v>
      </c>
      <c r="H1530" t="s">
        <v>18</v>
      </c>
      <c r="I1530" t="s">
        <v>61</v>
      </c>
      <c r="J1530" t="s">
        <v>26</v>
      </c>
      <c r="K1530" t="s">
        <v>62</v>
      </c>
      <c r="L1530" t="s">
        <v>28</v>
      </c>
      <c r="M1530">
        <v>13500.31</v>
      </c>
      <c r="N1530">
        <v>2020</v>
      </c>
      <c r="O1530">
        <v>5</v>
      </c>
    </row>
    <row r="1531" spans="1:15" x14ac:dyDescent="0.3">
      <c r="A1531" s="1">
        <v>43980</v>
      </c>
      <c r="B1531">
        <v>1000000032</v>
      </c>
      <c r="C1531" t="s">
        <v>23</v>
      </c>
      <c r="D1531">
        <v>2</v>
      </c>
      <c r="E1531">
        <v>27000.21</v>
      </c>
      <c r="F1531" t="s">
        <v>16</v>
      </c>
      <c r="G1531" t="s">
        <v>24</v>
      </c>
      <c r="H1531" t="s">
        <v>18</v>
      </c>
      <c r="I1531" t="s">
        <v>25</v>
      </c>
      <c r="J1531" t="s">
        <v>26</v>
      </c>
      <c r="K1531" t="s">
        <v>27</v>
      </c>
      <c r="L1531" t="s">
        <v>28</v>
      </c>
      <c r="M1531">
        <v>13500.105</v>
      </c>
      <c r="N1531">
        <v>2020</v>
      </c>
      <c r="O1531">
        <v>5</v>
      </c>
    </row>
    <row r="1532" spans="1:15" x14ac:dyDescent="0.3">
      <c r="A1532" s="1">
        <v>43980</v>
      </c>
      <c r="B1532">
        <v>1000003926</v>
      </c>
      <c r="C1532" t="s">
        <v>15</v>
      </c>
      <c r="D1532">
        <v>1</v>
      </c>
      <c r="E1532">
        <v>25000.47</v>
      </c>
      <c r="F1532" t="s">
        <v>16</v>
      </c>
      <c r="G1532" t="s">
        <v>17</v>
      </c>
      <c r="H1532" t="s">
        <v>47</v>
      </c>
      <c r="I1532" t="s">
        <v>48</v>
      </c>
      <c r="J1532" t="s">
        <v>26</v>
      </c>
      <c r="K1532" t="s">
        <v>50</v>
      </c>
      <c r="L1532" t="s">
        <v>28</v>
      </c>
      <c r="M1532">
        <v>25000.47</v>
      </c>
      <c r="N1532">
        <v>2020</v>
      </c>
      <c r="O1532">
        <v>5</v>
      </c>
    </row>
    <row r="1533" spans="1:15" x14ac:dyDescent="0.3">
      <c r="A1533" s="1">
        <v>43980</v>
      </c>
      <c r="B1533">
        <v>1000007197</v>
      </c>
      <c r="C1533" t="s">
        <v>42</v>
      </c>
      <c r="D1533">
        <v>1</v>
      </c>
      <c r="E1533">
        <v>23000.65</v>
      </c>
      <c r="F1533" t="s">
        <v>16</v>
      </c>
      <c r="G1533" t="s">
        <v>43</v>
      </c>
      <c r="H1533" t="s">
        <v>18</v>
      </c>
      <c r="I1533" t="s">
        <v>40</v>
      </c>
      <c r="J1533" t="s">
        <v>26</v>
      </c>
      <c r="K1533" t="s">
        <v>41</v>
      </c>
      <c r="L1533" t="s">
        <v>22</v>
      </c>
      <c r="M1533">
        <v>23000.65</v>
      </c>
      <c r="N1533">
        <v>2020</v>
      </c>
      <c r="O1533">
        <v>5</v>
      </c>
    </row>
    <row r="1534" spans="1:15" x14ac:dyDescent="0.3">
      <c r="A1534" s="1">
        <v>43980</v>
      </c>
      <c r="B1534">
        <v>1000004170</v>
      </c>
      <c r="C1534" t="s">
        <v>23</v>
      </c>
      <c r="D1534">
        <v>2</v>
      </c>
      <c r="E1534">
        <v>23000.43</v>
      </c>
      <c r="F1534" t="s">
        <v>16</v>
      </c>
      <c r="G1534" t="s">
        <v>24</v>
      </c>
      <c r="H1534" t="s">
        <v>18</v>
      </c>
      <c r="I1534" t="s">
        <v>34</v>
      </c>
      <c r="J1534" t="s">
        <v>20</v>
      </c>
      <c r="K1534" t="s">
        <v>44</v>
      </c>
      <c r="L1534" t="s">
        <v>28</v>
      </c>
      <c r="M1534">
        <v>11500.215</v>
      </c>
      <c r="N1534">
        <v>2020</v>
      </c>
      <c r="O1534">
        <v>5</v>
      </c>
    </row>
    <row r="1535" spans="1:15" x14ac:dyDescent="0.3">
      <c r="A1535" s="1">
        <v>43980</v>
      </c>
      <c r="B1535">
        <v>1000000044</v>
      </c>
      <c r="C1535" t="s">
        <v>15</v>
      </c>
      <c r="D1535">
        <v>1</v>
      </c>
      <c r="E1535">
        <v>22000.65</v>
      </c>
      <c r="F1535" t="s">
        <v>16</v>
      </c>
      <c r="G1535" t="s">
        <v>17</v>
      </c>
      <c r="H1535" t="s">
        <v>30</v>
      </c>
      <c r="I1535" t="s">
        <v>31</v>
      </c>
      <c r="J1535" t="s">
        <v>36</v>
      </c>
      <c r="K1535" t="s">
        <v>52</v>
      </c>
      <c r="L1535" t="s">
        <v>28</v>
      </c>
      <c r="M1535">
        <v>22000.65</v>
      </c>
      <c r="N1535">
        <v>2020</v>
      </c>
      <c r="O1535">
        <v>5</v>
      </c>
    </row>
    <row r="1536" spans="1:15" x14ac:dyDescent="0.3">
      <c r="A1536" s="1">
        <v>43980</v>
      </c>
      <c r="B1536">
        <v>1000000029</v>
      </c>
      <c r="C1536" t="s">
        <v>15</v>
      </c>
      <c r="D1536">
        <v>1</v>
      </c>
      <c r="E1536">
        <v>22000.18</v>
      </c>
      <c r="F1536" t="s">
        <v>16</v>
      </c>
      <c r="G1536" t="s">
        <v>17</v>
      </c>
      <c r="H1536" t="s">
        <v>18</v>
      </c>
      <c r="I1536" t="s">
        <v>19</v>
      </c>
      <c r="J1536" t="s">
        <v>20</v>
      </c>
      <c r="K1536" t="s">
        <v>21</v>
      </c>
      <c r="L1536" t="s">
        <v>22</v>
      </c>
      <c r="M1536">
        <v>22000.18</v>
      </c>
      <c r="N1536">
        <v>2020</v>
      </c>
      <c r="O1536">
        <v>5</v>
      </c>
    </row>
    <row r="1537" spans="1:15" x14ac:dyDescent="0.3">
      <c r="A1537" s="1">
        <v>43980</v>
      </c>
      <c r="B1537">
        <v>1000000032</v>
      </c>
      <c r="C1537" t="s">
        <v>15</v>
      </c>
      <c r="D1537">
        <v>1</v>
      </c>
      <c r="E1537">
        <v>20000.68</v>
      </c>
      <c r="F1537" t="s">
        <v>16</v>
      </c>
      <c r="G1537" t="s">
        <v>17</v>
      </c>
      <c r="H1537" t="s">
        <v>18</v>
      </c>
      <c r="I1537" t="s">
        <v>25</v>
      </c>
      <c r="J1537" t="s">
        <v>26</v>
      </c>
      <c r="K1537" t="s">
        <v>27</v>
      </c>
      <c r="L1537" t="s">
        <v>28</v>
      </c>
      <c r="M1537">
        <v>20000.68</v>
      </c>
      <c r="N1537">
        <v>2020</v>
      </c>
      <c r="O1537">
        <v>5</v>
      </c>
    </row>
    <row r="1538" spans="1:15" x14ac:dyDescent="0.3">
      <c r="A1538" s="1">
        <v>43980</v>
      </c>
      <c r="B1538">
        <v>1000000040</v>
      </c>
      <c r="C1538" t="s">
        <v>15</v>
      </c>
      <c r="D1538">
        <v>1</v>
      </c>
      <c r="E1538">
        <v>20000.04</v>
      </c>
      <c r="F1538" t="s">
        <v>16</v>
      </c>
      <c r="G1538" t="s">
        <v>17</v>
      </c>
      <c r="H1538" t="s">
        <v>30</v>
      </c>
      <c r="I1538" t="s">
        <v>31</v>
      </c>
      <c r="J1538" t="s">
        <v>32</v>
      </c>
      <c r="K1538" t="s">
        <v>33</v>
      </c>
      <c r="L1538" t="s">
        <v>28</v>
      </c>
      <c r="M1538">
        <v>20000.04</v>
      </c>
      <c r="N1538">
        <v>2020</v>
      </c>
      <c r="O1538">
        <v>5</v>
      </c>
    </row>
    <row r="1539" spans="1:15" x14ac:dyDescent="0.3">
      <c r="A1539" s="1">
        <v>43980</v>
      </c>
      <c r="B1539">
        <v>1000006698</v>
      </c>
      <c r="C1539" t="s">
        <v>42</v>
      </c>
      <c r="D1539">
        <v>2</v>
      </c>
      <c r="E1539">
        <v>19001.16</v>
      </c>
      <c r="F1539" t="s">
        <v>16</v>
      </c>
      <c r="G1539" t="s">
        <v>43</v>
      </c>
      <c r="H1539" t="s">
        <v>30</v>
      </c>
      <c r="I1539" t="s">
        <v>38</v>
      </c>
      <c r="J1539" t="s">
        <v>26</v>
      </c>
      <c r="K1539" t="s">
        <v>39</v>
      </c>
      <c r="L1539" t="s">
        <v>28</v>
      </c>
      <c r="M1539">
        <v>9500.58</v>
      </c>
      <c r="N1539">
        <v>2020</v>
      </c>
      <c r="O1539">
        <v>5</v>
      </c>
    </row>
    <row r="1540" spans="1:15" x14ac:dyDescent="0.3">
      <c r="A1540" s="1">
        <v>43980</v>
      </c>
      <c r="B1540">
        <v>1000000068</v>
      </c>
      <c r="C1540" t="s">
        <v>15</v>
      </c>
      <c r="D1540">
        <v>2</v>
      </c>
      <c r="E1540">
        <v>19000.68</v>
      </c>
      <c r="F1540" t="s">
        <v>16</v>
      </c>
      <c r="G1540" t="s">
        <v>17</v>
      </c>
      <c r="H1540" t="s">
        <v>30</v>
      </c>
      <c r="I1540" t="s">
        <v>55</v>
      </c>
      <c r="J1540" t="s">
        <v>26</v>
      </c>
      <c r="K1540" t="s">
        <v>56</v>
      </c>
      <c r="L1540" t="s">
        <v>28</v>
      </c>
      <c r="M1540">
        <v>9500.34</v>
      </c>
      <c r="N1540">
        <v>2020</v>
      </c>
      <c r="O1540">
        <v>5</v>
      </c>
    </row>
    <row r="1541" spans="1:15" x14ac:dyDescent="0.3">
      <c r="A1541" s="1">
        <v>43980</v>
      </c>
      <c r="B1541">
        <v>1000000594</v>
      </c>
      <c r="C1541" t="s">
        <v>15</v>
      </c>
      <c r="D1541">
        <v>1</v>
      </c>
      <c r="E1541">
        <v>18000.73</v>
      </c>
      <c r="F1541" t="s">
        <v>16</v>
      </c>
      <c r="G1541" t="s">
        <v>17</v>
      </c>
      <c r="H1541" t="s">
        <v>18</v>
      </c>
      <c r="I1541" t="s">
        <v>25</v>
      </c>
      <c r="J1541" t="s">
        <v>20</v>
      </c>
      <c r="K1541" t="s">
        <v>51</v>
      </c>
      <c r="L1541" t="s">
        <v>22</v>
      </c>
      <c r="M1541">
        <v>18000.73</v>
      </c>
      <c r="N1541">
        <v>2020</v>
      </c>
      <c r="O1541">
        <v>5</v>
      </c>
    </row>
    <row r="1542" spans="1:15" x14ac:dyDescent="0.3">
      <c r="A1542" s="1">
        <v>43980</v>
      </c>
      <c r="B1542">
        <v>1000006698</v>
      </c>
      <c r="C1542" t="s">
        <v>15</v>
      </c>
      <c r="D1542">
        <v>1</v>
      </c>
      <c r="E1542">
        <v>18000.72</v>
      </c>
      <c r="F1542" t="s">
        <v>16</v>
      </c>
      <c r="G1542" t="s">
        <v>17</v>
      </c>
      <c r="H1542" t="s">
        <v>30</v>
      </c>
      <c r="I1542" t="s">
        <v>38</v>
      </c>
      <c r="J1542" t="s">
        <v>26</v>
      </c>
      <c r="K1542" t="s">
        <v>39</v>
      </c>
      <c r="L1542" t="s">
        <v>28</v>
      </c>
      <c r="M1542">
        <v>18000.72</v>
      </c>
      <c r="N1542">
        <v>2020</v>
      </c>
      <c r="O1542">
        <v>5</v>
      </c>
    </row>
    <row r="1543" spans="1:15" x14ac:dyDescent="0.3">
      <c r="A1543" s="1">
        <v>43980</v>
      </c>
      <c r="B1543">
        <v>1000000044</v>
      </c>
      <c r="C1543" t="s">
        <v>42</v>
      </c>
      <c r="D1543">
        <v>1</v>
      </c>
      <c r="E1543">
        <v>18000.61</v>
      </c>
      <c r="F1543" t="s">
        <v>16</v>
      </c>
      <c r="G1543" t="s">
        <v>43</v>
      </c>
      <c r="H1543" t="s">
        <v>30</v>
      </c>
      <c r="I1543" t="s">
        <v>31</v>
      </c>
      <c r="J1543" t="s">
        <v>36</v>
      </c>
      <c r="K1543" t="s">
        <v>52</v>
      </c>
      <c r="L1543" t="s">
        <v>28</v>
      </c>
      <c r="M1543">
        <v>18000.61</v>
      </c>
      <c r="N1543">
        <v>2020</v>
      </c>
      <c r="O1543">
        <v>5</v>
      </c>
    </row>
    <row r="1544" spans="1:15" x14ac:dyDescent="0.3">
      <c r="A1544" s="1">
        <v>43980</v>
      </c>
      <c r="B1544">
        <v>1000000566</v>
      </c>
      <c r="C1544" t="s">
        <v>42</v>
      </c>
      <c r="D1544">
        <v>1</v>
      </c>
      <c r="E1544">
        <v>18000.04</v>
      </c>
      <c r="F1544" t="s">
        <v>16</v>
      </c>
      <c r="G1544" t="s">
        <v>43</v>
      </c>
      <c r="H1544" t="s">
        <v>47</v>
      </c>
      <c r="I1544" t="s">
        <v>48</v>
      </c>
      <c r="J1544" t="s">
        <v>36</v>
      </c>
      <c r="K1544" t="s">
        <v>49</v>
      </c>
      <c r="L1544" t="s">
        <v>22</v>
      </c>
      <c r="M1544">
        <v>18000.04</v>
      </c>
      <c r="N1544">
        <v>2020</v>
      </c>
      <c r="O1544">
        <v>5</v>
      </c>
    </row>
    <row r="1545" spans="1:15" x14ac:dyDescent="0.3">
      <c r="A1545" s="1">
        <v>43980</v>
      </c>
      <c r="B1545">
        <v>1000000041</v>
      </c>
      <c r="C1545" t="s">
        <v>15</v>
      </c>
      <c r="D1545">
        <v>2</v>
      </c>
      <c r="E1545">
        <v>17200.68</v>
      </c>
      <c r="F1545" t="s">
        <v>16</v>
      </c>
      <c r="G1545" t="s">
        <v>17</v>
      </c>
      <c r="H1545" t="s">
        <v>30</v>
      </c>
      <c r="I1545" t="s">
        <v>31</v>
      </c>
      <c r="J1545" t="s">
        <v>32</v>
      </c>
      <c r="K1545" t="s">
        <v>33</v>
      </c>
      <c r="L1545" t="s">
        <v>22</v>
      </c>
      <c r="M1545">
        <v>8600.34</v>
      </c>
      <c r="N1545">
        <v>2020</v>
      </c>
      <c r="O1545">
        <v>5</v>
      </c>
    </row>
    <row r="1546" spans="1:15" x14ac:dyDescent="0.3">
      <c r="A1546" s="1">
        <v>43980</v>
      </c>
      <c r="B1546">
        <v>1000006859</v>
      </c>
      <c r="C1546" t="s">
        <v>42</v>
      </c>
      <c r="D1546">
        <v>1</v>
      </c>
      <c r="E1546">
        <v>17000.09</v>
      </c>
      <c r="F1546" t="s">
        <v>16</v>
      </c>
      <c r="G1546" t="s">
        <v>43</v>
      </c>
      <c r="H1546" t="s">
        <v>18</v>
      </c>
      <c r="I1546" t="s">
        <v>61</v>
      </c>
      <c r="J1546" t="s">
        <v>26</v>
      </c>
      <c r="K1546" t="s">
        <v>62</v>
      </c>
      <c r="L1546" t="s">
        <v>22</v>
      </c>
      <c r="M1546">
        <v>17000.09</v>
      </c>
      <c r="N1546">
        <v>2020</v>
      </c>
      <c r="O1546">
        <v>5</v>
      </c>
    </row>
    <row r="1547" spans="1:15" x14ac:dyDescent="0.3">
      <c r="A1547" s="1">
        <v>43980</v>
      </c>
      <c r="B1547">
        <v>1000000029</v>
      </c>
      <c r="C1547" t="s">
        <v>23</v>
      </c>
      <c r="D1547">
        <v>2</v>
      </c>
      <c r="E1547">
        <v>15000.34</v>
      </c>
      <c r="F1547" t="s">
        <v>16</v>
      </c>
      <c r="G1547" t="s">
        <v>24</v>
      </c>
      <c r="H1547" t="s">
        <v>18</v>
      </c>
      <c r="I1547" t="s">
        <v>19</v>
      </c>
      <c r="J1547" t="s">
        <v>20</v>
      </c>
      <c r="K1547" t="s">
        <v>21</v>
      </c>
      <c r="L1547" t="s">
        <v>22</v>
      </c>
      <c r="M1547">
        <v>7500.17</v>
      </c>
      <c r="N1547">
        <v>2020</v>
      </c>
      <c r="O1547">
        <v>5</v>
      </c>
    </row>
    <row r="1548" spans="1:15" x14ac:dyDescent="0.3">
      <c r="A1548" s="1">
        <v>43980</v>
      </c>
      <c r="B1548">
        <v>1000000052</v>
      </c>
      <c r="C1548" t="s">
        <v>15</v>
      </c>
      <c r="D1548">
        <v>1</v>
      </c>
      <c r="E1548">
        <v>15000.21</v>
      </c>
      <c r="F1548" t="s">
        <v>16</v>
      </c>
      <c r="G1548" t="s">
        <v>17</v>
      </c>
      <c r="H1548" t="s">
        <v>18</v>
      </c>
      <c r="I1548" t="s">
        <v>34</v>
      </c>
      <c r="J1548" t="s">
        <v>20</v>
      </c>
      <c r="K1548" t="s">
        <v>44</v>
      </c>
      <c r="L1548" t="s">
        <v>22</v>
      </c>
      <c r="M1548">
        <v>15000.21</v>
      </c>
      <c r="N1548">
        <v>2020</v>
      </c>
      <c r="O1548">
        <v>5</v>
      </c>
    </row>
    <row r="1549" spans="1:15" x14ac:dyDescent="0.3">
      <c r="A1549" s="1">
        <v>43980</v>
      </c>
      <c r="B1549">
        <v>1000000039</v>
      </c>
      <c r="C1549" t="s">
        <v>15</v>
      </c>
      <c r="D1549">
        <v>2</v>
      </c>
      <c r="E1549">
        <v>13000.720000000001</v>
      </c>
      <c r="F1549" t="s">
        <v>16</v>
      </c>
      <c r="G1549" t="s">
        <v>17</v>
      </c>
      <c r="H1549" t="s">
        <v>18</v>
      </c>
      <c r="I1549" t="s">
        <v>25</v>
      </c>
      <c r="J1549" t="s">
        <v>20</v>
      </c>
      <c r="K1549" t="s">
        <v>51</v>
      </c>
      <c r="L1549" t="s">
        <v>28</v>
      </c>
      <c r="M1549">
        <v>6500.3600000000006</v>
      </c>
      <c r="N1549">
        <v>2020</v>
      </c>
      <c r="O1549">
        <v>5</v>
      </c>
    </row>
    <row r="1550" spans="1:15" x14ac:dyDescent="0.3">
      <c r="A1550" s="1">
        <v>43980</v>
      </c>
      <c r="B1550">
        <v>1000000067</v>
      </c>
      <c r="C1550" t="s">
        <v>42</v>
      </c>
      <c r="D1550">
        <v>1</v>
      </c>
      <c r="E1550">
        <v>13000.46</v>
      </c>
      <c r="F1550" t="s">
        <v>16</v>
      </c>
      <c r="G1550" t="s">
        <v>43</v>
      </c>
      <c r="H1550" t="s">
        <v>18</v>
      </c>
      <c r="I1550" t="s">
        <v>25</v>
      </c>
      <c r="J1550" t="s">
        <v>20</v>
      </c>
      <c r="K1550" t="s">
        <v>51</v>
      </c>
      <c r="L1550" t="s">
        <v>22</v>
      </c>
      <c r="M1550">
        <v>13000.46</v>
      </c>
      <c r="N1550">
        <v>2020</v>
      </c>
      <c r="O1550">
        <v>5</v>
      </c>
    </row>
    <row r="1551" spans="1:15" x14ac:dyDescent="0.3">
      <c r="A1551" s="1">
        <v>43980</v>
      </c>
      <c r="B1551">
        <v>1000005873</v>
      </c>
      <c r="C1551" t="s">
        <v>23</v>
      </c>
      <c r="D1551">
        <v>1</v>
      </c>
      <c r="E1551">
        <v>13000.01</v>
      </c>
      <c r="F1551" t="s">
        <v>16</v>
      </c>
      <c r="G1551" t="s">
        <v>24</v>
      </c>
      <c r="H1551" t="s">
        <v>18</v>
      </c>
      <c r="I1551" t="s">
        <v>19</v>
      </c>
      <c r="J1551" t="s">
        <v>20</v>
      </c>
      <c r="K1551" t="s">
        <v>21</v>
      </c>
      <c r="L1551" t="s">
        <v>28</v>
      </c>
      <c r="M1551">
        <v>13000.01</v>
      </c>
      <c r="N1551">
        <v>2020</v>
      </c>
      <c r="O1551">
        <v>5</v>
      </c>
    </row>
    <row r="1552" spans="1:15" x14ac:dyDescent="0.3">
      <c r="A1552" s="1">
        <v>43980</v>
      </c>
      <c r="B1552">
        <v>1000006064</v>
      </c>
      <c r="C1552" t="s">
        <v>42</v>
      </c>
      <c r="D1552">
        <v>1</v>
      </c>
      <c r="E1552">
        <v>12000.62</v>
      </c>
      <c r="F1552" t="s">
        <v>16</v>
      </c>
      <c r="G1552" t="s">
        <v>43</v>
      </c>
      <c r="H1552" t="s">
        <v>18</v>
      </c>
      <c r="I1552" t="s">
        <v>40</v>
      </c>
      <c r="J1552" t="s">
        <v>26</v>
      </c>
      <c r="K1552" t="s">
        <v>41</v>
      </c>
      <c r="L1552" t="s">
        <v>22</v>
      </c>
      <c r="M1552">
        <v>12000.62</v>
      </c>
      <c r="N1552">
        <v>2020</v>
      </c>
      <c r="O1552">
        <v>5</v>
      </c>
    </row>
    <row r="1553" spans="1:15" x14ac:dyDescent="0.3">
      <c r="A1553" s="1">
        <v>43980</v>
      </c>
      <c r="B1553">
        <v>1000004256</v>
      </c>
      <c r="C1553" t="s">
        <v>15</v>
      </c>
      <c r="D1553">
        <v>1</v>
      </c>
      <c r="E1553">
        <v>12000.35</v>
      </c>
      <c r="F1553" t="s">
        <v>16</v>
      </c>
      <c r="G1553" t="s">
        <v>17</v>
      </c>
      <c r="H1553" t="s">
        <v>18</v>
      </c>
      <c r="I1553" t="s">
        <v>40</v>
      </c>
      <c r="J1553" t="s">
        <v>26</v>
      </c>
      <c r="K1553" t="s">
        <v>41</v>
      </c>
      <c r="L1553" t="s">
        <v>22</v>
      </c>
      <c r="M1553">
        <v>12000.35</v>
      </c>
      <c r="N1553">
        <v>2020</v>
      </c>
      <c r="O1553">
        <v>5</v>
      </c>
    </row>
    <row r="1554" spans="1:15" x14ac:dyDescent="0.3">
      <c r="A1554" s="1">
        <v>43980</v>
      </c>
      <c r="B1554">
        <v>1000006867</v>
      </c>
      <c r="C1554" t="s">
        <v>15</v>
      </c>
      <c r="D1554">
        <v>1</v>
      </c>
      <c r="E1554">
        <v>12000.28</v>
      </c>
      <c r="F1554" t="s">
        <v>16</v>
      </c>
      <c r="G1554" t="s">
        <v>17</v>
      </c>
      <c r="H1554" t="s">
        <v>18</v>
      </c>
      <c r="I1554" t="s">
        <v>61</v>
      </c>
      <c r="J1554" t="s">
        <v>26</v>
      </c>
      <c r="K1554" t="s">
        <v>62</v>
      </c>
      <c r="L1554" t="s">
        <v>22</v>
      </c>
      <c r="M1554">
        <v>12000.28</v>
      </c>
      <c r="N1554">
        <v>2020</v>
      </c>
      <c r="O1554">
        <v>5</v>
      </c>
    </row>
    <row r="1555" spans="1:15" x14ac:dyDescent="0.3">
      <c r="A1555" s="1">
        <v>43980</v>
      </c>
      <c r="B1555">
        <v>1000000030</v>
      </c>
      <c r="C1555" t="s">
        <v>23</v>
      </c>
      <c r="D1555">
        <v>2</v>
      </c>
      <c r="E1555">
        <v>11999.95</v>
      </c>
      <c r="F1555" t="s">
        <v>16</v>
      </c>
      <c r="G1555" t="s">
        <v>24</v>
      </c>
      <c r="H1555" t="s">
        <v>47</v>
      </c>
      <c r="I1555" t="s">
        <v>48</v>
      </c>
      <c r="J1555" t="s">
        <v>36</v>
      </c>
      <c r="K1555" t="s">
        <v>49</v>
      </c>
      <c r="L1555" t="s">
        <v>22</v>
      </c>
      <c r="M1555">
        <v>5999.9750000000004</v>
      </c>
      <c r="N1555">
        <v>2020</v>
      </c>
      <c r="O1555">
        <v>5</v>
      </c>
    </row>
    <row r="1556" spans="1:15" x14ac:dyDescent="0.3">
      <c r="A1556" s="1">
        <v>43980</v>
      </c>
      <c r="B1556">
        <v>1000000046</v>
      </c>
      <c r="C1556" t="s">
        <v>23</v>
      </c>
      <c r="D1556">
        <v>2</v>
      </c>
      <c r="E1556">
        <v>10000.720000000001</v>
      </c>
      <c r="F1556" t="s">
        <v>16</v>
      </c>
      <c r="G1556" t="s">
        <v>24</v>
      </c>
      <c r="H1556" t="s">
        <v>30</v>
      </c>
      <c r="I1556" t="s">
        <v>38</v>
      </c>
      <c r="J1556" t="s">
        <v>26</v>
      </c>
      <c r="K1556" t="s">
        <v>39</v>
      </c>
      <c r="L1556" t="s">
        <v>22</v>
      </c>
      <c r="M1556">
        <v>5000.3600000000006</v>
      </c>
      <c r="N1556">
        <v>2020</v>
      </c>
      <c r="O1556">
        <v>5</v>
      </c>
    </row>
    <row r="1557" spans="1:15" x14ac:dyDescent="0.3">
      <c r="A1557" s="1">
        <v>43980</v>
      </c>
      <c r="B1557">
        <v>1000003989</v>
      </c>
      <c r="C1557" t="s">
        <v>15</v>
      </c>
      <c r="D1557">
        <v>1</v>
      </c>
      <c r="E1557">
        <v>10000.65</v>
      </c>
      <c r="F1557" t="s">
        <v>16</v>
      </c>
      <c r="G1557" t="s">
        <v>17</v>
      </c>
      <c r="H1557" t="s">
        <v>30</v>
      </c>
      <c r="I1557" t="s">
        <v>31</v>
      </c>
      <c r="J1557" t="s">
        <v>36</v>
      </c>
      <c r="K1557" t="s">
        <v>52</v>
      </c>
      <c r="L1557" t="s">
        <v>22</v>
      </c>
      <c r="M1557">
        <v>10000.65</v>
      </c>
      <c r="N1557">
        <v>2020</v>
      </c>
      <c r="O1557">
        <v>5</v>
      </c>
    </row>
    <row r="1558" spans="1:15" x14ac:dyDescent="0.3">
      <c r="A1558" s="1">
        <v>43980</v>
      </c>
      <c r="B1558">
        <v>1000000043</v>
      </c>
      <c r="C1558" t="s">
        <v>42</v>
      </c>
      <c r="D1558">
        <v>1</v>
      </c>
      <c r="E1558">
        <v>10000.14</v>
      </c>
      <c r="F1558" t="s">
        <v>16</v>
      </c>
      <c r="G1558" t="s">
        <v>43</v>
      </c>
      <c r="H1558" t="s">
        <v>30</v>
      </c>
      <c r="I1558" t="s">
        <v>38</v>
      </c>
      <c r="J1558" t="s">
        <v>26</v>
      </c>
      <c r="K1558" t="s">
        <v>39</v>
      </c>
      <c r="L1558" t="s">
        <v>22</v>
      </c>
      <c r="M1558">
        <v>10000.14</v>
      </c>
      <c r="N1558">
        <v>2020</v>
      </c>
      <c r="O1558">
        <v>5</v>
      </c>
    </row>
    <row r="1559" spans="1:15" x14ac:dyDescent="0.3">
      <c r="A1559" s="1">
        <v>43980</v>
      </c>
      <c r="B1559">
        <v>1000004170</v>
      </c>
      <c r="C1559" t="s">
        <v>15</v>
      </c>
      <c r="D1559">
        <v>1</v>
      </c>
      <c r="E1559">
        <v>9000.6299999999992</v>
      </c>
      <c r="F1559" t="s">
        <v>16</v>
      </c>
      <c r="G1559" t="s">
        <v>17</v>
      </c>
      <c r="H1559" t="s">
        <v>18</v>
      </c>
      <c r="I1559" t="s">
        <v>34</v>
      </c>
      <c r="J1559" t="s">
        <v>20</v>
      </c>
      <c r="K1559" t="s">
        <v>44</v>
      </c>
      <c r="L1559" t="s">
        <v>28</v>
      </c>
      <c r="M1559">
        <v>9000.6299999999992</v>
      </c>
      <c r="N1559">
        <v>2020</v>
      </c>
      <c r="O1559">
        <v>5</v>
      </c>
    </row>
    <row r="1560" spans="1:15" x14ac:dyDescent="0.3">
      <c r="A1560" s="1">
        <v>43980</v>
      </c>
      <c r="B1560">
        <v>1000000056</v>
      </c>
      <c r="C1560" t="s">
        <v>23</v>
      </c>
      <c r="D1560">
        <v>2</v>
      </c>
      <c r="E1560">
        <v>8600.9699999999993</v>
      </c>
      <c r="F1560" t="s">
        <v>16</v>
      </c>
      <c r="G1560" t="s">
        <v>24</v>
      </c>
      <c r="H1560" t="s">
        <v>18</v>
      </c>
      <c r="I1560" t="s">
        <v>34</v>
      </c>
      <c r="J1560" t="s">
        <v>26</v>
      </c>
      <c r="K1560" t="s">
        <v>35</v>
      </c>
      <c r="L1560" t="s">
        <v>28</v>
      </c>
      <c r="M1560">
        <v>4300.4849999999997</v>
      </c>
      <c r="N1560">
        <v>2020</v>
      </c>
      <c r="O1560">
        <v>5</v>
      </c>
    </row>
    <row r="1561" spans="1:15" x14ac:dyDescent="0.3">
      <c r="A1561" s="1">
        <v>43980</v>
      </c>
      <c r="B1561">
        <v>1000008228</v>
      </c>
      <c r="C1561" t="s">
        <v>42</v>
      </c>
      <c r="D1561">
        <v>1</v>
      </c>
      <c r="E1561">
        <v>8000.25</v>
      </c>
      <c r="F1561" t="s">
        <v>16</v>
      </c>
      <c r="G1561" t="s">
        <v>43</v>
      </c>
      <c r="H1561" t="s">
        <v>30</v>
      </c>
      <c r="I1561" t="s">
        <v>31</v>
      </c>
      <c r="J1561" t="s">
        <v>36</v>
      </c>
      <c r="K1561" t="s">
        <v>52</v>
      </c>
      <c r="L1561" t="s">
        <v>22</v>
      </c>
      <c r="M1561">
        <v>8000.25</v>
      </c>
      <c r="N1561">
        <v>2020</v>
      </c>
      <c r="O1561">
        <v>5</v>
      </c>
    </row>
    <row r="1562" spans="1:15" x14ac:dyDescent="0.3">
      <c r="A1562" s="1">
        <v>43980</v>
      </c>
      <c r="B1562">
        <v>1000000054</v>
      </c>
      <c r="C1562" t="s">
        <v>15</v>
      </c>
      <c r="D1562">
        <v>1</v>
      </c>
      <c r="E1562">
        <v>7500.58</v>
      </c>
      <c r="F1562" t="s">
        <v>16</v>
      </c>
      <c r="G1562" t="s">
        <v>17</v>
      </c>
      <c r="H1562" t="s">
        <v>18</v>
      </c>
      <c r="I1562" t="s">
        <v>34</v>
      </c>
      <c r="J1562" t="s">
        <v>26</v>
      </c>
      <c r="K1562" t="s">
        <v>35</v>
      </c>
      <c r="L1562" t="s">
        <v>22</v>
      </c>
      <c r="M1562">
        <v>7500.58</v>
      </c>
      <c r="N1562">
        <v>2020</v>
      </c>
      <c r="O1562">
        <v>5</v>
      </c>
    </row>
    <row r="1563" spans="1:15" x14ac:dyDescent="0.3">
      <c r="A1563" s="1">
        <v>43980</v>
      </c>
      <c r="B1563">
        <v>1000006869</v>
      </c>
      <c r="C1563" t="s">
        <v>23</v>
      </c>
      <c r="D1563">
        <v>1</v>
      </c>
      <c r="E1563">
        <v>7000.54</v>
      </c>
      <c r="F1563" t="s">
        <v>16</v>
      </c>
      <c r="G1563" t="s">
        <v>24</v>
      </c>
      <c r="H1563" t="s">
        <v>18</v>
      </c>
      <c r="I1563" t="s">
        <v>61</v>
      </c>
      <c r="J1563" t="s">
        <v>26</v>
      </c>
      <c r="K1563" t="s">
        <v>62</v>
      </c>
      <c r="L1563" t="s">
        <v>22</v>
      </c>
      <c r="M1563">
        <v>7000.54</v>
      </c>
      <c r="N1563">
        <v>2020</v>
      </c>
      <c r="O1563">
        <v>5</v>
      </c>
    </row>
    <row r="1564" spans="1:15" x14ac:dyDescent="0.3">
      <c r="A1564" s="1">
        <v>43980</v>
      </c>
      <c r="B1564">
        <v>1000000044</v>
      </c>
      <c r="C1564" t="s">
        <v>23</v>
      </c>
      <c r="D1564">
        <v>1</v>
      </c>
      <c r="E1564">
        <v>7000.02</v>
      </c>
      <c r="F1564" t="s">
        <v>16</v>
      </c>
      <c r="G1564" t="s">
        <v>24</v>
      </c>
      <c r="H1564" t="s">
        <v>30</v>
      </c>
      <c r="I1564" t="s">
        <v>31</v>
      </c>
      <c r="J1564" t="s">
        <v>36</v>
      </c>
      <c r="K1564" t="s">
        <v>52</v>
      </c>
      <c r="L1564" t="s">
        <v>28</v>
      </c>
      <c r="M1564">
        <v>7000.02</v>
      </c>
      <c r="N1564">
        <v>2020</v>
      </c>
      <c r="O1564">
        <v>5</v>
      </c>
    </row>
    <row r="1565" spans="1:15" x14ac:dyDescent="0.3">
      <c r="A1565" s="1">
        <v>43980</v>
      </c>
      <c r="B1565">
        <v>1000000056</v>
      </c>
      <c r="C1565" t="s">
        <v>15</v>
      </c>
      <c r="D1565">
        <v>1</v>
      </c>
      <c r="E1565">
        <v>6500.74</v>
      </c>
      <c r="F1565" t="s">
        <v>16</v>
      </c>
      <c r="G1565" t="s">
        <v>17</v>
      </c>
      <c r="H1565" t="s">
        <v>18</v>
      </c>
      <c r="I1565" t="s">
        <v>34</v>
      </c>
      <c r="J1565" t="s">
        <v>26</v>
      </c>
      <c r="K1565" t="s">
        <v>35</v>
      </c>
      <c r="L1565" t="s">
        <v>28</v>
      </c>
      <c r="M1565">
        <v>6500.74</v>
      </c>
      <c r="N1565">
        <v>2020</v>
      </c>
      <c r="O1565">
        <v>5</v>
      </c>
    </row>
    <row r="1566" spans="1:15" x14ac:dyDescent="0.3">
      <c r="A1566" s="1">
        <v>43980</v>
      </c>
      <c r="B1566">
        <v>1000008957</v>
      </c>
      <c r="C1566" t="s">
        <v>42</v>
      </c>
      <c r="D1566">
        <v>1</v>
      </c>
      <c r="E1566">
        <v>6500.45</v>
      </c>
      <c r="F1566" t="s">
        <v>16</v>
      </c>
      <c r="G1566" t="s">
        <v>43</v>
      </c>
      <c r="H1566" t="s">
        <v>18</v>
      </c>
      <c r="I1566" t="s">
        <v>34</v>
      </c>
      <c r="J1566" t="s">
        <v>20</v>
      </c>
      <c r="K1566" t="s">
        <v>44</v>
      </c>
      <c r="L1566" t="s">
        <v>22</v>
      </c>
      <c r="M1566">
        <v>6500.45</v>
      </c>
      <c r="N1566">
        <v>2020</v>
      </c>
      <c r="O1566">
        <v>5</v>
      </c>
    </row>
    <row r="1567" spans="1:15" x14ac:dyDescent="0.3">
      <c r="A1567" s="1">
        <v>43980</v>
      </c>
      <c r="B1567">
        <v>1000000104</v>
      </c>
      <c r="C1567" t="s">
        <v>42</v>
      </c>
      <c r="D1567">
        <v>1</v>
      </c>
      <c r="E1567">
        <v>6000.29</v>
      </c>
      <c r="F1567" t="s">
        <v>16</v>
      </c>
      <c r="G1567" t="s">
        <v>43</v>
      </c>
      <c r="H1567" t="s">
        <v>18</v>
      </c>
      <c r="I1567" t="s">
        <v>40</v>
      </c>
      <c r="J1567" t="s">
        <v>26</v>
      </c>
      <c r="K1567" t="s">
        <v>41</v>
      </c>
      <c r="L1567" t="s">
        <v>22</v>
      </c>
      <c r="M1567">
        <v>6000.29</v>
      </c>
      <c r="N1567">
        <v>2020</v>
      </c>
      <c r="O1567">
        <v>5</v>
      </c>
    </row>
    <row r="1568" spans="1:15" x14ac:dyDescent="0.3">
      <c r="A1568" s="1">
        <v>43980</v>
      </c>
      <c r="B1568">
        <v>1000000036</v>
      </c>
      <c r="C1568" t="s">
        <v>15</v>
      </c>
      <c r="D1568">
        <v>1</v>
      </c>
      <c r="E1568">
        <v>5500.56</v>
      </c>
      <c r="F1568" t="s">
        <v>16</v>
      </c>
      <c r="G1568" t="s">
        <v>17</v>
      </c>
      <c r="H1568" t="s">
        <v>47</v>
      </c>
      <c r="I1568" t="s">
        <v>48</v>
      </c>
      <c r="J1568" t="s">
        <v>36</v>
      </c>
      <c r="K1568" t="s">
        <v>49</v>
      </c>
      <c r="L1568" t="s">
        <v>28</v>
      </c>
      <c r="M1568">
        <v>5500.56</v>
      </c>
      <c r="N1568">
        <v>2020</v>
      </c>
      <c r="O1568">
        <v>5</v>
      </c>
    </row>
    <row r="1569" spans="1:15" x14ac:dyDescent="0.3">
      <c r="A1569" s="1">
        <v>43980</v>
      </c>
      <c r="B1569">
        <v>1000000036</v>
      </c>
      <c r="C1569" t="s">
        <v>42</v>
      </c>
      <c r="D1569">
        <v>1</v>
      </c>
      <c r="E1569">
        <v>5499.96</v>
      </c>
      <c r="F1569" t="s">
        <v>16</v>
      </c>
      <c r="G1569" t="s">
        <v>43</v>
      </c>
      <c r="H1569" t="s">
        <v>47</v>
      </c>
      <c r="I1569" t="s">
        <v>48</v>
      </c>
      <c r="J1569" t="s">
        <v>36</v>
      </c>
      <c r="K1569" t="s">
        <v>49</v>
      </c>
      <c r="L1569" t="s">
        <v>28</v>
      </c>
      <c r="M1569">
        <v>5499.96</v>
      </c>
      <c r="N1569">
        <v>2020</v>
      </c>
      <c r="O1569">
        <v>5</v>
      </c>
    </row>
    <row r="1570" spans="1:15" x14ac:dyDescent="0.3">
      <c r="A1570" s="1">
        <v>43980</v>
      </c>
      <c r="B1570">
        <v>1000000028</v>
      </c>
      <c r="C1570" t="s">
        <v>42</v>
      </c>
      <c r="D1570">
        <v>1</v>
      </c>
      <c r="E1570">
        <v>4255.2</v>
      </c>
      <c r="F1570" t="s">
        <v>16</v>
      </c>
      <c r="G1570" t="s">
        <v>43</v>
      </c>
      <c r="H1570" t="s">
        <v>18</v>
      </c>
      <c r="I1570" t="s">
        <v>19</v>
      </c>
      <c r="J1570" t="s">
        <v>20</v>
      </c>
      <c r="K1570" t="s">
        <v>21</v>
      </c>
      <c r="L1570" t="s">
        <v>22</v>
      </c>
      <c r="M1570">
        <v>4255.2</v>
      </c>
      <c r="N1570">
        <v>2020</v>
      </c>
      <c r="O1570">
        <v>5</v>
      </c>
    </row>
    <row r="1571" spans="1:15" x14ac:dyDescent="0.3">
      <c r="A1571" s="1">
        <v>43980</v>
      </c>
      <c r="B1571">
        <v>1000000041</v>
      </c>
      <c r="C1571" t="s">
        <v>23</v>
      </c>
      <c r="D1571">
        <v>1</v>
      </c>
      <c r="E1571">
        <v>4001.1899999999996</v>
      </c>
      <c r="F1571" t="s">
        <v>16</v>
      </c>
      <c r="G1571" t="s">
        <v>24</v>
      </c>
      <c r="H1571" t="s">
        <v>30</v>
      </c>
      <c r="I1571" t="s">
        <v>31</v>
      </c>
      <c r="J1571" t="s">
        <v>32</v>
      </c>
      <c r="K1571" t="s">
        <v>33</v>
      </c>
      <c r="L1571" t="s">
        <v>22</v>
      </c>
      <c r="M1571">
        <v>4001.19</v>
      </c>
      <c r="N1571">
        <v>2020</v>
      </c>
      <c r="O1571">
        <v>5</v>
      </c>
    </row>
    <row r="1572" spans="1:15" x14ac:dyDescent="0.3">
      <c r="A1572" s="1">
        <v>43980</v>
      </c>
      <c r="B1572">
        <v>1000000036</v>
      </c>
      <c r="C1572" t="s">
        <v>23</v>
      </c>
      <c r="D1572">
        <v>1</v>
      </c>
      <c r="E1572">
        <v>3000.55</v>
      </c>
      <c r="F1572" t="s">
        <v>16</v>
      </c>
      <c r="G1572" t="s">
        <v>24</v>
      </c>
      <c r="H1572" t="s">
        <v>47</v>
      </c>
      <c r="I1572" t="s">
        <v>48</v>
      </c>
      <c r="J1572" t="s">
        <v>36</v>
      </c>
      <c r="K1572" t="s">
        <v>49</v>
      </c>
      <c r="L1572" t="s">
        <v>28</v>
      </c>
      <c r="M1572">
        <v>3000.55</v>
      </c>
      <c r="N1572">
        <v>2020</v>
      </c>
      <c r="O1572">
        <v>5</v>
      </c>
    </row>
    <row r="1573" spans="1:15" x14ac:dyDescent="0.3">
      <c r="A1573" s="1">
        <v>43980</v>
      </c>
      <c r="B1573">
        <v>1000000034</v>
      </c>
      <c r="C1573" t="s">
        <v>15</v>
      </c>
      <c r="D1573">
        <v>1</v>
      </c>
      <c r="E1573">
        <v>3000.35</v>
      </c>
      <c r="F1573" t="s">
        <v>16</v>
      </c>
      <c r="G1573" t="s">
        <v>17</v>
      </c>
      <c r="H1573" t="s">
        <v>18</v>
      </c>
      <c r="I1573" t="s">
        <v>25</v>
      </c>
      <c r="J1573" t="s">
        <v>26</v>
      </c>
      <c r="K1573" t="s">
        <v>27</v>
      </c>
      <c r="L1573" t="s">
        <v>22</v>
      </c>
      <c r="M1573">
        <v>3000.35</v>
      </c>
      <c r="N1573">
        <v>2020</v>
      </c>
      <c r="O1573">
        <v>5</v>
      </c>
    </row>
    <row r="1574" spans="1:15" x14ac:dyDescent="0.3">
      <c r="A1574" s="1">
        <v>43980</v>
      </c>
      <c r="B1574">
        <v>1000000050</v>
      </c>
      <c r="C1574" t="s">
        <v>23</v>
      </c>
      <c r="D1574">
        <v>1</v>
      </c>
      <c r="E1574">
        <v>1800.06</v>
      </c>
      <c r="F1574" t="s">
        <v>16</v>
      </c>
      <c r="G1574" t="s">
        <v>24</v>
      </c>
      <c r="H1574" t="s">
        <v>18</v>
      </c>
      <c r="I1574" t="s">
        <v>40</v>
      </c>
      <c r="J1574" t="s">
        <v>26</v>
      </c>
      <c r="K1574" t="s">
        <v>41</v>
      </c>
      <c r="L1574" t="s">
        <v>22</v>
      </c>
      <c r="M1574">
        <v>1800.06</v>
      </c>
      <c r="N1574">
        <v>2020</v>
      </c>
      <c r="O1574">
        <v>5</v>
      </c>
    </row>
    <row r="1575" spans="1:15" x14ac:dyDescent="0.3">
      <c r="A1575" s="1">
        <v>43980</v>
      </c>
      <c r="B1575">
        <v>1000000033</v>
      </c>
      <c r="C1575" t="s">
        <v>23</v>
      </c>
      <c r="D1575">
        <v>1</v>
      </c>
      <c r="E1575">
        <v>1500.16</v>
      </c>
      <c r="F1575" t="s">
        <v>16</v>
      </c>
      <c r="G1575" t="s">
        <v>24</v>
      </c>
      <c r="H1575" t="s">
        <v>18</v>
      </c>
      <c r="I1575" t="s">
        <v>25</v>
      </c>
      <c r="J1575" t="s">
        <v>26</v>
      </c>
      <c r="K1575" t="s">
        <v>27</v>
      </c>
      <c r="L1575" t="s">
        <v>22</v>
      </c>
      <c r="M1575">
        <v>1500.16</v>
      </c>
      <c r="N1575">
        <v>2020</v>
      </c>
      <c r="O1575">
        <v>5</v>
      </c>
    </row>
    <row r="1576" spans="1:15" x14ac:dyDescent="0.3">
      <c r="A1576" s="1">
        <v>43980</v>
      </c>
      <c r="B1576">
        <v>1000000031</v>
      </c>
      <c r="C1576" t="s">
        <v>42</v>
      </c>
      <c r="D1576">
        <v>1</v>
      </c>
      <c r="E1576">
        <v>500.59</v>
      </c>
      <c r="F1576" t="s">
        <v>16</v>
      </c>
      <c r="G1576" t="s">
        <v>43</v>
      </c>
      <c r="H1576" t="s">
        <v>18</v>
      </c>
      <c r="I1576" t="s">
        <v>19</v>
      </c>
      <c r="J1576" t="s">
        <v>26</v>
      </c>
      <c r="K1576" t="s">
        <v>29</v>
      </c>
      <c r="L1576" t="s">
        <v>28</v>
      </c>
      <c r="M1576">
        <v>500.59</v>
      </c>
      <c r="N1576">
        <v>2020</v>
      </c>
      <c r="O1576">
        <v>5</v>
      </c>
    </row>
    <row r="1577" spans="1:15" x14ac:dyDescent="0.3">
      <c r="A1577" s="1">
        <v>43981</v>
      </c>
      <c r="B1577">
        <v>1000000031</v>
      </c>
      <c r="C1577" t="s">
        <v>23</v>
      </c>
      <c r="D1577">
        <v>5</v>
      </c>
      <c r="E1577">
        <v>42639.06</v>
      </c>
      <c r="F1577" t="s">
        <v>16</v>
      </c>
      <c r="G1577" t="s">
        <v>24</v>
      </c>
      <c r="H1577" t="s">
        <v>18</v>
      </c>
      <c r="I1577" t="s">
        <v>19</v>
      </c>
      <c r="J1577" t="s">
        <v>26</v>
      </c>
      <c r="K1577" t="s">
        <v>29</v>
      </c>
      <c r="L1577" t="s">
        <v>28</v>
      </c>
      <c r="M1577">
        <v>8527.8119999999999</v>
      </c>
      <c r="N1577">
        <v>2020</v>
      </c>
      <c r="O1577">
        <v>5</v>
      </c>
    </row>
    <row r="1578" spans="1:15" x14ac:dyDescent="0.3">
      <c r="A1578" s="1">
        <v>43981</v>
      </c>
      <c r="B1578">
        <v>1000000928</v>
      </c>
      <c r="C1578" t="s">
        <v>15</v>
      </c>
      <c r="D1578">
        <v>3</v>
      </c>
      <c r="E1578">
        <v>39000.479999999996</v>
      </c>
      <c r="F1578" t="s">
        <v>16</v>
      </c>
      <c r="G1578" t="s">
        <v>17</v>
      </c>
      <c r="H1578" t="s">
        <v>30</v>
      </c>
      <c r="I1578" t="s">
        <v>57</v>
      </c>
      <c r="J1578" t="s">
        <v>26</v>
      </c>
      <c r="K1578" t="s">
        <v>58</v>
      </c>
      <c r="L1578" t="s">
        <v>22</v>
      </c>
      <c r="M1578">
        <v>13000.159999999998</v>
      </c>
      <c r="N1578">
        <v>2020</v>
      </c>
      <c r="O1578">
        <v>5</v>
      </c>
    </row>
    <row r="1579" spans="1:15" x14ac:dyDescent="0.3">
      <c r="A1579" s="1">
        <v>43981</v>
      </c>
      <c r="B1579">
        <v>1000000040</v>
      </c>
      <c r="C1579" t="s">
        <v>23</v>
      </c>
      <c r="D1579">
        <v>3</v>
      </c>
      <c r="E1579">
        <v>36501.29</v>
      </c>
      <c r="F1579" t="s">
        <v>16</v>
      </c>
      <c r="G1579" t="s">
        <v>24</v>
      </c>
      <c r="H1579" t="s">
        <v>30</v>
      </c>
      <c r="I1579" t="s">
        <v>31</v>
      </c>
      <c r="J1579" t="s">
        <v>32</v>
      </c>
      <c r="K1579" t="s">
        <v>33</v>
      </c>
      <c r="L1579" t="s">
        <v>28</v>
      </c>
      <c r="M1579">
        <v>12167.096666666666</v>
      </c>
      <c r="N1579">
        <v>2020</v>
      </c>
      <c r="O1579">
        <v>5</v>
      </c>
    </row>
    <row r="1580" spans="1:15" x14ac:dyDescent="0.3">
      <c r="A1580" s="1">
        <v>43981</v>
      </c>
      <c r="B1580">
        <v>1000000029</v>
      </c>
      <c r="C1580" t="s">
        <v>15</v>
      </c>
      <c r="D1580">
        <v>1</v>
      </c>
      <c r="E1580">
        <v>30000.62</v>
      </c>
      <c r="F1580" t="s">
        <v>16</v>
      </c>
      <c r="G1580" t="s">
        <v>17</v>
      </c>
      <c r="H1580" t="s">
        <v>18</v>
      </c>
      <c r="I1580" t="s">
        <v>19</v>
      </c>
      <c r="J1580" t="s">
        <v>20</v>
      </c>
      <c r="K1580" t="s">
        <v>21</v>
      </c>
      <c r="L1580" t="s">
        <v>22</v>
      </c>
      <c r="M1580">
        <v>30000.62</v>
      </c>
      <c r="N1580">
        <v>2020</v>
      </c>
      <c r="O1580">
        <v>5</v>
      </c>
    </row>
    <row r="1581" spans="1:15" x14ac:dyDescent="0.3">
      <c r="A1581" s="1">
        <v>43981</v>
      </c>
      <c r="B1581">
        <v>1000000594</v>
      </c>
      <c r="C1581" t="s">
        <v>15</v>
      </c>
      <c r="D1581">
        <v>1</v>
      </c>
      <c r="E1581">
        <v>25000.71</v>
      </c>
      <c r="F1581" t="s">
        <v>16</v>
      </c>
      <c r="G1581" t="s">
        <v>17</v>
      </c>
      <c r="H1581" t="s">
        <v>18</v>
      </c>
      <c r="I1581" t="s">
        <v>25</v>
      </c>
      <c r="J1581" t="s">
        <v>20</v>
      </c>
      <c r="K1581" t="s">
        <v>51</v>
      </c>
      <c r="L1581" t="s">
        <v>22</v>
      </c>
      <c r="M1581">
        <v>25000.71</v>
      </c>
      <c r="N1581">
        <v>2020</v>
      </c>
      <c r="O1581">
        <v>5</v>
      </c>
    </row>
    <row r="1582" spans="1:15" x14ac:dyDescent="0.3">
      <c r="A1582" s="1">
        <v>43981</v>
      </c>
      <c r="B1582">
        <v>1000006867</v>
      </c>
      <c r="C1582" t="s">
        <v>15</v>
      </c>
      <c r="D1582">
        <v>2</v>
      </c>
      <c r="E1582">
        <v>25000.37</v>
      </c>
      <c r="F1582" t="s">
        <v>16</v>
      </c>
      <c r="G1582" t="s">
        <v>17</v>
      </c>
      <c r="H1582" t="s">
        <v>18</v>
      </c>
      <c r="I1582" t="s">
        <v>61</v>
      </c>
      <c r="J1582" t="s">
        <v>26</v>
      </c>
      <c r="K1582" t="s">
        <v>62</v>
      </c>
      <c r="L1582" t="s">
        <v>22</v>
      </c>
      <c r="M1582">
        <v>12500.184999999999</v>
      </c>
      <c r="N1582">
        <v>2020</v>
      </c>
      <c r="O1582">
        <v>5</v>
      </c>
    </row>
    <row r="1583" spans="1:15" x14ac:dyDescent="0.3">
      <c r="A1583" s="1">
        <v>43981</v>
      </c>
      <c r="B1583">
        <v>1000000068</v>
      </c>
      <c r="C1583" t="s">
        <v>23</v>
      </c>
      <c r="D1583">
        <v>1</v>
      </c>
      <c r="E1583">
        <v>23000.76</v>
      </c>
      <c r="F1583" t="s">
        <v>16</v>
      </c>
      <c r="G1583" t="s">
        <v>24</v>
      </c>
      <c r="H1583" t="s">
        <v>30</v>
      </c>
      <c r="I1583" t="s">
        <v>55</v>
      </c>
      <c r="J1583" t="s">
        <v>26</v>
      </c>
      <c r="K1583" t="s">
        <v>56</v>
      </c>
      <c r="L1583" t="s">
        <v>28</v>
      </c>
      <c r="M1583">
        <v>23000.76</v>
      </c>
      <c r="N1583">
        <v>2020</v>
      </c>
      <c r="O1583">
        <v>5</v>
      </c>
    </row>
    <row r="1584" spans="1:15" x14ac:dyDescent="0.3">
      <c r="A1584" s="1">
        <v>43981</v>
      </c>
      <c r="B1584">
        <v>1000006859</v>
      </c>
      <c r="C1584" t="s">
        <v>42</v>
      </c>
      <c r="D1584">
        <v>2</v>
      </c>
      <c r="E1584">
        <v>22000.21</v>
      </c>
      <c r="F1584" t="s">
        <v>16</v>
      </c>
      <c r="G1584" t="s">
        <v>43</v>
      </c>
      <c r="H1584" t="s">
        <v>18</v>
      </c>
      <c r="I1584" t="s">
        <v>61</v>
      </c>
      <c r="J1584" t="s">
        <v>26</v>
      </c>
      <c r="K1584" t="s">
        <v>62</v>
      </c>
      <c r="L1584" t="s">
        <v>22</v>
      </c>
      <c r="M1584">
        <v>11000.105</v>
      </c>
      <c r="N1584">
        <v>2020</v>
      </c>
      <c r="O1584">
        <v>5</v>
      </c>
    </row>
    <row r="1585" spans="1:15" x14ac:dyDescent="0.3">
      <c r="A1585" s="1">
        <v>43981</v>
      </c>
      <c r="B1585">
        <v>1000000031</v>
      </c>
      <c r="C1585" t="s">
        <v>15</v>
      </c>
      <c r="D1585">
        <v>2</v>
      </c>
      <c r="E1585">
        <v>20500.71</v>
      </c>
      <c r="F1585" t="s">
        <v>16</v>
      </c>
      <c r="G1585" t="s">
        <v>17</v>
      </c>
      <c r="H1585" t="s">
        <v>18</v>
      </c>
      <c r="I1585" t="s">
        <v>19</v>
      </c>
      <c r="J1585" t="s">
        <v>26</v>
      </c>
      <c r="K1585" t="s">
        <v>29</v>
      </c>
      <c r="L1585" t="s">
        <v>28</v>
      </c>
      <c r="M1585">
        <v>10250.355</v>
      </c>
      <c r="N1585">
        <v>2020</v>
      </c>
      <c r="O1585">
        <v>5</v>
      </c>
    </row>
    <row r="1586" spans="1:15" x14ac:dyDescent="0.3">
      <c r="A1586" s="1">
        <v>43981</v>
      </c>
      <c r="B1586">
        <v>1000006867</v>
      </c>
      <c r="C1586" t="s">
        <v>23</v>
      </c>
      <c r="D1586">
        <v>1</v>
      </c>
      <c r="E1586">
        <v>20000.5</v>
      </c>
      <c r="F1586" t="s">
        <v>16</v>
      </c>
      <c r="G1586" t="s">
        <v>24</v>
      </c>
      <c r="H1586" t="s">
        <v>18</v>
      </c>
      <c r="I1586" t="s">
        <v>61</v>
      </c>
      <c r="J1586" t="s">
        <v>26</v>
      </c>
      <c r="K1586" t="s">
        <v>62</v>
      </c>
      <c r="L1586" t="s">
        <v>22</v>
      </c>
      <c r="M1586">
        <v>20000.5</v>
      </c>
      <c r="N1586">
        <v>2020</v>
      </c>
      <c r="O1586">
        <v>5</v>
      </c>
    </row>
    <row r="1587" spans="1:15" x14ac:dyDescent="0.3">
      <c r="A1587" s="1">
        <v>43981</v>
      </c>
      <c r="B1587">
        <v>1000000039</v>
      </c>
      <c r="C1587" t="s">
        <v>23</v>
      </c>
      <c r="D1587">
        <v>1</v>
      </c>
      <c r="E1587">
        <v>20000.36</v>
      </c>
      <c r="F1587" t="s">
        <v>16</v>
      </c>
      <c r="G1587" t="s">
        <v>24</v>
      </c>
      <c r="H1587" t="s">
        <v>18</v>
      </c>
      <c r="I1587" t="s">
        <v>25</v>
      </c>
      <c r="J1587" t="s">
        <v>20</v>
      </c>
      <c r="K1587" t="s">
        <v>51</v>
      </c>
      <c r="L1587" t="s">
        <v>28</v>
      </c>
      <c r="M1587">
        <v>20000.36</v>
      </c>
      <c r="N1587">
        <v>2020</v>
      </c>
      <c r="O1587">
        <v>5</v>
      </c>
    </row>
    <row r="1588" spans="1:15" x14ac:dyDescent="0.3">
      <c r="A1588" s="1">
        <v>43981</v>
      </c>
      <c r="B1588">
        <v>1000003489</v>
      </c>
      <c r="C1588" t="s">
        <v>23</v>
      </c>
      <c r="D1588">
        <v>2</v>
      </c>
      <c r="E1588">
        <v>19500.439999999999</v>
      </c>
      <c r="F1588" t="s">
        <v>16</v>
      </c>
      <c r="G1588" t="s">
        <v>24</v>
      </c>
      <c r="H1588" t="s">
        <v>47</v>
      </c>
      <c r="I1588" t="s">
        <v>48</v>
      </c>
      <c r="J1588" t="s">
        <v>26</v>
      </c>
      <c r="K1588" t="s">
        <v>50</v>
      </c>
      <c r="L1588" t="s">
        <v>22</v>
      </c>
      <c r="M1588">
        <v>9750.2199999999993</v>
      </c>
      <c r="N1588">
        <v>2020</v>
      </c>
      <c r="O1588">
        <v>5</v>
      </c>
    </row>
    <row r="1589" spans="1:15" x14ac:dyDescent="0.3">
      <c r="A1589" s="1">
        <v>43981</v>
      </c>
      <c r="B1589">
        <v>1000006867</v>
      </c>
      <c r="C1589" t="s">
        <v>42</v>
      </c>
      <c r="D1589">
        <v>1</v>
      </c>
      <c r="E1589">
        <v>18000.080000000002</v>
      </c>
      <c r="F1589" t="s">
        <v>16</v>
      </c>
      <c r="G1589" t="s">
        <v>43</v>
      </c>
      <c r="H1589" t="s">
        <v>18</v>
      </c>
      <c r="I1589" t="s">
        <v>61</v>
      </c>
      <c r="J1589" t="s">
        <v>26</v>
      </c>
      <c r="K1589" t="s">
        <v>62</v>
      </c>
      <c r="L1589" t="s">
        <v>22</v>
      </c>
      <c r="M1589">
        <v>18000.080000000002</v>
      </c>
      <c r="N1589">
        <v>2020</v>
      </c>
      <c r="O1589">
        <v>5</v>
      </c>
    </row>
    <row r="1590" spans="1:15" x14ac:dyDescent="0.3">
      <c r="A1590" s="1">
        <v>43981</v>
      </c>
      <c r="B1590">
        <v>1000005873</v>
      </c>
      <c r="C1590" t="s">
        <v>15</v>
      </c>
      <c r="D1590">
        <v>1</v>
      </c>
      <c r="E1590">
        <v>17000.509999999998</v>
      </c>
      <c r="F1590" t="s">
        <v>16</v>
      </c>
      <c r="G1590" t="s">
        <v>17</v>
      </c>
      <c r="H1590" t="s">
        <v>18</v>
      </c>
      <c r="I1590" t="s">
        <v>19</v>
      </c>
      <c r="J1590" t="s">
        <v>20</v>
      </c>
      <c r="K1590" t="s">
        <v>21</v>
      </c>
      <c r="L1590" t="s">
        <v>28</v>
      </c>
      <c r="M1590">
        <v>17000.509999999998</v>
      </c>
      <c r="N1590">
        <v>2020</v>
      </c>
      <c r="O1590">
        <v>5</v>
      </c>
    </row>
    <row r="1591" spans="1:15" x14ac:dyDescent="0.3">
      <c r="A1591" s="1">
        <v>43981</v>
      </c>
      <c r="B1591">
        <v>1000007197</v>
      </c>
      <c r="C1591" t="s">
        <v>15</v>
      </c>
      <c r="D1591">
        <v>1</v>
      </c>
      <c r="E1591">
        <v>17000.18</v>
      </c>
      <c r="F1591" t="s">
        <v>16</v>
      </c>
      <c r="G1591" t="s">
        <v>17</v>
      </c>
      <c r="H1591" t="s">
        <v>18</v>
      </c>
      <c r="I1591" t="s">
        <v>40</v>
      </c>
      <c r="J1591" t="s">
        <v>26</v>
      </c>
      <c r="K1591" t="s">
        <v>41</v>
      </c>
      <c r="L1591" t="s">
        <v>22</v>
      </c>
      <c r="M1591">
        <v>17000.18</v>
      </c>
      <c r="N1591">
        <v>2020</v>
      </c>
      <c r="O1591">
        <v>5</v>
      </c>
    </row>
    <row r="1592" spans="1:15" x14ac:dyDescent="0.3">
      <c r="A1592" s="1">
        <v>43981</v>
      </c>
      <c r="B1592">
        <v>1000006698</v>
      </c>
      <c r="C1592" t="s">
        <v>42</v>
      </c>
      <c r="D1592">
        <v>1</v>
      </c>
      <c r="E1592">
        <v>17000.13</v>
      </c>
      <c r="F1592" t="s">
        <v>16</v>
      </c>
      <c r="G1592" t="s">
        <v>43</v>
      </c>
      <c r="H1592" t="s">
        <v>30</v>
      </c>
      <c r="I1592" t="s">
        <v>38</v>
      </c>
      <c r="J1592" t="s">
        <v>26</v>
      </c>
      <c r="K1592" t="s">
        <v>39</v>
      </c>
      <c r="L1592" t="s">
        <v>28</v>
      </c>
      <c r="M1592">
        <v>17000.13</v>
      </c>
      <c r="N1592">
        <v>2020</v>
      </c>
      <c r="O1592">
        <v>5</v>
      </c>
    </row>
    <row r="1593" spans="1:15" x14ac:dyDescent="0.3">
      <c r="A1593" s="1">
        <v>43981</v>
      </c>
      <c r="B1593">
        <v>1000004256</v>
      </c>
      <c r="C1593" t="s">
        <v>23</v>
      </c>
      <c r="D1593">
        <v>2</v>
      </c>
      <c r="E1593">
        <v>16501.060000000001</v>
      </c>
      <c r="F1593" t="s">
        <v>16</v>
      </c>
      <c r="G1593" t="s">
        <v>24</v>
      </c>
      <c r="H1593" t="s">
        <v>18</v>
      </c>
      <c r="I1593" t="s">
        <v>40</v>
      </c>
      <c r="J1593" t="s">
        <v>26</v>
      </c>
      <c r="K1593" t="s">
        <v>41</v>
      </c>
      <c r="L1593" t="s">
        <v>22</v>
      </c>
      <c r="M1593">
        <v>8250.5300000000007</v>
      </c>
      <c r="N1593">
        <v>2020</v>
      </c>
      <c r="O1593">
        <v>5</v>
      </c>
    </row>
    <row r="1594" spans="1:15" x14ac:dyDescent="0.3">
      <c r="A1594" s="1">
        <v>43981</v>
      </c>
      <c r="B1594">
        <v>1000008239</v>
      </c>
      <c r="C1594" t="s">
        <v>15</v>
      </c>
      <c r="D1594">
        <v>1</v>
      </c>
      <c r="E1594">
        <v>16000.48</v>
      </c>
      <c r="F1594" t="s">
        <v>16</v>
      </c>
      <c r="G1594" t="s">
        <v>17</v>
      </c>
      <c r="H1594" t="s">
        <v>18</v>
      </c>
      <c r="I1594" t="s">
        <v>61</v>
      </c>
      <c r="J1594" t="s">
        <v>26</v>
      </c>
      <c r="K1594" t="s">
        <v>62</v>
      </c>
      <c r="L1594" t="s">
        <v>28</v>
      </c>
      <c r="M1594">
        <v>16000.48</v>
      </c>
      <c r="N1594">
        <v>2020</v>
      </c>
      <c r="O1594">
        <v>5</v>
      </c>
    </row>
    <row r="1595" spans="1:15" x14ac:dyDescent="0.3">
      <c r="A1595" s="1">
        <v>43981</v>
      </c>
      <c r="B1595">
        <v>1000000032</v>
      </c>
      <c r="C1595" t="s">
        <v>23</v>
      </c>
      <c r="D1595">
        <v>1</v>
      </c>
      <c r="E1595">
        <v>16000.35</v>
      </c>
      <c r="F1595" t="s">
        <v>16</v>
      </c>
      <c r="G1595" t="s">
        <v>24</v>
      </c>
      <c r="H1595" t="s">
        <v>18</v>
      </c>
      <c r="I1595" t="s">
        <v>25</v>
      </c>
      <c r="J1595" t="s">
        <v>26</v>
      </c>
      <c r="K1595" t="s">
        <v>27</v>
      </c>
      <c r="L1595" t="s">
        <v>28</v>
      </c>
      <c r="M1595">
        <v>16000.35</v>
      </c>
      <c r="N1595">
        <v>2020</v>
      </c>
      <c r="O1595">
        <v>5</v>
      </c>
    </row>
    <row r="1596" spans="1:15" x14ac:dyDescent="0.3">
      <c r="A1596" s="1">
        <v>43981</v>
      </c>
      <c r="B1596">
        <v>1000000037</v>
      </c>
      <c r="C1596" t="s">
        <v>42</v>
      </c>
      <c r="D1596">
        <v>1</v>
      </c>
      <c r="E1596">
        <v>15000.03</v>
      </c>
      <c r="F1596" t="s">
        <v>16</v>
      </c>
      <c r="G1596" t="s">
        <v>43</v>
      </c>
      <c r="H1596" t="s">
        <v>18</v>
      </c>
      <c r="I1596" t="s">
        <v>19</v>
      </c>
      <c r="J1596" t="s">
        <v>20</v>
      </c>
      <c r="K1596" t="s">
        <v>21</v>
      </c>
      <c r="L1596" t="s">
        <v>22</v>
      </c>
      <c r="M1596">
        <v>15000.03</v>
      </c>
      <c r="N1596">
        <v>2020</v>
      </c>
      <c r="O1596">
        <v>5</v>
      </c>
    </row>
    <row r="1597" spans="1:15" x14ac:dyDescent="0.3">
      <c r="A1597" s="1">
        <v>43981</v>
      </c>
      <c r="B1597">
        <v>1000000045</v>
      </c>
      <c r="C1597" t="s">
        <v>15</v>
      </c>
      <c r="D1597">
        <v>1</v>
      </c>
      <c r="E1597">
        <v>15000.03</v>
      </c>
      <c r="F1597" t="s">
        <v>16</v>
      </c>
      <c r="G1597" t="s">
        <v>17</v>
      </c>
      <c r="H1597" t="s">
        <v>47</v>
      </c>
      <c r="I1597" t="s">
        <v>59</v>
      </c>
      <c r="J1597" t="s">
        <v>26</v>
      </c>
      <c r="K1597" t="s">
        <v>60</v>
      </c>
      <c r="L1597" t="s">
        <v>22</v>
      </c>
      <c r="M1597">
        <v>15000.03</v>
      </c>
      <c r="N1597">
        <v>2020</v>
      </c>
      <c r="O1597">
        <v>5</v>
      </c>
    </row>
    <row r="1598" spans="1:15" x14ac:dyDescent="0.3">
      <c r="A1598" s="1">
        <v>43981</v>
      </c>
      <c r="B1598">
        <v>1000000041</v>
      </c>
      <c r="C1598" t="s">
        <v>15</v>
      </c>
      <c r="D1598">
        <v>2</v>
      </c>
      <c r="E1598">
        <v>14400.58</v>
      </c>
      <c r="F1598" t="s">
        <v>16</v>
      </c>
      <c r="G1598" t="s">
        <v>17</v>
      </c>
      <c r="H1598" t="s">
        <v>30</v>
      </c>
      <c r="I1598" t="s">
        <v>31</v>
      </c>
      <c r="J1598" t="s">
        <v>32</v>
      </c>
      <c r="K1598" t="s">
        <v>33</v>
      </c>
      <c r="L1598" t="s">
        <v>22</v>
      </c>
      <c r="M1598">
        <v>7200.29</v>
      </c>
      <c r="N1598">
        <v>2020</v>
      </c>
      <c r="O1598">
        <v>5</v>
      </c>
    </row>
    <row r="1599" spans="1:15" x14ac:dyDescent="0.3">
      <c r="A1599" s="1">
        <v>43981</v>
      </c>
      <c r="B1599">
        <v>1000000056</v>
      </c>
      <c r="C1599" t="s">
        <v>23</v>
      </c>
      <c r="D1599">
        <v>1</v>
      </c>
      <c r="E1599">
        <v>13500.22</v>
      </c>
      <c r="F1599" t="s">
        <v>16</v>
      </c>
      <c r="G1599" t="s">
        <v>24</v>
      </c>
      <c r="H1599" t="s">
        <v>18</v>
      </c>
      <c r="I1599" t="s">
        <v>34</v>
      </c>
      <c r="J1599" t="s">
        <v>26</v>
      </c>
      <c r="K1599" t="s">
        <v>35</v>
      </c>
      <c r="L1599" t="s">
        <v>28</v>
      </c>
      <c r="M1599">
        <v>13500.22</v>
      </c>
      <c r="N1599">
        <v>2020</v>
      </c>
      <c r="O1599">
        <v>5</v>
      </c>
    </row>
    <row r="1600" spans="1:15" x14ac:dyDescent="0.3">
      <c r="A1600" s="1">
        <v>43981</v>
      </c>
      <c r="B1600">
        <v>1000000067</v>
      </c>
      <c r="C1600" t="s">
        <v>15</v>
      </c>
      <c r="D1600">
        <v>1</v>
      </c>
      <c r="E1600">
        <v>11000.09</v>
      </c>
      <c r="F1600" t="s">
        <v>16</v>
      </c>
      <c r="G1600" t="s">
        <v>17</v>
      </c>
      <c r="H1600" t="s">
        <v>18</v>
      </c>
      <c r="I1600" t="s">
        <v>25</v>
      </c>
      <c r="J1600" t="s">
        <v>20</v>
      </c>
      <c r="K1600" t="s">
        <v>51</v>
      </c>
      <c r="L1600" t="s">
        <v>22</v>
      </c>
      <c r="M1600">
        <v>11000.09</v>
      </c>
      <c r="N1600">
        <v>2020</v>
      </c>
      <c r="O1600">
        <v>5</v>
      </c>
    </row>
    <row r="1601" spans="1:15" x14ac:dyDescent="0.3">
      <c r="A1601" s="1">
        <v>43981</v>
      </c>
      <c r="B1601">
        <v>1000008228</v>
      </c>
      <c r="C1601" t="s">
        <v>23</v>
      </c>
      <c r="D1601">
        <v>1</v>
      </c>
      <c r="E1601">
        <v>9000.58</v>
      </c>
      <c r="F1601" t="s">
        <v>16</v>
      </c>
      <c r="G1601" t="s">
        <v>24</v>
      </c>
      <c r="H1601" t="s">
        <v>30</v>
      </c>
      <c r="I1601" t="s">
        <v>31</v>
      </c>
      <c r="J1601" t="s">
        <v>36</v>
      </c>
      <c r="K1601" t="s">
        <v>52</v>
      </c>
      <c r="L1601" t="s">
        <v>22</v>
      </c>
      <c r="M1601">
        <v>9000.58</v>
      </c>
      <c r="N1601">
        <v>2020</v>
      </c>
      <c r="O1601">
        <v>5</v>
      </c>
    </row>
    <row r="1602" spans="1:15" x14ac:dyDescent="0.3">
      <c r="A1602" s="1">
        <v>43981</v>
      </c>
      <c r="B1602">
        <v>1000000041</v>
      </c>
      <c r="C1602" t="s">
        <v>23</v>
      </c>
      <c r="D1602">
        <v>1</v>
      </c>
      <c r="E1602">
        <v>7500.52</v>
      </c>
      <c r="F1602" t="s">
        <v>16</v>
      </c>
      <c r="G1602" t="s">
        <v>24</v>
      </c>
      <c r="H1602" t="s">
        <v>30</v>
      </c>
      <c r="I1602" t="s">
        <v>31</v>
      </c>
      <c r="J1602" t="s">
        <v>32</v>
      </c>
      <c r="K1602" t="s">
        <v>33</v>
      </c>
      <c r="L1602" t="s">
        <v>22</v>
      </c>
      <c r="M1602">
        <v>7500.52</v>
      </c>
      <c r="N1602">
        <v>2020</v>
      </c>
      <c r="O1602">
        <v>5</v>
      </c>
    </row>
    <row r="1603" spans="1:15" x14ac:dyDescent="0.3">
      <c r="A1603" s="1">
        <v>43981</v>
      </c>
      <c r="B1603">
        <v>1000000029</v>
      </c>
      <c r="C1603" t="s">
        <v>42</v>
      </c>
      <c r="D1603">
        <v>1</v>
      </c>
      <c r="E1603">
        <v>7000.77</v>
      </c>
      <c r="F1603" t="s">
        <v>16</v>
      </c>
      <c r="G1603" t="s">
        <v>43</v>
      </c>
      <c r="H1603" t="s">
        <v>18</v>
      </c>
      <c r="I1603" t="s">
        <v>19</v>
      </c>
      <c r="J1603" t="s">
        <v>20</v>
      </c>
      <c r="K1603" t="s">
        <v>21</v>
      </c>
      <c r="L1603" t="s">
        <v>22</v>
      </c>
      <c r="M1603">
        <v>7000.77</v>
      </c>
      <c r="N1603">
        <v>2020</v>
      </c>
      <c r="O1603">
        <v>5</v>
      </c>
    </row>
    <row r="1604" spans="1:15" x14ac:dyDescent="0.3">
      <c r="A1604" s="1">
        <v>43981</v>
      </c>
      <c r="B1604">
        <v>1000000045</v>
      </c>
      <c r="C1604" t="s">
        <v>23</v>
      </c>
      <c r="D1604">
        <v>1</v>
      </c>
      <c r="E1604">
        <v>7000.74</v>
      </c>
      <c r="F1604" t="s">
        <v>16</v>
      </c>
      <c r="G1604" t="s">
        <v>24</v>
      </c>
      <c r="H1604" t="s">
        <v>47</v>
      </c>
      <c r="I1604" t="s">
        <v>59</v>
      </c>
      <c r="J1604" t="s">
        <v>26</v>
      </c>
      <c r="K1604" t="s">
        <v>60</v>
      </c>
      <c r="L1604" t="s">
        <v>22</v>
      </c>
      <c r="M1604">
        <v>7000.74</v>
      </c>
      <c r="N1604">
        <v>2020</v>
      </c>
      <c r="O1604">
        <v>5</v>
      </c>
    </row>
    <row r="1605" spans="1:15" x14ac:dyDescent="0.3">
      <c r="A1605" s="1">
        <v>43981</v>
      </c>
      <c r="B1605">
        <v>1000000576</v>
      </c>
      <c r="C1605" t="s">
        <v>15</v>
      </c>
      <c r="D1605">
        <v>1</v>
      </c>
      <c r="E1605">
        <v>7000.39</v>
      </c>
      <c r="F1605" t="s">
        <v>16</v>
      </c>
      <c r="G1605" t="s">
        <v>17</v>
      </c>
      <c r="H1605" t="s">
        <v>18</v>
      </c>
      <c r="I1605" t="s">
        <v>25</v>
      </c>
      <c r="J1605" t="s">
        <v>36</v>
      </c>
      <c r="K1605" t="s">
        <v>37</v>
      </c>
      <c r="L1605" t="s">
        <v>22</v>
      </c>
      <c r="M1605">
        <v>7000.39</v>
      </c>
      <c r="N1605">
        <v>2020</v>
      </c>
      <c r="O1605">
        <v>5</v>
      </c>
    </row>
    <row r="1606" spans="1:15" x14ac:dyDescent="0.3">
      <c r="A1606" s="1">
        <v>43981</v>
      </c>
      <c r="B1606">
        <v>1000000104</v>
      </c>
      <c r="C1606" t="s">
        <v>42</v>
      </c>
      <c r="D1606">
        <v>1</v>
      </c>
      <c r="E1606">
        <v>7000.23</v>
      </c>
      <c r="F1606" t="s">
        <v>16</v>
      </c>
      <c r="G1606" t="s">
        <v>43</v>
      </c>
      <c r="H1606" t="s">
        <v>18</v>
      </c>
      <c r="I1606" t="s">
        <v>40</v>
      </c>
      <c r="J1606" t="s">
        <v>26</v>
      </c>
      <c r="K1606" t="s">
        <v>41</v>
      </c>
      <c r="L1606" t="s">
        <v>22</v>
      </c>
      <c r="M1606">
        <v>7000.23</v>
      </c>
      <c r="N1606">
        <v>2020</v>
      </c>
      <c r="O1606">
        <v>5</v>
      </c>
    </row>
    <row r="1607" spans="1:15" x14ac:dyDescent="0.3">
      <c r="A1607" s="1">
        <v>43981</v>
      </c>
      <c r="B1607">
        <v>1000003489</v>
      </c>
      <c r="C1607" t="s">
        <v>15</v>
      </c>
      <c r="D1607">
        <v>1</v>
      </c>
      <c r="E1607">
        <v>7000.03</v>
      </c>
      <c r="F1607" t="s">
        <v>16</v>
      </c>
      <c r="G1607" t="s">
        <v>17</v>
      </c>
      <c r="H1607" t="s">
        <v>47</v>
      </c>
      <c r="I1607" t="s">
        <v>48</v>
      </c>
      <c r="J1607" t="s">
        <v>26</v>
      </c>
      <c r="K1607" t="s">
        <v>50</v>
      </c>
      <c r="L1607" t="s">
        <v>22</v>
      </c>
      <c r="M1607">
        <v>7000.03</v>
      </c>
      <c r="N1607">
        <v>2020</v>
      </c>
      <c r="O1607">
        <v>5</v>
      </c>
    </row>
    <row r="1608" spans="1:15" x14ac:dyDescent="0.3">
      <c r="A1608" s="1">
        <v>43981</v>
      </c>
      <c r="B1608">
        <v>1000000033</v>
      </c>
      <c r="C1608" t="s">
        <v>23</v>
      </c>
      <c r="D1608">
        <v>1</v>
      </c>
      <c r="E1608">
        <v>6000.38</v>
      </c>
      <c r="F1608" t="s">
        <v>16</v>
      </c>
      <c r="G1608" t="s">
        <v>24</v>
      </c>
      <c r="H1608" t="s">
        <v>18</v>
      </c>
      <c r="I1608" t="s">
        <v>25</v>
      </c>
      <c r="J1608" t="s">
        <v>26</v>
      </c>
      <c r="K1608" t="s">
        <v>27</v>
      </c>
      <c r="L1608" t="s">
        <v>22</v>
      </c>
      <c r="M1608">
        <v>6000.38</v>
      </c>
      <c r="N1608">
        <v>2020</v>
      </c>
      <c r="O1608">
        <v>5</v>
      </c>
    </row>
    <row r="1609" spans="1:15" x14ac:dyDescent="0.3">
      <c r="A1609" s="1">
        <v>43981</v>
      </c>
      <c r="B1609">
        <v>1000006698</v>
      </c>
      <c r="C1609" t="s">
        <v>15</v>
      </c>
      <c r="D1609">
        <v>1</v>
      </c>
      <c r="E1609">
        <v>6000.33</v>
      </c>
      <c r="F1609" t="s">
        <v>16</v>
      </c>
      <c r="G1609" t="s">
        <v>17</v>
      </c>
      <c r="H1609" t="s">
        <v>30</v>
      </c>
      <c r="I1609" t="s">
        <v>38</v>
      </c>
      <c r="J1609" t="s">
        <v>26</v>
      </c>
      <c r="K1609" t="s">
        <v>39</v>
      </c>
      <c r="L1609" t="s">
        <v>28</v>
      </c>
      <c r="M1609">
        <v>6000.33</v>
      </c>
      <c r="N1609">
        <v>2020</v>
      </c>
      <c r="O1609">
        <v>5</v>
      </c>
    </row>
    <row r="1610" spans="1:15" x14ac:dyDescent="0.3">
      <c r="A1610" s="1">
        <v>43981</v>
      </c>
      <c r="B1610">
        <v>1000000104</v>
      </c>
      <c r="C1610" t="s">
        <v>15</v>
      </c>
      <c r="D1610">
        <v>1</v>
      </c>
      <c r="E1610">
        <v>6000.22</v>
      </c>
      <c r="F1610" t="s">
        <v>16</v>
      </c>
      <c r="G1610" t="s">
        <v>17</v>
      </c>
      <c r="H1610" t="s">
        <v>18</v>
      </c>
      <c r="I1610" t="s">
        <v>40</v>
      </c>
      <c r="J1610" t="s">
        <v>26</v>
      </c>
      <c r="K1610" t="s">
        <v>41</v>
      </c>
      <c r="L1610" t="s">
        <v>22</v>
      </c>
      <c r="M1610">
        <v>6000.22</v>
      </c>
      <c r="N1610">
        <v>2020</v>
      </c>
      <c r="O1610">
        <v>5</v>
      </c>
    </row>
    <row r="1611" spans="1:15" x14ac:dyDescent="0.3">
      <c r="A1611" s="1">
        <v>43981</v>
      </c>
      <c r="B1611">
        <v>1000000044</v>
      </c>
      <c r="C1611" t="s">
        <v>23</v>
      </c>
      <c r="D1611">
        <v>1</v>
      </c>
      <c r="E1611">
        <v>5000.72</v>
      </c>
      <c r="F1611" t="s">
        <v>16</v>
      </c>
      <c r="G1611" t="s">
        <v>24</v>
      </c>
      <c r="H1611" t="s">
        <v>30</v>
      </c>
      <c r="I1611" t="s">
        <v>31</v>
      </c>
      <c r="J1611" t="s">
        <v>36</v>
      </c>
      <c r="K1611" t="s">
        <v>52</v>
      </c>
      <c r="L1611" t="s">
        <v>28</v>
      </c>
      <c r="M1611">
        <v>5000.72</v>
      </c>
      <c r="N1611">
        <v>2020</v>
      </c>
      <c r="O1611">
        <v>5</v>
      </c>
    </row>
    <row r="1612" spans="1:15" x14ac:dyDescent="0.3">
      <c r="A1612" s="1">
        <v>43981</v>
      </c>
      <c r="B1612">
        <v>1000005873</v>
      </c>
      <c r="C1612" t="s">
        <v>23</v>
      </c>
      <c r="D1612">
        <v>1</v>
      </c>
      <c r="E1612">
        <v>3000.58</v>
      </c>
      <c r="F1612" t="s">
        <v>16</v>
      </c>
      <c r="G1612" t="s">
        <v>24</v>
      </c>
      <c r="H1612" t="s">
        <v>18</v>
      </c>
      <c r="I1612" t="s">
        <v>19</v>
      </c>
      <c r="J1612" t="s">
        <v>20</v>
      </c>
      <c r="K1612" t="s">
        <v>21</v>
      </c>
      <c r="L1612" t="s">
        <v>28</v>
      </c>
      <c r="M1612">
        <v>3000.58</v>
      </c>
      <c r="N1612">
        <v>2020</v>
      </c>
      <c r="O1612">
        <v>5</v>
      </c>
    </row>
    <row r="1613" spans="1:15" x14ac:dyDescent="0.3">
      <c r="A1613" s="1">
        <v>43981</v>
      </c>
      <c r="B1613">
        <v>1000010255</v>
      </c>
      <c r="C1613" t="s">
        <v>23</v>
      </c>
      <c r="D1613">
        <v>1</v>
      </c>
      <c r="E1613">
        <v>3000.52</v>
      </c>
      <c r="F1613" t="s">
        <v>16</v>
      </c>
      <c r="G1613" t="s">
        <v>24</v>
      </c>
      <c r="H1613" t="s">
        <v>47</v>
      </c>
      <c r="I1613" t="s">
        <v>48</v>
      </c>
      <c r="J1613" t="s">
        <v>36</v>
      </c>
      <c r="K1613" t="s">
        <v>49</v>
      </c>
      <c r="L1613" t="s">
        <v>22</v>
      </c>
      <c r="M1613">
        <v>3000.52</v>
      </c>
      <c r="N1613">
        <v>2020</v>
      </c>
      <c r="O1613">
        <v>5</v>
      </c>
    </row>
    <row r="1614" spans="1:15" x14ac:dyDescent="0.3">
      <c r="A1614" s="1">
        <v>43981</v>
      </c>
      <c r="B1614">
        <v>1000006859</v>
      </c>
      <c r="C1614" t="s">
        <v>23</v>
      </c>
      <c r="D1614">
        <v>1</v>
      </c>
      <c r="E1614">
        <v>2000.38</v>
      </c>
      <c r="F1614" t="s">
        <v>16</v>
      </c>
      <c r="G1614" t="s">
        <v>24</v>
      </c>
      <c r="H1614" t="s">
        <v>18</v>
      </c>
      <c r="I1614" t="s">
        <v>61</v>
      </c>
      <c r="J1614" t="s">
        <v>26</v>
      </c>
      <c r="K1614" t="s">
        <v>62</v>
      </c>
      <c r="L1614" t="s">
        <v>22</v>
      </c>
      <c r="M1614">
        <v>2000.38</v>
      </c>
      <c r="N1614">
        <v>2020</v>
      </c>
      <c r="O1614">
        <v>5</v>
      </c>
    </row>
    <row r="1615" spans="1:15" x14ac:dyDescent="0.3">
      <c r="A1615" s="1">
        <v>43981</v>
      </c>
      <c r="B1615">
        <v>1000000237</v>
      </c>
      <c r="C1615" t="s">
        <v>15</v>
      </c>
      <c r="D1615">
        <v>1</v>
      </c>
      <c r="E1615">
        <v>1127.54</v>
      </c>
      <c r="F1615" t="s">
        <v>16</v>
      </c>
      <c r="G1615" t="s">
        <v>17</v>
      </c>
      <c r="H1615" t="s">
        <v>18</v>
      </c>
      <c r="I1615" t="s">
        <v>40</v>
      </c>
      <c r="J1615" t="s">
        <v>26</v>
      </c>
      <c r="K1615" t="s">
        <v>41</v>
      </c>
      <c r="L1615" t="s">
        <v>22</v>
      </c>
      <c r="M1615">
        <v>1127.54</v>
      </c>
      <c r="N1615">
        <v>2020</v>
      </c>
      <c r="O1615">
        <v>5</v>
      </c>
    </row>
    <row r="1616" spans="1:15" x14ac:dyDescent="0.3">
      <c r="A1616" s="1">
        <v>43981</v>
      </c>
      <c r="B1616">
        <v>1000000036</v>
      </c>
      <c r="C1616" t="s">
        <v>15</v>
      </c>
      <c r="D1616">
        <v>1</v>
      </c>
      <c r="E1616">
        <v>1000.46</v>
      </c>
      <c r="F1616" t="s">
        <v>16</v>
      </c>
      <c r="G1616" t="s">
        <v>17</v>
      </c>
      <c r="H1616" t="s">
        <v>47</v>
      </c>
      <c r="I1616" t="s">
        <v>48</v>
      </c>
      <c r="J1616" t="s">
        <v>36</v>
      </c>
      <c r="K1616" t="s">
        <v>49</v>
      </c>
      <c r="L1616" t="s">
        <v>28</v>
      </c>
      <c r="M1616">
        <v>1000.46</v>
      </c>
      <c r="N1616">
        <v>2020</v>
      </c>
      <c r="O1616">
        <v>5</v>
      </c>
    </row>
    <row r="1617" spans="1:15" x14ac:dyDescent="0.3">
      <c r="A1617" s="1">
        <v>43981</v>
      </c>
      <c r="B1617">
        <v>1000001513</v>
      </c>
      <c r="C1617" t="s">
        <v>15</v>
      </c>
      <c r="D1617">
        <v>1</v>
      </c>
      <c r="E1617">
        <v>985.24</v>
      </c>
      <c r="F1617" t="s">
        <v>16</v>
      </c>
      <c r="G1617" t="s">
        <v>17</v>
      </c>
      <c r="H1617" t="s">
        <v>18</v>
      </c>
      <c r="I1617" t="s">
        <v>34</v>
      </c>
      <c r="J1617" t="s">
        <v>20</v>
      </c>
      <c r="K1617" t="s">
        <v>44</v>
      </c>
      <c r="L1617" t="s">
        <v>22</v>
      </c>
      <c r="M1617">
        <v>985.24</v>
      </c>
      <c r="N1617">
        <v>2020</v>
      </c>
      <c r="O1617">
        <v>5</v>
      </c>
    </row>
    <row r="1618" spans="1:15" x14ac:dyDescent="0.3">
      <c r="A1618" s="1">
        <v>43981</v>
      </c>
      <c r="B1618">
        <v>1000004256</v>
      </c>
      <c r="C1618" t="s">
        <v>15</v>
      </c>
      <c r="D1618">
        <v>1</v>
      </c>
      <c r="E1618">
        <v>700.09</v>
      </c>
      <c r="F1618" t="s">
        <v>16</v>
      </c>
      <c r="G1618" t="s">
        <v>17</v>
      </c>
      <c r="H1618" t="s">
        <v>18</v>
      </c>
      <c r="I1618" t="s">
        <v>40</v>
      </c>
      <c r="J1618" t="s">
        <v>26</v>
      </c>
      <c r="K1618" t="s">
        <v>41</v>
      </c>
      <c r="L1618" t="s">
        <v>22</v>
      </c>
      <c r="M1618">
        <v>700.09</v>
      </c>
      <c r="N1618">
        <v>2020</v>
      </c>
      <c r="O1618">
        <v>5</v>
      </c>
    </row>
    <row r="1619" spans="1:15" x14ac:dyDescent="0.3">
      <c r="A1619" s="1">
        <v>43981</v>
      </c>
      <c r="B1619">
        <v>1000004256</v>
      </c>
      <c r="C1619" t="s">
        <v>42</v>
      </c>
      <c r="D1619">
        <v>1</v>
      </c>
      <c r="E1619">
        <v>695.38</v>
      </c>
      <c r="F1619" t="s">
        <v>16</v>
      </c>
      <c r="G1619" t="s">
        <v>43</v>
      </c>
      <c r="H1619" t="s">
        <v>18</v>
      </c>
      <c r="I1619" t="s">
        <v>40</v>
      </c>
      <c r="J1619" t="s">
        <v>26</v>
      </c>
      <c r="K1619" t="s">
        <v>41</v>
      </c>
      <c r="L1619" t="s">
        <v>22</v>
      </c>
      <c r="M1619">
        <v>695.38</v>
      </c>
      <c r="N1619">
        <v>2020</v>
      </c>
      <c r="O1619">
        <v>5</v>
      </c>
    </row>
    <row r="1620" spans="1:15" x14ac:dyDescent="0.3">
      <c r="A1620" s="1">
        <v>43981</v>
      </c>
      <c r="B1620">
        <v>1000000237</v>
      </c>
      <c r="C1620" t="s">
        <v>42</v>
      </c>
      <c r="D1620">
        <v>1</v>
      </c>
      <c r="E1620">
        <v>695.09</v>
      </c>
      <c r="F1620" t="s">
        <v>16</v>
      </c>
      <c r="G1620" t="s">
        <v>43</v>
      </c>
      <c r="H1620" t="s">
        <v>18</v>
      </c>
      <c r="I1620" t="s">
        <v>40</v>
      </c>
      <c r="J1620" t="s">
        <v>26</v>
      </c>
      <c r="K1620" t="s">
        <v>41</v>
      </c>
      <c r="L1620" t="s">
        <v>22</v>
      </c>
      <c r="M1620">
        <v>695.09</v>
      </c>
      <c r="N1620">
        <v>2020</v>
      </c>
      <c r="O1620">
        <v>5</v>
      </c>
    </row>
    <row r="1621" spans="1:15" x14ac:dyDescent="0.3">
      <c r="A1621" s="1">
        <v>43981</v>
      </c>
      <c r="B1621">
        <v>1000000036</v>
      </c>
      <c r="C1621" t="s">
        <v>53</v>
      </c>
      <c r="D1621">
        <v>1</v>
      </c>
      <c r="E1621">
        <v>659.38</v>
      </c>
      <c r="F1621" t="s">
        <v>46</v>
      </c>
      <c r="G1621" t="s">
        <v>17</v>
      </c>
      <c r="H1621" t="s">
        <v>47</v>
      </c>
      <c r="I1621" t="s">
        <v>48</v>
      </c>
      <c r="J1621" t="s">
        <v>36</v>
      </c>
      <c r="K1621" t="s">
        <v>49</v>
      </c>
      <c r="L1621" t="s">
        <v>28</v>
      </c>
      <c r="M1621">
        <v>659.38</v>
      </c>
      <c r="N1621">
        <v>2020</v>
      </c>
      <c r="O1621">
        <v>5</v>
      </c>
    </row>
    <row r="1622" spans="1:15" x14ac:dyDescent="0.3">
      <c r="A1622" s="1">
        <v>43981</v>
      </c>
      <c r="B1622">
        <v>1000000028</v>
      </c>
      <c r="C1622" t="s">
        <v>15</v>
      </c>
      <c r="D1622">
        <v>1</v>
      </c>
      <c r="E1622">
        <v>585.71</v>
      </c>
      <c r="F1622" t="s">
        <v>16</v>
      </c>
      <c r="G1622" t="s">
        <v>17</v>
      </c>
      <c r="H1622" t="s">
        <v>18</v>
      </c>
      <c r="I1622" t="s">
        <v>19</v>
      </c>
      <c r="J1622" t="s">
        <v>20</v>
      </c>
      <c r="K1622" t="s">
        <v>21</v>
      </c>
      <c r="L1622" t="s">
        <v>22</v>
      </c>
      <c r="M1622">
        <v>585.71</v>
      </c>
      <c r="N1622">
        <v>2020</v>
      </c>
      <c r="O1622">
        <v>5</v>
      </c>
    </row>
    <row r="1623" spans="1:15" x14ac:dyDescent="0.3">
      <c r="A1623" s="1">
        <v>43981</v>
      </c>
      <c r="B1623">
        <v>1000006064</v>
      </c>
      <c r="C1623" t="s">
        <v>15</v>
      </c>
      <c r="D1623">
        <v>1</v>
      </c>
      <c r="E1623">
        <v>500.29</v>
      </c>
      <c r="F1623" t="s">
        <v>16</v>
      </c>
      <c r="G1623" t="s">
        <v>17</v>
      </c>
      <c r="H1623" t="s">
        <v>18</v>
      </c>
      <c r="I1623" t="s">
        <v>40</v>
      </c>
      <c r="J1623" t="s">
        <v>26</v>
      </c>
      <c r="K1623" t="s">
        <v>41</v>
      </c>
      <c r="L1623" t="s">
        <v>22</v>
      </c>
      <c r="M1623">
        <v>500.29</v>
      </c>
      <c r="N1623">
        <v>2020</v>
      </c>
      <c r="O1623">
        <v>5</v>
      </c>
    </row>
    <row r="1624" spans="1:15" x14ac:dyDescent="0.3">
      <c r="A1624" s="1">
        <v>43982</v>
      </c>
      <c r="B1624">
        <v>1000000050</v>
      </c>
      <c r="C1624" t="s">
        <v>42</v>
      </c>
      <c r="D1624">
        <v>2</v>
      </c>
      <c r="E1624">
        <v>34000.25</v>
      </c>
      <c r="F1624" t="s">
        <v>16</v>
      </c>
      <c r="G1624" t="s">
        <v>43</v>
      </c>
      <c r="H1624" t="s">
        <v>18</v>
      </c>
      <c r="I1624" t="s">
        <v>40</v>
      </c>
      <c r="J1624" t="s">
        <v>26</v>
      </c>
      <c r="K1624" t="s">
        <v>41</v>
      </c>
      <c r="L1624" t="s">
        <v>22</v>
      </c>
      <c r="M1624">
        <v>17000.125</v>
      </c>
      <c r="N1624">
        <v>2020</v>
      </c>
      <c r="O1624">
        <v>5</v>
      </c>
    </row>
    <row r="1625" spans="1:15" x14ac:dyDescent="0.3">
      <c r="A1625" s="1">
        <v>43982</v>
      </c>
      <c r="B1625">
        <v>1000000043</v>
      </c>
      <c r="C1625" t="s">
        <v>42</v>
      </c>
      <c r="D1625">
        <v>1</v>
      </c>
      <c r="E1625">
        <v>32000.6</v>
      </c>
      <c r="F1625" t="s">
        <v>16</v>
      </c>
      <c r="G1625" t="s">
        <v>43</v>
      </c>
      <c r="H1625" t="s">
        <v>30</v>
      </c>
      <c r="I1625" t="s">
        <v>38</v>
      </c>
      <c r="J1625" t="s">
        <v>26</v>
      </c>
      <c r="K1625" t="s">
        <v>39</v>
      </c>
      <c r="L1625" t="s">
        <v>22</v>
      </c>
      <c r="M1625">
        <v>32000.6</v>
      </c>
      <c r="N1625">
        <v>2020</v>
      </c>
      <c r="O1625">
        <v>5</v>
      </c>
    </row>
    <row r="1626" spans="1:15" x14ac:dyDescent="0.3">
      <c r="A1626" s="1">
        <v>43982</v>
      </c>
      <c r="B1626">
        <v>1000000928</v>
      </c>
      <c r="C1626" t="s">
        <v>15</v>
      </c>
      <c r="D1626">
        <v>2</v>
      </c>
      <c r="E1626">
        <v>26000.11</v>
      </c>
      <c r="F1626" t="s">
        <v>16</v>
      </c>
      <c r="G1626" t="s">
        <v>17</v>
      </c>
      <c r="H1626" t="s">
        <v>30</v>
      </c>
      <c r="I1626" t="s">
        <v>57</v>
      </c>
      <c r="J1626" t="s">
        <v>26</v>
      </c>
      <c r="K1626" t="s">
        <v>58</v>
      </c>
      <c r="L1626" t="s">
        <v>22</v>
      </c>
      <c r="M1626">
        <v>13000.055</v>
      </c>
      <c r="N1626">
        <v>2020</v>
      </c>
      <c r="O1626">
        <v>5</v>
      </c>
    </row>
    <row r="1627" spans="1:15" x14ac:dyDescent="0.3">
      <c r="A1627" s="1">
        <v>43982</v>
      </c>
      <c r="B1627">
        <v>1000000044</v>
      </c>
      <c r="C1627" t="s">
        <v>15</v>
      </c>
      <c r="D1627">
        <v>1</v>
      </c>
      <c r="E1627">
        <v>20000.05</v>
      </c>
      <c r="F1627" t="s">
        <v>16</v>
      </c>
      <c r="G1627" t="s">
        <v>17</v>
      </c>
      <c r="H1627" t="s">
        <v>30</v>
      </c>
      <c r="I1627" t="s">
        <v>31</v>
      </c>
      <c r="J1627" t="s">
        <v>36</v>
      </c>
      <c r="K1627" t="s">
        <v>52</v>
      </c>
      <c r="L1627" t="s">
        <v>28</v>
      </c>
      <c r="M1627">
        <v>20000.05</v>
      </c>
      <c r="N1627">
        <v>2020</v>
      </c>
      <c r="O1627">
        <v>5</v>
      </c>
    </row>
    <row r="1628" spans="1:15" x14ac:dyDescent="0.3">
      <c r="A1628" s="1">
        <v>43982</v>
      </c>
      <c r="B1628">
        <v>1000000040</v>
      </c>
      <c r="C1628" t="s">
        <v>23</v>
      </c>
      <c r="D1628">
        <v>1</v>
      </c>
      <c r="E1628">
        <v>19999.97</v>
      </c>
      <c r="F1628" t="s">
        <v>16</v>
      </c>
      <c r="G1628" t="s">
        <v>24</v>
      </c>
      <c r="H1628" t="s">
        <v>30</v>
      </c>
      <c r="I1628" t="s">
        <v>31</v>
      </c>
      <c r="J1628" t="s">
        <v>32</v>
      </c>
      <c r="K1628" t="s">
        <v>33</v>
      </c>
      <c r="L1628" t="s">
        <v>28</v>
      </c>
      <c r="M1628">
        <v>19999.97</v>
      </c>
      <c r="N1628">
        <v>2020</v>
      </c>
      <c r="O1628">
        <v>5</v>
      </c>
    </row>
    <row r="1629" spans="1:15" x14ac:dyDescent="0.3">
      <c r="A1629" s="1">
        <v>43982</v>
      </c>
      <c r="B1629">
        <v>1000000032</v>
      </c>
      <c r="C1629" t="s">
        <v>15</v>
      </c>
      <c r="D1629">
        <v>2</v>
      </c>
      <c r="E1629">
        <v>19000.739999999998</v>
      </c>
      <c r="F1629" t="s">
        <v>16</v>
      </c>
      <c r="G1629" t="s">
        <v>17</v>
      </c>
      <c r="H1629" t="s">
        <v>18</v>
      </c>
      <c r="I1629" t="s">
        <v>25</v>
      </c>
      <c r="J1629" t="s">
        <v>26</v>
      </c>
      <c r="K1629" t="s">
        <v>27</v>
      </c>
      <c r="L1629" t="s">
        <v>28</v>
      </c>
      <c r="M1629">
        <v>9500.3700000000008</v>
      </c>
      <c r="N1629">
        <v>2020</v>
      </c>
      <c r="O1629">
        <v>5</v>
      </c>
    </row>
    <row r="1630" spans="1:15" x14ac:dyDescent="0.3">
      <c r="A1630" s="1">
        <v>43982</v>
      </c>
      <c r="B1630">
        <v>1000000104</v>
      </c>
      <c r="C1630" t="s">
        <v>42</v>
      </c>
      <c r="D1630">
        <v>2</v>
      </c>
      <c r="E1630">
        <v>17500.54</v>
      </c>
      <c r="F1630" t="s">
        <v>16</v>
      </c>
      <c r="G1630" t="s">
        <v>43</v>
      </c>
      <c r="H1630" t="s">
        <v>18</v>
      </c>
      <c r="I1630" t="s">
        <v>40</v>
      </c>
      <c r="J1630" t="s">
        <v>26</v>
      </c>
      <c r="K1630" t="s">
        <v>41</v>
      </c>
      <c r="L1630" t="s">
        <v>22</v>
      </c>
      <c r="M1630">
        <v>8750.27</v>
      </c>
      <c r="N1630">
        <v>2020</v>
      </c>
      <c r="O1630">
        <v>5</v>
      </c>
    </row>
    <row r="1631" spans="1:15" x14ac:dyDescent="0.3">
      <c r="A1631" s="1">
        <v>43982</v>
      </c>
      <c r="B1631">
        <v>1000006860</v>
      </c>
      <c r="C1631" t="s">
        <v>42</v>
      </c>
      <c r="D1631">
        <v>1</v>
      </c>
      <c r="E1631">
        <v>17000.39</v>
      </c>
      <c r="F1631" t="s">
        <v>16</v>
      </c>
      <c r="G1631" t="s">
        <v>43</v>
      </c>
      <c r="H1631" t="s">
        <v>18</v>
      </c>
      <c r="I1631" t="s">
        <v>61</v>
      </c>
      <c r="J1631" t="s">
        <v>26</v>
      </c>
      <c r="K1631" t="s">
        <v>62</v>
      </c>
      <c r="L1631" t="s">
        <v>22</v>
      </c>
      <c r="M1631">
        <v>17000.39</v>
      </c>
      <c r="N1631">
        <v>2020</v>
      </c>
      <c r="O1631">
        <v>5</v>
      </c>
    </row>
    <row r="1632" spans="1:15" x14ac:dyDescent="0.3">
      <c r="A1632" s="1">
        <v>43982</v>
      </c>
      <c r="B1632">
        <v>1000000037</v>
      </c>
      <c r="C1632" t="s">
        <v>15</v>
      </c>
      <c r="D1632">
        <v>1</v>
      </c>
      <c r="E1632">
        <v>17000.07</v>
      </c>
      <c r="F1632" t="s">
        <v>16</v>
      </c>
      <c r="G1632" t="s">
        <v>17</v>
      </c>
      <c r="H1632" t="s">
        <v>18</v>
      </c>
      <c r="I1632" t="s">
        <v>19</v>
      </c>
      <c r="J1632" t="s">
        <v>20</v>
      </c>
      <c r="K1632" t="s">
        <v>21</v>
      </c>
      <c r="L1632" t="s">
        <v>22</v>
      </c>
      <c r="M1632">
        <v>17000.07</v>
      </c>
      <c r="N1632">
        <v>2020</v>
      </c>
      <c r="O1632">
        <v>5</v>
      </c>
    </row>
    <row r="1633" spans="1:15" x14ac:dyDescent="0.3">
      <c r="A1633" s="1">
        <v>43982</v>
      </c>
      <c r="B1633">
        <v>1000000031</v>
      </c>
      <c r="C1633" t="s">
        <v>15</v>
      </c>
      <c r="D1633">
        <v>2</v>
      </c>
      <c r="E1633">
        <v>16924.78</v>
      </c>
      <c r="F1633" t="s">
        <v>16</v>
      </c>
      <c r="G1633" t="s">
        <v>17</v>
      </c>
      <c r="H1633" t="s">
        <v>18</v>
      </c>
      <c r="I1633" t="s">
        <v>19</v>
      </c>
      <c r="J1633" t="s">
        <v>26</v>
      </c>
      <c r="K1633" t="s">
        <v>29</v>
      </c>
      <c r="L1633" t="s">
        <v>28</v>
      </c>
      <c r="M1633">
        <v>8462.39</v>
      </c>
      <c r="N1633">
        <v>2020</v>
      </c>
      <c r="O1633">
        <v>5</v>
      </c>
    </row>
    <row r="1634" spans="1:15" x14ac:dyDescent="0.3">
      <c r="A1634" s="1">
        <v>43982</v>
      </c>
      <c r="B1634">
        <v>1000006869</v>
      </c>
      <c r="C1634" t="s">
        <v>23</v>
      </c>
      <c r="D1634">
        <v>1</v>
      </c>
      <c r="E1634">
        <v>15000.62</v>
      </c>
      <c r="F1634" t="s">
        <v>16</v>
      </c>
      <c r="G1634" t="s">
        <v>24</v>
      </c>
      <c r="H1634" t="s">
        <v>18</v>
      </c>
      <c r="I1634" t="s">
        <v>61</v>
      </c>
      <c r="J1634" t="s">
        <v>26</v>
      </c>
      <c r="K1634" t="s">
        <v>62</v>
      </c>
      <c r="L1634" t="s">
        <v>22</v>
      </c>
      <c r="M1634">
        <v>15000.62</v>
      </c>
      <c r="N1634">
        <v>2020</v>
      </c>
      <c r="O1634">
        <v>5</v>
      </c>
    </row>
    <row r="1635" spans="1:15" x14ac:dyDescent="0.3">
      <c r="A1635" s="1">
        <v>43982</v>
      </c>
      <c r="B1635">
        <v>1000000067</v>
      </c>
      <c r="C1635" t="s">
        <v>23</v>
      </c>
      <c r="D1635">
        <v>1</v>
      </c>
      <c r="E1635">
        <v>14000.13</v>
      </c>
      <c r="F1635" t="s">
        <v>16</v>
      </c>
      <c r="G1635" t="s">
        <v>24</v>
      </c>
      <c r="H1635" t="s">
        <v>18</v>
      </c>
      <c r="I1635" t="s">
        <v>25</v>
      </c>
      <c r="J1635" t="s">
        <v>20</v>
      </c>
      <c r="K1635" t="s">
        <v>51</v>
      </c>
      <c r="L1635" t="s">
        <v>22</v>
      </c>
      <c r="M1635">
        <v>14000.13</v>
      </c>
      <c r="N1635">
        <v>2020</v>
      </c>
      <c r="O1635">
        <v>5</v>
      </c>
    </row>
    <row r="1636" spans="1:15" x14ac:dyDescent="0.3">
      <c r="A1636" s="1">
        <v>43982</v>
      </c>
      <c r="B1636">
        <v>1000000031</v>
      </c>
      <c r="C1636" t="s">
        <v>42</v>
      </c>
      <c r="D1636">
        <v>1</v>
      </c>
      <c r="E1636">
        <v>13000.56</v>
      </c>
      <c r="F1636" t="s">
        <v>16</v>
      </c>
      <c r="G1636" t="s">
        <v>43</v>
      </c>
      <c r="H1636" t="s">
        <v>18</v>
      </c>
      <c r="I1636" t="s">
        <v>19</v>
      </c>
      <c r="J1636" t="s">
        <v>26</v>
      </c>
      <c r="K1636" t="s">
        <v>29</v>
      </c>
      <c r="L1636" t="s">
        <v>28</v>
      </c>
      <c r="M1636">
        <v>13000.56</v>
      </c>
      <c r="N1636">
        <v>2020</v>
      </c>
      <c r="O1636">
        <v>5</v>
      </c>
    </row>
    <row r="1637" spans="1:15" x14ac:dyDescent="0.3">
      <c r="A1637" s="1">
        <v>43982</v>
      </c>
      <c r="B1637">
        <v>1000008957</v>
      </c>
      <c r="C1637" t="s">
        <v>42</v>
      </c>
      <c r="D1637">
        <v>1</v>
      </c>
      <c r="E1637">
        <v>12000.47</v>
      </c>
      <c r="F1637" t="s">
        <v>16</v>
      </c>
      <c r="G1637" t="s">
        <v>43</v>
      </c>
      <c r="H1637" t="s">
        <v>18</v>
      </c>
      <c r="I1637" t="s">
        <v>34</v>
      </c>
      <c r="J1637" t="s">
        <v>20</v>
      </c>
      <c r="K1637" t="s">
        <v>44</v>
      </c>
      <c r="L1637" t="s">
        <v>22</v>
      </c>
      <c r="M1637">
        <v>12000.47</v>
      </c>
      <c r="N1637">
        <v>2020</v>
      </c>
      <c r="O1637">
        <v>5</v>
      </c>
    </row>
    <row r="1638" spans="1:15" x14ac:dyDescent="0.3">
      <c r="A1638" s="1">
        <v>43982</v>
      </c>
      <c r="B1638">
        <v>1000000566</v>
      </c>
      <c r="C1638" t="s">
        <v>42</v>
      </c>
      <c r="D1638">
        <v>2</v>
      </c>
      <c r="E1638">
        <v>12000.449999999999</v>
      </c>
      <c r="F1638" t="s">
        <v>16</v>
      </c>
      <c r="G1638" t="s">
        <v>43</v>
      </c>
      <c r="H1638" t="s">
        <v>47</v>
      </c>
      <c r="I1638" t="s">
        <v>48</v>
      </c>
      <c r="J1638" t="s">
        <v>36</v>
      </c>
      <c r="K1638" t="s">
        <v>49</v>
      </c>
      <c r="L1638" t="s">
        <v>22</v>
      </c>
      <c r="M1638">
        <v>6000.2249999999995</v>
      </c>
      <c r="N1638">
        <v>2020</v>
      </c>
      <c r="O1638">
        <v>5</v>
      </c>
    </row>
    <row r="1639" spans="1:15" x14ac:dyDescent="0.3">
      <c r="A1639" s="1">
        <v>43982</v>
      </c>
      <c r="B1639">
        <v>1000000029</v>
      </c>
      <c r="C1639" t="s">
        <v>23</v>
      </c>
      <c r="D1639">
        <v>3</v>
      </c>
      <c r="E1639">
        <v>11486.3</v>
      </c>
      <c r="F1639" t="s">
        <v>16</v>
      </c>
      <c r="G1639" t="s">
        <v>24</v>
      </c>
      <c r="H1639" t="s">
        <v>18</v>
      </c>
      <c r="I1639" t="s">
        <v>19</v>
      </c>
      <c r="J1639" t="s">
        <v>20</v>
      </c>
      <c r="K1639" t="s">
        <v>21</v>
      </c>
      <c r="L1639" t="s">
        <v>22</v>
      </c>
      <c r="M1639">
        <v>3828.7666666666664</v>
      </c>
      <c r="N1639">
        <v>2020</v>
      </c>
      <c r="O1639">
        <v>5</v>
      </c>
    </row>
    <row r="1640" spans="1:15" x14ac:dyDescent="0.3">
      <c r="A1640" s="1">
        <v>43982</v>
      </c>
      <c r="B1640">
        <v>1000000045</v>
      </c>
      <c r="C1640" t="s">
        <v>15</v>
      </c>
      <c r="D1640">
        <v>1</v>
      </c>
      <c r="E1640">
        <v>10999.99</v>
      </c>
      <c r="F1640" t="s">
        <v>16</v>
      </c>
      <c r="G1640" t="s">
        <v>17</v>
      </c>
      <c r="H1640" t="s">
        <v>47</v>
      </c>
      <c r="I1640" t="s">
        <v>59</v>
      </c>
      <c r="J1640" t="s">
        <v>26</v>
      </c>
      <c r="K1640" t="s">
        <v>60</v>
      </c>
      <c r="L1640" t="s">
        <v>22</v>
      </c>
      <c r="M1640">
        <v>10999.99</v>
      </c>
      <c r="N1640">
        <v>2020</v>
      </c>
      <c r="O1640">
        <v>5</v>
      </c>
    </row>
    <row r="1641" spans="1:15" x14ac:dyDescent="0.3">
      <c r="A1641" s="1">
        <v>43982</v>
      </c>
      <c r="B1641">
        <v>1000003803</v>
      </c>
      <c r="C1641" t="s">
        <v>15</v>
      </c>
      <c r="D1641">
        <v>1</v>
      </c>
      <c r="E1641">
        <v>10000.1</v>
      </c>
      <c r="F1641" t="s">
        <v>16</v>
      </c>
      <c r="G1641" t="s">
        <v>17</v>
      </c>
      <c r="H1641" t="s">
        <v>30</v>
      </c>
      <c r="I1641" t="s">
        <v>31</v>
      </c>
      <c r="J1641" t="s">
        <v>36</v>
      </c>
      <c r="K1641" t="s">
        <v>52</v>
      </c>
      <c r="L1641" t="s">
        <v>22</v>
      </c>
      <c r="M1641">
        <v>10000.1</v>
      </c>
      <c r="N1641">
        <v>2020</v>
      </c>
      <c r="O1641">
        <v>5</v>
      </c>
    </row>
    <row r="1642" spans="1:15" x14ac:dyDescent="0.3">
      <c r="A1642" s="1">
        <v>43982</v>
      </c>
      <c r="B1642">
        <v>1000000039</v>
      </c>
      <c r="C1642" t="s">
        <v>42</v>
      </c>
      <c r="D1642">
        <v>1</v>
      </c>
      <c r="E1642">
        <v>9999.9500000000007</v>
      </c>
      <c r="F1642" t="s">
        <v>16</v>
      </c>
      <c r="G1642" t="s">
        <v>43</v>
      </c>
      <c r="H1642" t="s">
        <v>18</v>
      </c>
      <c r="I1642" t="s">
        <v>25</v>
      </c>
      <c r="J1642" t="s">
        <v>20</v>
      </c>
      <c r="K1642" t="s">
        <v>51</v>
      </c>
      <c r="L1642" t="s">
        <v>28</v>
      </c>
      <c r="M1642">
        <v>9999.9500000000007</v>
      </c>
      <c r="N1642">
        <v>2020</v>
      </c>
      <c r="O1642">
        <v>5</v>
      </c>
    </row>
    <row r="1643" spans="1:15" x14ac:dyDescent="0.3">
      <c r="A1643" s="1">
        <v>43982</v>
      </c>
      <c r="B1643">
        <v>1000000033</v>
      </c>
      <c r="C1643" t="s">
        <v>23</v>
      </c>
      <c r="D1643">
        <v>2</v>
      </c>
      <c r="E1643">
        <v>9866.3700000000008</v>
      </c>
      <c r="F1643" t="s">
        <v>16</v>
      </c>
      <c r="G1643" t="s">
        <v>24</v>
      </c>
      <c r="H1643" t="s">
        <v>18</v>
      </c>
      <c r="I1643" t="s">
        <v>25</v>
      </c>
      <c r="J1643" t="s">
        <v>26</v>
      </c>
      <c r="K1643" t="s">
        <v>27</v>
      </c>
      <c r="L1643" t="s">
        <v>22</v>
      </c>
      <c r="M1643">
        <v>4933.1850000000004</v>
      </c>
      <c r="N1643">
        <v>2020</v>
      </c>
      <c r="O1643">
        <v>5</v>
      </c>
    </row>
    <row r="1644" spans="1:15" x14ac:dyDescent="0.3">
      <c r="A1644" s="1">
        <v>43982</v>
      </c>
      <c r="B1644">
        <v>1000000104</v>
      </c>
      <c r="C1644" t="s">
        <v>15</v>
      </c>
      <c r="D1644">
        <v>1</v>
      </c>
      <c r="E1644">
        <v>7000.72</v>
      </c>
      <c r="F1644" t="s">
        <v>16</v>
      </c>
      <c r="G1644" t="s">
        <v>17</v>
      </c>
      <c r="H1644" t="s">
        <v>18</v>
      </c>
      <c r="I1644" t="s">
        <v>40</v>
      </c>
      <c r="J1644" t="s">
        <v>26</v>
      </c>
      <c r="K1644" t="s">
        <v>41</v>
      </c>
      <c r="L1644" t="s">
        <v>22</v>
      </c>
      <c r="M1644">
        <v>7000.72</v>
      </c>
      <c r="N1644">
        <v>2020</v>
      </c>
      <c r="O1644">
        <v>5</v>
      </c>
    </row>
    <row r="1645" spans="1:15" x14ac:dyDescent="0.3">
      <c r="A1645" s="1">
        <v>43982</v>
      </c>
      <c r="B1645">
        <v>1000000028</v>
      </c>
      <c r="C1645" t="s">
        <v>15</v>
      </c>
      <c r="D1645">
        <v>1</v>
      </c>
      <c r="E1645">
        <v>7000.34</v>
      </c>
      <c r="F1645" t="s">
        <v>16</v>
      </c>
      <c r="G1645" t="s">
        <v>17</v>
      </c>
      <c r="H1645" t="s">
        <v>18</v>
      </c>
      <c r="I1645" t="s">
        <v>19</v>
      </c>
      <c r="J1645" t="s">
        <v>20</v>
      </c>
      <c r="K1645" t="s">
        <v>21</v>
      </c>
      <c r="L1645" t="s">
        <v>22</v>
      </c>
      <c r="M1645">
        <v>7000.34</v>
      </c>
      <c r="N1645">
        <v>2020</v>
      </c>
      <c r="O1645">
        <v>5</v>
      </c>
    </row>
    <row r="1646" spans="1:15" x14ac:dyDescent="0.3">
      <c r="A1646" s="1">
        <v>43982</v>
      </c>
      <c r="B1646">
        <v>1000000037</v>
      </c>
      <c r="C1646" t="s">
        <v>23</v>
      </c>
      <c r="D1646">
        <v>1</v>
      </c>
      <c r="E1646">
        <v>6000.37</v>
      </c>
      <c r="F1646" t="s">
        <v>16</v>
      </c>
      <c r="G1646" t="s">
        <v>24</v>
      </c>
      <c r="H1646" t="s">
        <v>18</v>
      </c>
      <c r="I1646" t="s">
        <v>19</v>
      </c>
      <c r="J1646" t="s">
        <v>20</v>
      </c>
      <c r="K1646" t="s">
        <v>21</v>
      </c>
      <c r="L1646" t="s">
        <v>22</v>
      </c>
      <c r="M1646">
        <v>6000.37</v>
      </c>
      <c r="N1646">
        <v>2020</v>
      </c>
      <c r="O1646">
        <v>5</v>
      </c>
    </row>
    <row r="1647" spans="1:15" x14ac:dyDescent="0.3">
      <c r="A1647" s="1">
        <v>43982</v>
      </c>
      <c r="B1647">
        <v>1000000030</v>
      </c>
      <c r="C1647" t="s">
        <v>23</v>
      </c>
      <c r="D1647">
        <v>1</v>
      </c>
      <c r="E1647">
        <v>6000.28</v>
      </c>
      <c r="F1647" t="s">
        <v>16</v>
      </c>
      <c r="G1647" t="s">
        <v>24</v>
      </c>
      <c r="H1647" t="s">
        <v>47</v>
      </c>
      <c r="I1647" t="s">
        <v>48</v>
      </c>
      <c r="J1647" t="s">
        <v>36</v>
      </c>
      <c r="K1647" t="s">
        <v>49</v>
      </c>
      <c r="L1647" t="s">
        <v>22</v>
      </c>
      <c r="M1647">
        <v>6000.28</v>
      </c>
      <c r="N1647">
        <v>2020</v>
      </c>
      <c r="O1647">
        <v>5</v>
      </c>
    </row>
    <row r="1648" spans="1:15" x14ac:dyDescent="0.3">
      <c r="A1648" s="1">
        <v>43982</v>
      </c>
      <c r="B1648">
        <v>1000000041</v>
      </c>
      <c r="C1648" t="s">
        <v>23</v>
      </c>
      <c r="D1648">
        <v>1</v>
      </c>
      <c r="E1648">
        <v>6000.1</v>
      </c>
      <c r="F1648" t="s">
        <v>16</v>
      </c>
      <c r="G1648" t="s">
        <v>24</v>
      </c>
      <c r="H1648" t="s">
        <v>30</v>
      </c>
      <c r="I1648" t="s">
        <v>31</v>
      </c>
      <c r="J1648" t="s">
        <v>32</v>
      </c>
      <c r="K1648" t="s">
        <v>33</v>
      </c>
      <c r="L1648" t="s">
        <v>22</v>
      </c>
      <c r="M1648">
        <v>6000.1</v>
      </c>
      <c r="N1648">
        <v>2020</v>
      </c>
      <c r="O1648">
        <v>5</v>
      </c>
    </row>
    <row r="1649" spans="1:15" x14ac:dyDescent="0.3">
      <c r="A1649" s="1">
        <v>43982</v>
      </c>
      <c r="B1649">
        <v>1000000044</v>
      </c>
      <c r="C1649" t="s">
        <v>23</v>
      </c>
      <c r="D1649">
        <v>1</v>
      </c>
      <c r="E1649">
        <v>5999.97</v>
      </c>
      <c r="F1649" t="s">
        <v>16</v>
      </c>
      <c r="G1649" t="s">
        <v>24</v>
      </c>
      <c r="H1649" t="s">
        <v>30</v>
      </c>
      <c r="I1649" t="s">
        <v>31</v>
      </c>
      <c r="J1649" t="s">
        <v>36</v>
      </c>
      <c r="K1649" t="s">
        <v>52</v>
      </c>
      <c r="L1649" t="s">
        <v>28</v>
      </c>
      <c r="M1649">
        <v>5999.97</v>
      </c>
      <c r="N1649">
        <v>2020</v>
      </c>
      <c r="O1649">
        <v>5</v>
      </c>
    </row>
    <row r="1650" spans="1:15" x14ac:dyDescent="0.3">
      <c r="A1650" s="1">
        <v>43982</v>
      </c>
      <c r="B1650">
        <v>1000000032</v>
      </c>
      <c r="C1650" t="s">
        <v>42</v>
      </c>
      <c r="D1650">
        <v>1</v>
      </c>
      <c r="E1650">
        <v>5500.15</v>
      </c>
      <c r="F1650" t="s">
        <v>16</v>
      </c>
      <c r="G1650" t="s">
        <v>43</v>
      </c>
      <c r="H1650" t="s">
        <v>18</v>
      </c>
      <c r="I1650" t="s">
        <v>25</v>
      </c>
      <c r="J1650" t="s">
        <v>26</v>
      </c>
      <c r="K1650" t="s">
        <v>27</v>
      </c>
      <c r="L1650" t="s">
        <v>28</v>
      </c>
      <c r="M1650">
        <v>5500.15</v>
      </c>
      <c r="N1650">
        <v>2020</v>
      </c>
      <c r="O1650">
        <v>5</v>
      </c>
    </row>
    <row r="1651" spans="1:15" x14ac:dyDescent="0.3">
      <c r="A1651" s="1">
        <v>43982</v>
      </c>
      <c r="B1651">
        <v>1000000054</v>
      </c>
      <c r="C1651" t="s">
        <v>15</v>
      </c>
      <c r="D1651">
        <v>1</v>
      </c>
      <c r="E1651">
        <v>5000.76</v>
      </c>
      <c r="F1651" t="s">
        <v>16</v>
      </c>
      <c r="G1651" t="s">
        <v>17</v>
      </c>
      <c r="H1651" t="s">
        <v>18</v>
      </c>
      <c r="I1651" t="s">
        <v>34</v>
      </c>
      <c r="J1651" t="s">
        <v>26</v>
      </c>
      <c r="K1651" t="s">
        <v>35</v>
      </c>
      <c r="L1651" t="s">
        <v>22</v>
      </c>
      <c r="M1651">
        <v>5000.76</v>
      </c>
      <c r="N1651">
        <v>2020</v>
      </c>
      <c r="O1651">
        <v>5</v>
      </c>
    </row>
    <row r="1652" spans="1:15" x14ac:dyDescent="0.3">
      <c r="A1652" s="1">
        <v>43982</v>
      </c>
      <c r="B1652">
        <v>1000000046</v>
      </c>
      <c r="C1652" t="s">
        <v>42</v>
      </c>
      <c r="D1652">
        <v>1</v>
      </c>
      <c r="E1652">
        <v>2000.59</v>
      </c>
      <c r="F1652" t="s">
        <v>16</v>
      </c>
      <c r="G1652" t="s">
        <v>43</v>
      </c>
      <c r="H1652" t="s">
        <v>30</v>
      </c>
      <c r="I1652" t="s">
        <v>38</v>
      </c>
      <c r="J1652" t="s">
        <v>26</v>
      </c>
      <c r="K1652" t="s">
        <v>39</v>
      </c>
      <c r="L1652" t="s">
        <v>22</v>
      </c>
      <c r="M1652">
        <v>2000.59</v>
      </c>
      <c r="N1652">
        <v>2020</v>
      </c>
      <c r="O1652">
        <v>5</v>
      </c>
    </row>
    <row r="1653" spans="1:15" x14ac:dyDescent="0.3">
      <c r="A1653" s="1">
        <v>43982</v>
      </c>
      <c r="B1653">
        <v>1000000067</v>
      </c>
      <c r="C1653" t="s">
        <v>15</v>
      </c>
      <c r="D1653">
        <v>1</v>
      </c>
      <c r="E1653">
        <v>1780.63</v>
      </c>
      <c r="F1653" t="s">
        <v>16</v>
      </c>
      <c r="G1653" t="s">
        <v>17</v>
      </c>
      <c r="H1653" t="s">
        <v>18</v>
      </c>
      <c r="I1653" t="s">
        <v>25</v>
      </c>
      <c r="J1653" t="s">
        <v>20</v>
      </c>
      <c r="K1653" t="s">
        <v>51</v>
      </c>
      <c r="L1653" t="s">
        <v>22</v>
      </c>
      <c r="M1653">
        <v>1780.63</v>
      </c>
      <c r="N1653">
        <v>2020</v>
      </c>
      <c r="O1653">
        <v>5</v>
      </c>
    </row>
    <row r="1654" spans="1:15" x14ac:dyDescent="0.3">
      <c r="A1654" s="1">
        <v>43982</v>
      </c>
      <c r="B1654">
        <v>1000003926</v>
      </c>
      <c r="C1654" t="s">
        <v>23</v>
      </c>
      <c r="D1654">
        <v>1</v>
      </c>
      <c r="E1654">
        <v>1513.15</v>
      </c>
      <c r="F1654" t="s">
        <v>16</v>
      </c>
      <c r="G1654" t="s">
        <v>24</v>
      </c>
      <c r="H1654" t="s">
        <v>47</v>
      </c>
      <c r="I1654" t="s">
        <v>48</v>
      </c>
      <c r="J1654" t="s">
        <v>26</v>
      </c>
      <c r="K1654" t="s">
        <v>50</v>
      </c>
      <c r="L1654" t="s">
        <v>28</v>
      </c>
      <c r="M1654">
        <v>1513.15</v>
      </c>
      <c r="N1654">
        <v>2020</v>
      </c>
      <c r="O1654">
        <v>5</v>
      </c>
    </row>
    <row r="1655" spans="1:15" x14ac:dyDescent="0.3">
      <c r="A1655" s="1">
        <v>43982</v>
      </c>
      <c r="B1655">
        <v>1000000041</v>
      </c>
      <c r="C1655" t="s">
        <v>42</v>
      </c>
      <c r="D1655">
        <v>1</v>
      </c>
      <c r="E1655">
        <v>1228.05</v>
      </c>
      <c r="F1655" t="s">
        <v>16</v>
      </c>
      <c r="G1655" t="s">
        <v>43</v>
      </c>
      <c r="H1655" t="s">
        <v>30</v>
      </c>
      <c r="I1655" t="s">
        <v>31</v>
      </c>
      <c r="J1655" t="s">
        <v>32</v>
      </c>
      <c r="K1655" t="s">
        <v>33</v>
      </c>
      <c r="L1655" t="s">
        <v>22</v>
      </c>
      <c r="M1655">
        <v>1228.05</v>
      </c>
      <c r="N1655">
        <v>2020</v>
      </c>
      <c r="O1655">
        <v>5</v>
      </c>
    </row>
    <row r="1656" spans="1:15" x14ac:dyDescent="0.3">
      <c r="A1656" s="1">
        <v>43982</v>
      </c>
      <c r="B1656">
        <v>1000006064</v>
      </c>
      <c r="C1656" t="s">
        <v>15</v>
      </c>
      <c r="D1656">
        <v>1</v>
      </c>
      <c r="E1656">
        <v>1000.15</v>
      </c>
      <c r="F1656" t="s">
        <v>16</v>
      </c>
      <c r="G1656" t="s">
        <v>17</v>
      </c>
      <c r="H1656" t="s">
        <v>18</v>
      </c>
      <c r="I1656" t="s">
        <v>40</v>
      </c>
      <c r="J1656" t="s">
        <v>26</v>
      </c>
      <c r="K1656" t="s">
        <v>41</v>
      </c>
      <c r="L1656" t="s">
        <v>22</v>
      </c>
      <c r="M1656">
        <v>1000.15</v>
      </c>
      <c r="N1656">
        <v>2020</v>
      </c>
      <c r="O1656">
        <v>5</v>
      </c>
    </row>
    <row r="1657" spans="1:15" x14ac:dyDescent="0.3">
      <c r="A1657" s="1">
        <v>43982</v>
      </c>
      <c r="B1657">
        <v>1000000029</v>
      </c>
      <c r="C1657" t="s">
        <v>15</v>
      </c>
      <c r="D1657">
        <v>1</v>
      </c>
      <c r="E1657">
        <v>800.54</v>
      </c>
      <c r="F1657" t="s">
        <v>16</v>
      </c>
      <c r="G1657" t="s">
        <v>17</v>
      </c>
      <c r="H1657" t="s">
        <v>18</v>
      </c>
      <c r="I1657" t="s">
        <v>19</v>
      </c>
      <c r="J1657" t="s">
        <v>20</v>
      </c>
      <c r="K1657" t="s">
        <v>21</v>
      </c>
      <c r="L1657" t="s">
        <v>22</v>
      </c>
      <c r="M1657">
        <v>800.54</v>
      </c>
      <c r="N1657">
        <v>2020</v>
      </c>
      <c r="O1657">
        <v>5</v>
      </c>
    </row>
    <row r="1658" spans="1:15" x14ac:dyDescent="0.3">
      <c r="A1658" s="1">
        <v>43982</v>
      </c>
      <c r="B1658">
        <v>1000000032</v>
      </c>
      <c r="C1658" t="s">
        <v>23</v>
      </c>
      <c r="D1658">
        <v>1</v>
      </c>
      <c r="E1658">
        <v>500.11</v>
      </c>
      <c r="F1658" t="s">
        <v>16</v>
      </c>
      <c r="G1658" t="s">
        <v>24</v>
      </c>
      <c r="H1658" t="s">
        <v>18</v>
      </c>
      <c r="I1658" t="s">
        <v>25</v>
      </c>
      <c r="J1658" t="s">
        <v>26</v>
      </c>
      <c r="K1658" t="s">
        <v>27</v>
      </c>
      <c r="L1658" t="s">
        <v>28</v>
      </c>
      <c r="M1658">
        <v>500.11</v>
      </c>
      <c r="N1658">
        <v>2020</v>
      </c>
      <c r="O1658">
        <v>5</v>
      </c>
    </row>
    <row r="1659" spans="1:15" x14ac:dyDescent="0.3">
      <c r="A1659" s="1">
        <v>43983</v>
      </c>
      <c r="B1659">
        <v>1000000029</v>
      </c>
      <c r="C1659" t="s">
        <v>23</v>
      </c>
      <c r="D1659">
        <v>1</v>
      </c>
      <c r="E1659">
        <v>8000.36</v>
      </c>
      <c r="F1659" t="s">
        <v>16</v>
      </c>
      <c r="G1659" t="s">
        <v>24</v>
      </c>
      <c r="H1659" t="s">
        <v>18</v>
      </c>
      <c r="I1659" t="s">
        <v>19</v>
      </c>
      <c r="J1659" t="s">
        <v>20</v>
      </c>
      <c r="K1659" t="s">
        <v>21</v>
      </c>
      <c r="L1659" t="s">
        <v>22</v>
      </c>
      <c r="M1659">
        <v>8000.36</v>
      </c>
      <c r="N1659">
        <v>2020</v>
      </c>
      <c r="O1659">
        <v>6</v>
      </c>
    </row>
    <row r="1660" spans="1:15" x14ac:dyDescent="0.3">
      <c r="A1660" s="1">
        <v>43983</v>
      </c>
      <c r="B1660">
        <v>1000000029</v>
      </c>
      <c r="C1660" t="s">
        <v>15</v>
      </c>
      <c r="D1660">
        <v>1</v>
      </c>
      <c r="E1660">
        <v>5500.58</v>
      </c>
      <c r="F1660" t="s">
        <v>16</v>
      </c>
      <c r="G1660" t="s">
        <v>17</v>
      </c>
      <c r="H1660" t="s">
        <v>18</v>
      </c>
      <c r="I1660" t="s">
        <v>19</v>
      </c>
      <c r="J1660" t="s">
        <v>20</v>
      </c>
      <c r="K1660" t="s">
        <v>21</v>
      </c>
      <c r="L1660" t="s">
        <v>22</v>
      </c>
      <c r="M1660">
        <v>5500.58</v>
      </c>
      <c r="N1660">
        <v>2020</v>
      </c>
      <c r="O1660">
        <v>6</v>
      </c>
    </row>
    <row r="1661" spans="1:15" x14ac:dyDescent="0.3">
      <c r="A1661" s="1">
        <v>43984</v>
      </c>
      <c r="B1661">
        <v>1000000029</v>
      </c>
      <c r="C1661" t="s">
        <v>23</v>
      </c>
      <c r="D1661">
        <v>2</v>
      </c>
      <c r="E1661">
        <v>22096.800000000003</v>
      </c>
      <c r="F1661" t="s">
        <v>16</v>
      </c>
      <c r="G1661" t="s">
        <v>24</v>
      </c>
      <c r="H1661" t="s">
        <v>18</v>
      </c>
      <c r="I1661" t="s">
        <v>19</v>
      </c>
      <c r="J1661" t="s">
        <v>20</v>
      </c>
      <c r="K1661" t="s">
        <v>21</v>
      </c>
      <c r="L1661" t="s">
        <v>22</v>
      </c>
      <c r="M1661">
        <v>11048.400000000001</v>
      </c>
      <c r="N1661">
        <v>2020</v>
      </c>
      <c r="O1661">
        <v>6</v>
      </c>
    </row>
    <row r="1662" spans="1:15" x14ac:dyDescent="0.3">
      <c r="A1662" s="1">
        <v>43984</v>
      </c>
      <c r="B1662">
        <v>1000000029</v>
      </c>
      <c r="C1662" t="s">
        <v>42</v>
      </c>
      <c r="D1662">
        <v>1</v>
      </c>
      <c r="E1662">
        <v>20000.62</v>
      </c>
      <c r="F1662" t="s">
        <v>16</v>
      </c>
      <c r="G1662" t="s">
        <v>43</v>
      </c>
      <c r="H1662" t="s">
        <v>18</v>
      </c>
      <c r="I1662" t="s">
        <v>19</v>
      </c>
      <c r="J1662" t="s">
        <v>20</v>
      </c>
      <c r="K1662" t="s">
        <v>21</v>
      </c>
      <c r="L1662" t="s">
        <v>22</v>
      </c>
      <c r="M1662">
        <v>20000.62</v>
      </c>
      <c r="N1662">
        <v>2020</v>
      </c>
      <c r="O1662">
        <v>6</v>
      </c>
    </row>
    <row r="1663" spans="1:15" x14ac:dyDescent="0.3">
      <c r="A1663" s="1">
        <v>43985</v>
      </c>
      <c r="B1663">
        <v>1000000029</v>
      </c>
      <c r="C1663" t="s">
        <v>23</v>
      </c>
      <c r="D1663">
        <v>2</v>
      </c>
      <c r="E1663">
        <v>2902.38</v>
      </c>
      <c r="F1663" t="s">
        <v>16</v>
      </c>
      <c r="G1663" t="s">
        <v>24</v>
      </c>
      <c r="H1663" t="s">
        <v>18</v>
      </c>
      <c r="I1663" t="s">
        <v>19</v>
      </c>
      <c r="J1663" t="s">
        <v>20</v>
      </c>
      <c r="K1663" t="s">
        <v>21</v>
      </c>
      <c r="L1663" t="s">
        <v>22</v>
      </c>
      <c r="M1663">
        <v>1451.19</v>
      </c>
      <c r="N1663">
        <v>2020</v>
      </c>
      <c r="O1663">
        <v>6</v>
      </c>
    </row>
    <row r="1664" spans="1:15" x14ac:dyDescent="0.3">
      <c r="A1664" s="1">
        <v>43985</v>
      </c>
      <c r="B1664">
        <v>1000000029</v>
      </c>
      <c r="C1664" t="s">
        <v>15</v>
      </c>
      <c r="D1664">
        <v>1</v>
      </c>
      <c r="E1664">
        <v>5001.25</v>
      </c>
      <c r="F1664" t="s">
        <v>16</v>
      </c>
      <c r="G1664" t="s">
        <v>17</v>
      </c>
      <c r="H1664" t="s">
        <v>18</v>
      </c>
      <c r="I1664" t="s">
        <v>19</v>
      </c>
      <c r="J1664" t="s">
        <v>20</v>
      </c>
      <c r="K1664" t="s">
        <v>21</v>
      </c>
      <c r="L1664" t="s">
        <v>22</v>
      </c>
      <c r="M1664">
        <v>5001.25</v>
      </c>
      <c r="N1664">
        <v>2020</v>
      </c>
      <c r="O1664">
        <v>6</v>
      </c>
    </row>
    <row r="1665" spans="1:15" x14ac:dyDescent="0.3">
      <c r="A1665" s="1">
        <v>43985</v>
      </c>
      <c r="B1665">
        <v>1000000028</v>
      </c>
      <c r="C1665" t="s">
        <v>23</v>
      </c>
      <c r="D1665">
        <v>1</v>
      </c>
      <c r="E1665">
        <v>1000.98</v>
      </c>
      <c r="F1665" t="s">
        <v>16</v>
      </c>
      <c r="G1665" t="s">
        <v>24</v>
      </c>
      <c r="H1665" t="s">
        <v>18</v>
      </c>
      <c r="I1665" t="s">
        <v>19</v>
      </c>
      <c r="J1665" t="s">
        <v>20</v>
      </c>
      <c r="K1665" t="s">
        <v>21</v>
      </c>
      <c r="L1665" t="s">
        <v>22</v>
      </c>
      <c r="M1665">
        <v>1000.98</v>
      </c>
      <c r="N1665">
        <v>2020</v>
      </c>
      <c r="O1665">
        <v>6</v>
      </c>
    </row>
    <row r="1666" spans="1:15" x14ac:dyDescent="0.3">
      <c r="A1666" s="1">
        <v>43983</v>
      </c>
      <c r="B1666">
        <v>1000000030</v>
      </c>
      <c r="C1666" t="s">
        <v>15</v>
      </c>
      <c r="D1666">
        <v>1</v>
      </c>
      <c r="E1666">
        <v>6000.71</v>
      </c>
      <c r="F1666" t="s">
        <v>16</v>
      </c>
      <c r="G1666" t="s">
        <v>17</v>
      </c>
      <c r="H1666" t="s">
        <v>47</v>
      </c>
      <c r="I1666" t="s">
        <v>48</v>
      </c>
      <c r="J1666" t="s">
        <v>36</v>
      </c>
      <c r="K1666" t="s">
        <v>49</v>
      </c>
      <c r="L1666" t="s">
        <v>22</v>
      </c>
      <c r="M1666">
        <v>6000.71</v>
      </c>
      <c r="N1666">
        <v>2020</v>
      </c>
      <c r="O1666">
        <v>6</v>
      </c>
    </row>
    <row r="1667" spans="1:15" x14ac:dyDescent="0.3">
      <c r="A1667" s="1">
        <v>43984</v>
      </c>
      <c r="B1667">
        <v>1000000030</v>
      </c>
      <c r="C1667" t="s">
        <v>23</v>
      </c>
      <c r="D1667">
        <v>1</v>
      </c>
      <c r="E1667">
        <v>5500.15</v>
      </c>
      <c r="F1667" t="s">
        <v>16</v>
      </c>
      <c r="G1667" t="s">
        <v>24</v>
      </c>
      <c r="H1667" t="s">
        <v>47</v>
      </c>
      <c r="I1667" t="s">
        <v>48</v>
      </c>
      <c r="J1667" t="s">
        <v>36</v>
      </c>
      <c r="K1667" t="s">
        <v>49</v>
      </c>
      <c r="L1667" t="s">
        <v>22</v>
      </c>
      <c r="M1667">
        <v>5500.15</v>
      </c>
      <c r="N1667">
        <v>2020</v>
      </c>
      <c r="O1667">
        <v>6</v>
      </c>
    </row>
    <row r="1668" spans="1:15" x14ac:dyDescent="0.3">
      <c r="A1668" s="1">
        <v>43985</v>
      </c>
      <c r="B1668">
        <v>1000000030</v>
      </c>
      <c r="C1668" t="s">
        <v>23</v>
      </c>
      <c r="D1668">
        <v>1</v>
      </c>
      <c r="E1668">
        <v>1999.97</v>
      </c>
      <c r="F1668" t="s">
        <v>16</v>
      </c>
      <c r="G1668" t="s">
        <v>24</v>
      </c>
      <c r="H1668" t="s">
        <v>47</v>
      </c>
      <c r="I1668" t="s">
        <v>48</v>
      </c>
      <c r="J1668" t="s">
        <v>36</v>
      </c>
      <c r="K1668" t="s">
        <v>49</v>
      </c>
      <c r="L1668" t="s">
        <v>22</v>
      </c>
      <c r="M1668">
        <v>1999.97</v>
      </c>
      <c r="N1668">
        <v>2020</v>
      </c>
      <c r="O1668">
        <v>6</v>
      </c>
    </row>
    <row r="1669" spans="1:15" x14ac:dyDescent="0.3">
      <c r="A1669" s="1">
        <v>43985</v>
      </c>
      <c r="B1669">
        <v>1000000030</v>
      </c>
      <c r="C1669" t="s">
        <v>15</v>
      </c>
      <c r="D1669">
        <v>1</v>
      </c>
      <c r="E1669">
        <v>7000.35</v>
      </c>
      <c r="F1669" t="s">
        <v>16</v>
      </c>
      <c r="G1669" t="s">
        <v>17</v>
      </c>
      <c r="H1669" t="s">
        <v>47</v>
      </c>
      <c r="I1669" t="s">
        <v>48</v>
      </c>
      <c r="J1669" t="s">
        <v>36</v>
      </c>
      <c r="K1669" t="s">
        <v>49</v>
      </c>
      <c r="L1669" t="s">
        <v>22</v>
      </c>
      <c r="M1669">
        <v>7000.35</v>
      </c>
      <c r="N1669">
        <v>2020</v>
      </c>
      <c r="O1669">
        <v>6</v>
      </c>
    </row>
    <row r="1670" spans="1:15" x14ac:dyDescent="0.3">
      <c r="A1670" s="1">
        <v>43983</v>
      </c>
      <c r="B1670">
        <v>1000000031</v>
      </c>
      <c r="C1670" t="s">
        <v>23</v>
      </c>
      <c r="D1670">
        <v>1</v>
      </c>
      <c r="E1670">
        <v>10000.719999999999</v>
      </c>
      <c r="F1670" t="s">
        <v>16</v>
      </c>
      <c r="G1670" t="s">
        <v>24</v>
      </c>
      <c r="H1670" t="s">
        <v>18</v>
      </c>
      <c r="I1670" t="s">
        <v>19</v>
      </c>
      <c r="J1670" t="s">
        <v>26</v>
      </c>
      <c r="K1670" t="s">
        <v>29</v>
      </c>
      <c r="L1670" t="s">
        <v>28</v>
      </c>
      <c r="M1670">
        <v>10000.719999999999</v>
      </c>
      <c r="N1670">
        <v>2020</v>
      </c>
      <c r="O1670">
        <v>6</v>
      </c>
    </row>
    <row r="1671" spans="1:15" x14ac:dyDescent="0.3">
      <c r="A1671" s="1">
        <v>43983</v>
      </c>
      <c r="B1671">
        <v>1000000031</v>
      </c>
      <c r="C1671" t="s">
        <v>15</v>
      </c>
      <c r="D1671">
        <v>1</v>
      </c>
      <c r="E1671">
        <v>15000.26</v>
      </c>
      <c r="F1671" t="s">
        <v>16</v>
      </c>
      <c r="G1671" t="s">
        <v>17</v>
      </c>
      <c r="H1671" t="s">
        <v>18</v>
      </c>
      <c r="I1671" t="s">
        <v>19</v>
      </c>
      <c r="J1671" t="s">
        <v>26</v>
      </c>
      <c r="K1671" t="s">
        <v>29</v>
      </c>
      <c r="L1671" t="s">
        <v>28</v>
      </c>
      <c r="M1671">
        <v>15000.26</v>
      </c>
      <c r="N1671">
        <v>2020</v>
      </c>
      <c r="O1671">
        <v>6</v>
      </c>
    </row>
    <row r="1672" spans="1:15" x14ac:dyDescent="0.3">
      <c r="A1672" s="1">
        <v>43984</v>
      </c>
      <c r="B1672">
        <v>1000000031</v>
      </c>
      <c r="C1672" t="s">
        <v>23</v>
      </c>
      <c r="D1672">
        <v>2</v>
      </c>
      <c r="E1672">
        <v>17500.260000000002</v>
      </c>
      <c r="F1672" t="s">
        <v>16</v>
      </c>
      <c r="G1672" t="s">
        <v>24</v>
      </c>
      <c r="H1672" t="s">
        <v>18</v>
      </c>
      <c r="I1672" t="s">
        <v>19</v>
      </c>
      <c r="J1672" t="s">
        <v>26</v>
      </c>
      <c r="K1672" t="s">
        <v>29</v>
      </c>
      <c r="L1672" t="s">
        <v>28</v>
      </c>
      <c r="M1672">
        <v>8750.130000000001</v>
      </c>
      <c r="N1672">
        <v>2020</v>
      </c>
      <c r="O1672">
        <v>6</v>
      </c>
    </row>
    <row r="1673" spans="1:15" x14ac:dyDescent="0.3">
      <c r="A1673" s="1">
        <v>43984</v>
      </c>
      <c r="B1673">
        <v>1000000031</v>
      </c>
      <c r="C1673" t="s">
        <v>15</v>
      </c>
      <c r="D1673">
        <v>1</v>
      </c>
      <c r="E1673">
        <v>14000.6</v>
      </c>
      <c r="F1673" t="s">
        <v>16</v>
      </c>
      <c r="G1673" t="s">
        <v>17</v>
      </c>
      <c r="H1673" t="s">
        <v>18</v>
      </c>
      <c r="I1673" t="s">
        <v>19</v>
      </c>
      <c r="J1673" t="s">
        <v>26</v>
      </c>
      <c r="K1673" t="s">
        <v>29</v>
      </c>
      <c r="L1673" t="s">
        <v>28</v>
      </c>
      <c r="M1673">
        <v>14000.6</v>
      </c>
      <c r="N1673">
        <v>2020</v>
      </c>
      <c r="O1673">
        <v>6</v>
      </c>
    </row>
    <row r="1674" spans="1:15" x14ac:dyDescent="0.3">
      <c r="A1674" s="1">
        <v>43984</v>
      </c>
      <c r="B1674">
        <v>1000000031</v>
      </c>
      <c r="C1674" t="s">
        <v>42</v>
      </c>
      <c r="D1674">
        <v>1</v>
      </c>
      <c r="E1674">
        <v>849.01</v>
      </c>
      <c r="F1674" t="s">
        <v>16</v>
      </c>
      <c r="G1674" t="s">
        <v>43</v>
      </c>
      <c r="H1674" t="s">
        <v>18</v>
      </c>
      <c r="I1674" t="s">
        <v>19</v>
      </c>
      <c r="J1674" t="s">
        <v>26</v>
      </c>
      <c r="K1674" t="s">
        <v>29</v>
      </c>
      <c r="L1674" t="s">
        <v>28</v>
      </c>
      <c r="M1674">
        <v>849.01</v>
      </c>
      <c r="N1674">
        <v>2020</v>
      </c>
      <c r="O1674">
        <v>6</v>
      </c>
    </row>
    <row r="1675" spans="1:15" x14ac:dyDescent="0.3">
      <c r="A1675" s="1">
        <v>43985</v>
      </c>
      <c r="B1675">
        <v>1000000031</v>
      </c>
      <c r="C1675" t="s">
        <v>15</v>
      </c>
      <c r="D1675">
        <v>5</v>
      </c>
      <c r="E1675">
        <v>59192.03</v>
      </c>
      <c r="F1675" t="s">
        <v>16</v>
      </c>
      <c r="G1675" t="s">
        <v>17</v>
      </c>
      <c r="H1675" t="s">
        <v>18</v>
      </c>
      <c r="I1675" t="s">
        <v>19</v>
      </c>
      <c r="J1675" t="s">
        <v>26</v>
      </c>
      <c r="K1675" t="s">
        <v>29</v>
      </c>
      <c r="L1675" t="s">
        <v>28</v>
      </c>
      <c r="M1675">
        <v>11838.405999999999</v>
      </c>
      <c r="N1675">
        <v>2020</v>
      </c>
      <c r="O1675">
        <v>6</v>
      </c>
    </row>
    <row r="1676" spans="1:15" x14ac:dyDescent="0.3">
      <c r="A1676" s="1">
        <v>43985</v>
      </c>
      <c r="B1676">
        <v>1000000031</v>
      </c>
      <c r="C1676" t="s">
        <v>42</v>
      </c>
      <c r="D1676">
        <v>1</v>
      </c>
      <c r="E1676">
        <v>500.75</v>
      </c>
      <c r="F1676" t="s">
        <v>16</v>
      </c>
      <c r="G1676" t="s">
        <v>43</v>
      </c>
      <c r="H1676" t="s">
        <v>18</v>
      </c>
      <c r="I1676" t="s">
        <v>19</v>
      </c>
      <c r="J1676" t="s">
        <v>26</v>
      </c>
      <c r="K1676" t="s">
        <v>29</v>
      </c>
      <c r="L1676" t="s">
        <v>28</v>
      </c>
      <c r="M1676">
        <v>500.75</v>
      </c>
      <c r="N1676">
        <v>2020</v>
      </c>
      <c r="O1676">
        <v>6</v>
      </c>
    </row>
    <row r="1677" spans="1:15" x14ac:dyDescent="0.3">
      <c r="A1677" s="1">
        <v>43983</v>
      </c>
      <c r="B1677">
        <v>1000000032</v>
      </c>
      <c r="C1677" t="s">
        <v>23</v>
      </c>
      <c r="D1677">
        <v>3</v>
      </c>
      <c r="E1677">
        <v>38000.94</v>
      </c>
      <c r="F1677" t="s">
        <v>16</v>
      </c>
      <c r="G1677" t="s">
        <v>24</v>
      </c>
      <c r="H1677" t="s">
        <v>18</v>
      </c>
      <c r="I1677" t="s">
        <v>25</v>
      </c>
      <c r="J1677" t="s">
        <v>26</v>
      </c>
      <c r="K1677" t="s">
        <v>27</v>
      </c>
      <c r="L1677" t="s">
        <v>28</v>
      </c>
      <c r="M1677">
        <v>12666.980000000001</v>
      </c>
      <c r="N1677">
        <v>2020</v>
      </c>
      <c r="O1677">
        <v>6</v>
      </c>
    </row>
    <row r="1678" spans="1:15" x14ac:dyDescent="0.3">
      <c r="A1678" s="1">
        <v>43983</v>
      </c>
      <c r="B1678">
        <v>1000000032</v>
      </c>
      <c r="C1678" t="s">
        <v>15</v>
      </c>
      <c r="D1678">
        <v>2</v>
      </c>
      <c r="E1678">
        <v>8675.91</v>
      </c>
      <c r="F1678" t="s">
        <v>16</v>
      </c>
      <c r="G1678" t="s">
        <v>17</v>
      </c>
      <c r="H1678" t="s">
        <v>18</v>
      </c>
      <c r="I1678" t="s">
        <v>25</v>
      </c>
      <c r="J1678" t="s">
        <v>26</v>
      </c>
      <c r="K1678" t="s">
        <v>27</v>
      </c>
      <c r="L1678" t="s">
        <v>28</v>
      </c>
      <c r="M1678">
        <v>4337.9549999999999</v>
      </c>
      <c r="N1678">
        <v>2020</v>
      </c>
      <c r="O1678">
        <v>6</v>
      </c>
    </row>
    <row r="1679" spans="1:15" x14ac:dyDescent="0.3">
      <c r="A1679" s="1">
        <v>43983</v>
      </c>
      <c r="B1679">
        <v>1000000032</v>
      </c>
      <c r="C1679" t="s">
        <v>42</v>
      </c>
      <c r="D1679">
        <v>1</v>
      </c>
      <c r="E1679">
        <v>1000.22</v>
      </c>
      <c r="F1679" t="s">
        <v>16</v>
      </c>
      <c r="G1679" t="s">
        <v>43</v>
      </c>
      <c r="H1679" t="s">
        <v>18</v>
      </c>
      <c r="I1679" t="s">
        <v>25</v>
      </c>
      <c r="J1679" t="s">
        <v>26</v>
      </c>
      <c r="K1679" t="s">
        <v>27</v>
      </c>
      <c r="L1679" t="s">
        <v>28</v>
      </c>
      <c r="M1679">
        <v>1000.22</v>
      </c>
      <c r="N1679">
        <v>2020</v>
      </c>
      <c r="O1679">
        <v>6</v>
      </c>
    </row>
    <row r="1680" spans="1:15" x14ac:dyDescent="0.3">
      <c r="A1680" s="1">
        <v>43984</v>
      </c>
      <c r="B1680">
        <v>1000000032</v>
      </c>
      <c r="C1680" t="s">
        <v>23</v>
      </c>
      <c r="D1680">
        <v>1</v>
      </c>
      <c r="E1680">
        <v>875.32</v>
      </c>
      <c r="F1680" t="s">
        <v>16</v>
      </c>
      <c r="G1680" t="s">
        <v>24</v>
      </c>
      <c r="H1680" t="s">
        <v>18</v>
      </c>
      <c r="I1680" t="s">
        <v>25</v>
      </c>
      <c r="J1680" t="s">
        <v>26</v>
      </c>
      <c r="K1680" t="s">
        <v>27</v>
      </c>
      <c r="L1680" t="s">
        <v>28</v>
      </c>
      <c r="M1680">
        <v>875.32</v>
      </c>
      <c r="N1680">
        <v>2020</v>
      </c>
      <c r="O1680">
        <v>6</v>
      </c>
    </row>
    <row r="1681" spans="1:15" x14ac:dyDescent="0.3">
      <c r="A1681" s="1">
        <v>43984</v>
      </c>
      <c r="B1681">
        <v>1000000032</v>
      </c>
      <c r="C1681" t="s">
        <v>15</v>
      </c>
      <c r="D1681">
        <v>1</v>
      </c>
      <c r="E1681">
        <v>11000.62</v>
      </c>
      <c r="F1681" t="s">
        <v>16</v>
      </c>
      <c r="G1681" t="s">
        <v>17</v>
      </c>
      <c r="H1681" t="s">
        <v>18</v>
      </c>
      <c r="I1681" t="s">
        <v>25</v>
      </c>
      <c r="J1681" t="s">
        <v>26</v>
      </c>
      <c r="K1681" t="s">
        <v>27</v>
      </c>
      <c r="L1681" t="s">
        <v>28</v>
      </c>
      <c r="M1681">
        <v>11000.62</v>
      </c>
      <c r="N1681">
        <v>2020</v>
      </c>
      <c r="O1681">
        <v>6</v>
      </c>
    </row>
    <row r="1682" spans="1:15" x14ac:dyDescent="0.3">
      <c r="A1682" s="1">
        <v>43985</v>
      </c>
      <c r="B1682">
        <v>1000000032</v>
      </c>
      <c r="C1682" t="s">
        <v>15</v>
      </c>
      <c r="D1682">
        <v>2</v>
      </c>
      <c r="E1682">
        <v>29000.83</v>
      </c>
      <c r="F1682" t="s">
        <v>16</v>
      </c>
      <c r="G1682" t="s">
        <v>17</v>
      </c>
      <c r="H1682" t="s">
        <v>18</v>
      </c>
      <c r="I1682" t="s">
        <v>25</v>
      </c>
      <c r="J1682" t="s">
        <v>26</v>
      </c>
      <c r="K1682" t="s">
        <v>27</v>
      </c>
      <c r="L1682" t="s">
        <v>28</v>
      </c>
      <c r="M1682">
        <v>14500.415000000001</v>
      </c>
      <c r="N1682">
        <v>2020</v>
      </c>
      <c r="O1682">
        <v>6</v>
      </c>
    </row>
    <row r="1683" spans="1:15" x14ac:dyDescent="0.3">
      <c r="A1683" s="1">
        <v>43984</v>
      </c>
      <c r="B1683">
        <v>1000000033</v>
      </c>
      <c r="C1683" t="s">
        <v>15</v>
      </c>
      <c r="D1683">
        <v>1</v>
      </c>
      <c r="E1683">
        <v>20000.009999999998</v>
      </c>
      <c r="F1683" t="s">
        <v>16</v>
      </c>
      <c r="G1683" t="s">
        <v>17</v>
      </c>
      <c r="H1683" t="s">
        <v>18</v>
      </c>
      <c r="I1683" t="s">
        <v>25</v>
      </c>
      <c r="J1683" t="s">
        <v>26</v>
      </c>
      <c r="K1683" t="s">
        <v>27</v>
      </c>
      <c r="L1683" t="s">
        <v>22</v>
      </c>
      <c r="M1683">
        <v>20000.009999999998</v>
      </c>
      <c r="N1683">
        <v>2020</v>
      </c>
      <c r="O1683">
        <v>6</v>
      </c>
    </row>
    <row r="1684" spans="1:15" x14ac:dyDescent="0.3">
      <c r="A1684" s="1">
        <v>43985</v>
      </c>
      <c r="B1684">
        <v>1000000033</v>
      </c>
      <c r="C1684" t="s">
        <v>15</v>
      </c>
      <c r="D1684">
        <v>1</v>
      </c>
      <c r="E1684">
        <v>6000.24</v>
      </c>
      <c r="F1684" t="s">
        <v>16</v>
      </c>
      <c r="G1684" t="s">
        <v>17</v>
      </c>
      <c r="H1684" t="s">
        <v>18</v>
      </c>
      <c r="I1684" t="s">
        <v>25</v>
      </c>
      <c r="J1684" t="s">
        <v>26</v>
      </c>
      <c r="K1684" t="s">
        <v>27</v>
      </c>
      <c r="L1684" t="s">
        <v>22</v>
      </c>
      <c r="M1684">
        <v>6000.24</v>
      </c>
      <c r="N1684">
        <v>2020</v>
      </c>
      <c r="O1684">
        <v>6</v>
      </c>
    </row>
    <row r="1685" spans="1:15" x14ac:dyDescent="0.3">
      <c r="A1685" s="1">
        <v>43984</v>
      </c>
      <c r="B1685">
        <v>1000000034</v>
      </c>
      <c r="C1685" t="s">
        <v>15</v>
      </c>
      <c r="D1685">
        <v>1</v>
      </c>
      <c r="E1685">
        <v>1747.48</v>
      </c>
      <c r="F1685" t="s">
        <v>16</v>
      </c>
      <c r="G1685" t="s">
        <v>17</v>
      </c>
      <c r="H1685" t="s">
        <v>18</v>
      </c>
      <c r="I1685" t="s">
        <v>25</v>
      </c>
      <c r="J1685" t="s">
        <v>26</v>
      </c>
      <c r="K1685" t="s">
        <v>27</v>
      </c>
      <c r="L1685" t="s">
        <v>22</v>
      </c>
      <c r="M1685">
        <v>1747.48</v>
      </c>
      <c r="N1685">
        <v>2020</v>
      </c>
      <c r="O1685">
        <v>6</v>
      </c>
    </row>
    <row r="1686" spans="1:15" x14ac:dyDescent="0.3">
      <c r="A1686" s="1">
        <v>43983</v>
      </c>
      <c r="B1686">
        <v>1000000035</v>
      </c>
      <c r="C1686" t="s">
        <v>23</v>
      </c>
      <c r="D1686">
        <v>1</v>
      </c>
      <c r="E1686">
        <v>1657.59</v>
      </c>
      <c r="F1686" t="s">
        <v>16</v>
      </c>
      <c r="G1686" t="s">
        <v>24</v>
      </c>
      <c r="H1686" t="s">
        <v>18</v>
      </c>
      <c r="I1686" t="s">
        <v>25</v>
      </c>
      <c r="J1686" t="s">
        <v>36</v>
      </c>
      <c r="K1686" t="s">
        <v>37</v>
      </c>
      <c r="L1686" t="s">
        <v>22</v>
      </c>
      <c r="M1686">
        <v>1657.59</v>
      </c>
      <c r="N1686">
        <v>2020</v>
      </c>
      <c r="O1686">
        <v>6</v>
      </c>
    </row>
    <row r="1687" spans="1:15" x14ac:dyDescent="0.3">
      <c r="A1687" s="1">
        <v>43983</v>
      </c>
      <c r="B1687">
        <v>1000000036</v>
      </c>
      <c r="C1687" t="s">
        <v>15</v>
      </c>
      <c r="D1687">
        <v>1</v>
      </c>
      <c r="E1687">
        <v>10000.1</v>
      </c>
      <c r="F1687" t="s">
        <v>16</v>
      </c>
      <c r="G1687" t="s">
        <v>17</v>
      </c>
      <c r="H1687" t="s">
        <v>47</v>
      </c>
      <c r="I1687" t="s">
        <v>48</v>
      </c>
      <c r="J1687" t="s">
        <v>36</v>
      </c>
      <c r="K1687" t="s">
        <v>49</v>
      </c>
      <c r="L1687" t="s">
        <v>28</v>
      </c>
      <c r="M1687">
        <v>10000.1</v>
      </c>
      <c r="N1687">
        <v>2020</v>
      </c>
      <c r="O1687">
        <v>6</v>
      </c>
    </row>
    <row r="1688" spans="1:15" x14ac:dyDescent="0.3">
      <c r="A1688" s="1">
        <v>43983</v>
      </c>
      <c r="B1688">
        <v>1000000036</v>
      </c>
      <c r="C1688" t="s">
        <v>42</v>
      </c>
      <c r="D1688">
        <v>1</v>
      </c>
      <c r="E1688">
        <v>1261.74</v>
      </c>
      <c r="F1688" t="s">
        <v>16</v>
      </c>
      <c r="G1688" t="s">
        <v>43</v>
      </c>
      <c r="H1688" t="s">
        <v>47</v>
      </c>
      <c r="I1688" t="s">
        <v>48</v>
      </c>
      <c r="J1688" t="s">
        <v>36</v>
      </c>
      <c r="K1688" t="s">
        <v>49</v>
      </c>
      <c r="L1688" t="s">
        <v>28</v>
      </c>
      <c r="M1688">
        <v>1261.74</v>
      </c>
      <c r="N1688">
        <v>2020</v>
      </c>
      <c r="O1688">
        <v>6</v>
      </c>
    </row>
    <row r="1689" spans="1:15" x14ac:dyDescent="0.3">
      <c r="A1689" s="1">
        <v>43985</v>
      </c>
      <c r="B1689">
        <v>1000000036</v>
      </c>
      <c r="C1689" t="s">
        <v>45</v>
      </c>
      <c r="D1689">
        <v>1</v>
      </c>
      <c r="E1689">
        <v>5388.38</v>
      </c>
      <c r="F1689" t="s">
        <v>46</v>
      </c>
      <c r="G1689" t="s">
        <v>43</v>
      </c>
      <c r="H1689" t="s">
        <v>47</v>
      </c>
      <c r="I1689" t="s">
        <v>48</v>
      </c>
      <c r="J1689" t="s">
        <v>36</v>
      </c>
      <c r="K1689" t="s">
        <v>49</v>
      </c>
      <c r="L1689" t="s">
        <v>28</v>
      </c>
      <c r="M1689">
        <v>5388.38</v>
      </c>
      <c r="N1689">
        <v>2020</v>
      </c>
      <c r="O1689">
        <v>6</v>
      </c>
    </row>
    <row r="1690" spans="1:15" x14ac:dyDescent="0.3">
      <c r="A1690" s="1">
        <v>43985</v>
      </c>
      <c r="B1690">
        <v>1000000036</v>
      </c>
      <c r="C1690" t="s">
        <v>23</v>
      </c>
      <c r="D1690">
        <v>1</v>
      </c>
      <c r="E1690">
        <v>5114.62</v>
      </c>
      <c r="F1690" t="s">
        <v>16</v>
      </c>
      <c r="G1690" t="s">
        <v>24</v>
      </c>
      <c r="H1690" t="s">
        <v>47</v>
      </c>
      <c r="I1690" t="s">
        <v>48</v>
      </c>
      <c r="J1690" t="s">
        <v>36</v>
      </c>
      <c r="K1690" t="s">
        <v>49</v>
      </c>
      <c r="L1690" t="s">
        <v>28</v>
      </c>
      <c r="M1690">
        <v>5114.62</v>
      </c>
      <c r="N1690">
        <v>2020</v>
      </c>
      <c r="O1690">
        <v>6</v>
      </c>
    </row>
    <row r="1691" spans="1:15" x14ac:dyDescent="0.3">
      <c r="A1691" s="1">
        <v>43985</v>
      </c>
      <c r="B1691">
        <v>1000000036</v>
      </c>
      <c r="C1691" t="s">
        <v>15</v>
      </c>
      <c r="D1691">
        <v>1</v>
      </c>
      <c r="E1691">
        <v>17000.75</v>
      </c>
      <c r="F1691" t="s">
        <v>16</v>
      </c>
      <c r="G1691" t="s">
        <v>17</v>
      </c>
      <c r="H1691" t="s">
        <v>47</v>
      </c>
      <c r="I1691" t="s">
        <v>48</v>
      </c>
      <c r="J1691" t="s">
        <v>36</v>
      </c>
      <c r="K1691" t="s">
        <v>49</v>
      </c>
      <c r="L1691" t="s">
        <v>28</v>
      </c>
      <c r="M1691">
        <v>17000.75</v>
      </c>
      <c r="N1691">
        <v>2020</v>
      </c>
      <c r="O1691">
        <v>6</v>
      </c>
    </row>
    <row r="1692" spans="1:15" x14ac:dyDescent="0.3">
      <c r="A1692" s="1">
        <v>43983</v>
      </c>
      <c r="B1692">
        <v>1000000037</v>
      </c>
      <c r="C1692" t="s">
        <v>42</v>
      </c>
      <c r="D1692">
        <v>1</v>
      </c>
      <c r="E1692">
        <v>12000.24</v>
      </c>
      <c r="F1692" t="s">
        <v>16</v>
      </c>
      <c r="G1692" t="s">
        <v>43</v>
      </c>
      <c r="H1692" t="s">
        <v>18</v>
      </c>
      <c r="I1692" t="s">
        <v>19</v>
      </c>
      <c r="J1692" t="s">
        <v>20</v>
      </c>
      <c r="K1692" t="s">
        <v>21</v>
      </c>
      <c r="L1692" t="s">
        <v>22</v>
      </c>
      <c r="M1692">
        <v>12000.24</v>
      </c>
      <c r="N1692">
        <v>2020</v>
      </c>
      <c r="O1692">
        <v>6</v>
      </c>
    </row>
    <row r="1693" spans="1:15" x14ac:dyDescent="0.3">
      <c r="A1693" s="1">
        <v>43984</v>
      </c>
      <c r="B1693">
        <v>1000000037</v>
      </c>
      <c r="C1693" t="s">
        <v>23</v>
      </c>
      <c r="D1693">
        <v>1</v>
      </c>
      <c r="E1693">
        <v>7000.18</v>
      </c>
      <c r="F1693" t="s">
        <v>16</v>
      </c>
      <c r="G1693" t="s">
        <v>24</v>
      </c>
      <c r="H1693" t="s">
        <v>18</v>
      </c>
      <c r="I1693" t="s">
        <v>19</v>
      </c>
      <c r="J1693" t="s">
        <v>20</v>
      </c>
      <c r="K1693" t="s">
        <v>21</v>
      </c>
      <c r="L1693" t="s">
        <v>22</v>
      </c>
      <c r="M1693">
        <v>7000.18</v>
      </c>
      <c r="N1693">
        <v>2020</v>
      </c>
      <c r="O1693">
        <v>6</v>
      </c>
    </row>
    <row r="1694" spans="1:15" x14ac:dyDescent="0.3">
      <c r="A1694" s="1">
        <v>43984</v>
      </c>
      <c r="B1694">
        <v>1000000037</v>
      </c>
      <c r="C1694" t="s">
        <v>15</v>
      </c>
      <c r="D1694">
        <v>2</v>
      </c>
      <c r="E1694">
        <v>36000.449999999997</v>
      </c>
      <c r="F1694" t="s">
        <v>16</v>
      </c>
      <c r="G1694" t="s">
        <v>17</v>
      </c>
      <c r="H1694" t="s">
        <v>18</v>
      </c>
      <c r="I1694" t="s">
        <v>19</v>
      </c>
      <c r="J1694" t="s">
        <v>20</v>
      </c>
      <c r="K1694" t="s">
        <v>21</v>
      </c>
      <c r="L1694" t="s">
        <v>22</v>
      </c>
      <c r="M1694">
        <v>18000.224999999999</v>
      </c>
      <c r="N1694">
        <v>2020</v>
      </c>
      <c r="O1694">
        <v>6</v>
      </c>
    </row>
    <row r="1695" spans="1:15" x14ac:dyDescent="0.3">
      <c r="A1695" s="1">
        <v>43985</v>
      </c>
      <c r="B1695">
        <v>1000000037</v>
      </c>
      <c r="C1695" t="s">
        <v>23</v>
      </c>
      <c r="D1695">
        <v>3</v>
      </c>
      <c r="E1695">
        <v>29001.160000000003</v>
      </c>
      <c r="F1695" t="s">
        <v>16</v>
      </c>
      <c r="G1695" t="s">
        <v>24</v>
      </c>
      <c r="H1695" t="s">
        <v>18</v>
      </c>
      <c r="I1695" t="s">
        <v>19</v>
      </c>
      <c r="J1695" t="s">
        <v>20</v>
      </c>
      <c r="K1695" t="s">
        <v>21</v>
      </c>
      <c r="L1695" t="s">
        <v>22</v>
      </c>
      <c r="M1695">
        <v>9667.0533333333351</v>
      </c>
      <c r="N1695">
        <v>2020</v>
      </c>
      <c r="O1695">
        <v>6</v>
      </c>
    </row>
    <row r="1696" spans="1:15" x14ac:dyDescent="0.3">
      <c r="A1696" s="1">
        <v>43983</v>
      </c>
      <c r="B1696">
        <v>1000000039</v>
      </c>
      <c r="C1696" t="s">
        <v>23</v>
      </c>
      <c r="D1696">
        <v>2</v>
      </c>
      <c r="E1696">
        <v>16000.54</v>
      </c>
      <c r="F1696" t="s">
        <v>16</v>
      </c>
      <c r="G1696" t="s">
        <v>24</v>
      </c>
      <c r="H1696" t="s">
        <v>18</v>
      </c>
      <c r="I1696" t="s">
        <v>25</v>
      </c>
      <c r="J1696" t="s">
        <v>20</v>
      </c>
      <c r="K1696" t="s">
        <v>51</v>
      </c>
      <c r="L1696" t="s">
        <v>28</v>
      </c>
      <c r="M1696">
        <v>8000.27</v>
      </c>
      <c r="N1696">
        <v>2020</v>
      </c>
      <c r="O1696">
        <v>6</v>
      </c>
    </row>
    <row r="1697" spans="1:15" x14ac:dyDescent="0.3">
      <c r="A1697" s="1">
        <v>43984</v>
      </c>
      <c r="B1697">
        <v>1000000039</v>
      </c>
      <c r="C1697" t="s">
        <v>23</v>
      </c>
      <c r="D1697">
        <v>1</v>
      </c>
      <c r="E1697">
        <v>700.41</v>
      </c>
      <c r="F1697" t="s">
        <v>16</v>
      </c>
      <c r="G1697" t="s">
        <v>24</v>
      </c>
      <c r="H1697" t="s">
        <v>18</v>
      </c>
      <c r="I1697" t="s">
        <v>25</v>
      </c>
      <c r="J1697" t="s">
        <v>20</v>
      </c>
      <c r="K1697" t="s">
        <v>51</v>
      </c>
      <c r="L1697" t="s">
        <v>28</v>
      </c>
      <c r="M1697">
        <v>700.41</v>
      </c>
      <c r="N1697">
        <v>2020</v>
      </c>
      <c r="O1697">
        <v>6</v>
      </c>
    </row>
    <row r="1698" spans="1:15" x14ac:dyDescent="0.3">
      <c r="A1698" s="1">
        <v>43985</v>
      </c>
      <c r="B1698">
        <v>1000000039</v>
      </c>
      <c r="C1698" t="s">
        <v>23</v>
      </c>
      <c r="D1698">
        <v>2</v>
      </c>
      <c r="E1698">
        <v>6500.8</v>
      </c>
      <c r="F1698" t="s">
        <v>16</v>
      </c>
      <c r="G1698" t="s">
        <v>24</v>
      </c>
      <c r="H1698" t="s">
        <v>18</v>
      </c>
      <c r="I1698" t="s">
        <v>25</v>
      </c>
      <c r="J1698" t="s">
        <v>20</v>
      </c>
      <c r="K1698" t="s">
        <v>51</v>
      </c>
      <c r="L1698" t="s">
        <v>28</v>
      </c>
      <c r="M1698">
        <v>3250.4</v>
      </c>
      <c r="N1698">
        <v>2020</v>
      </c>
      <c r="O1698">
        <v>6</v>
      </c>
    </row>
    <row r="1699" spans="1:15" x14ac:dyDescent="0.3">
      <c r="A1699" s="1">
        <v>43983</v>
      </c>
      <c r="B1699">
        <v>1000000040</v>
      </c>
      <c r="C1699" t="s">
        <v>23</v>
      </c>
      <c r="D1699">
        <v>1</v>
      </c>
      <c r="E1699">
        <v>14000.38</v>
      </c>
      <c r="F1699" t="s">
        <v>16</v>
      </c>
      <c r="G1699" t="s">
        <v>24</v>
      </c>
      <c r="H1699" t="s">
        <v>30</v>
      </c>
      <c r="I1699" t="s">
        <v>31</v>
      </c>
      <c r="J1699" t="s">
        <v>32</v>
      </c>
      <c r="K1699" t="s">
        <v>33</v>
      </c>
      <c r="L1699" t="s">
        <v>28</v>
      </c>
      <c r="M1699">
        <v>14000.38</v>
      </c>
      <c r="N1699">
        <v>2020</v>
      </c>
      <c r="O1699">
        <v>6</v>
      </c>
    </row>
    <row r="1700" spans="1:15" x14ac:dyDescent="0.3">
      <c r="A1700" s="1">
        <v>43983</v>
      </c>
      <c r="B1700">
        <v>1000000040</v>
      </c>
      <c r="C1700" t="s">
        <v>15</v>
      </c>
      <c r="D1700">
        <v>1</v>
      </c>
      <c r="E1700">
        <v>1000.19</v>
      </c>
      <c r="F1700" t="s">
        <v>16</v>
      </c>
      <c r="G1700" t="s">
        <v>17</v>
      </c>
      <c r="H1700" t="s">
        <v>30</v>
      </c>
      <c r="I1700" t="s">
        <v>31</v>
      </c>
      <c r="J1700" t="s">
        <v>32</v>
      </c>
      <c r="K1700" t="s">
        <v>33</v>
      </c>
      <c r="L1700" t="s">
        <v>28</v>
      </c>
      <c r="M1700">
        <v>1000.19</v>
      </c>
      <c r="N1700">
        <v>2020</v>
      </c>
      <c r="O1700">
        <v>6</v>
      </c>
    </row>
    <row r="1701" spans="1:15" x14ac:dyDescent="0.3">
      <c r="A1701" s="1">
        <v>43984</v>
      </c>
      <c r="B1701">
        <v>1000000040</v>
      </c>
      <c r="C1701" t="s">
        <v>23</v>
      </c>
      <c r="D1701">
        <v>1</v>
      </c>
      <c r="E1701">
        <v>943.19</v>
      </c>
      <c r="F1701" t="s">
        <v>16</v>
      </c>
      <c r="G1701" t="s">
        <v>24</v>
      </c>
      <c r="H1701" t="s">
        <v>30</v>
      </c>
      <c r="I1701" t="s">
        <v>31</v>
      </c>
      <c r="J1701" t="s">
        <v>32</v>
      </c>
      <c r="K1701" t="s">
        <v>33</v>
      </c>
      <c r="L1701" t="s">
        <v>28</v>
      </c>
      <c r="M1701">
        <v>943.19</v>
      </c>
      <c r="N1701">
        <v>2020</v>
      </c>
      <c r="O1701">
        <v>6</v>
      </c>
    </row>
    <row r="1702" spans="1:15" x14ac:dyDescent="0.3">
      <c r="A1702" s="1">
        <v>43985</v>
      </c>
      <c r="B1702">
        <v>1000000040</v>
      </c>
      <c r="C1702" t="s">
        <v>15</v>
      </c>
      <c r="D1702">
        <v>2</v>
      </c>
      <c r="E1702">
        <v>25000.69</v>
      </c>
      <c r="F1702" t="s">
        <v>16</v>
      </c>
      <c r="G1702" t="s">
        <v>17</v>
      </c>
      <c r="H1702" t="s">
        <v>30</v>
      </c>
      <c r="I1702" t="s">
        <v>31</v>
      </c>
      <c r="J1702" t="s">
        <v>32</v>
      </c>
      <c r="K1702" t="s">
        <v>33</v>
      </c>
      <c r="L1702" t="s">
        <v>28</v>
      </c>
      <c r="M1702">
        <v>12500.344999999999</v>
      </c>
      <c r="N1702">
        <v>2020</v>
      </c>
      <c r="O1702">
        <v>6</v>
      </c>
    </row>
    <row r="1703" spans="1:15" x14ac:dyDescent="0.3">
      <c r="A1703" s="1">
        <v>43984</v>
      </c>
      <c r="B1703">
        <v>1000000041</v>
      </c>
      <c r="C1703" t="s">
        <v>15</v>
      </c>
      <c r="D1703">
        <v>1</v>
      </c>
      <c r="E1703">
        <v>5000.4799999999996</v>
      </c>
      <c r="F1703" t="s">
        <v>16</v>
      </c>
      <c r="G1703" t="s">
        <v>17</v>
      </c>
      <c r="H1703" t="s">
        <v>30</v>
      </c>
      <c r="I1703" t="s">
        <v>31</v>
      </c>
      <c r="J1703" t="s">
        <v>32</v>
      </c>
      <c r="K1703" t="s">
        <v>33</v>
      </c>
      <c r="L1703" t="s">
        <v>22</v>
      </c>
      <c r="M1703">
        <v>5000.4799999999996</v>
      </c>
      <c r="N1703">
        <v>2020</v>
      </c>
      <c r="O1703">
        <v>6</v>
      </c>
    </row>
    <row r="1704" spans="1:15" x14ac:dyDescent="0.3">
      <c r="A1704" s="1">
        <v>43985</v>
      </c>
      <c r="B1704">
        <v>1000000041</v>
      </c>
      <c r="C1704" t="s">
        <v>23</v>
      </c>
      <c r="D1704">
        <v>1</v>
      </c>
      <c r="E1704">
        <v>14000.46</v>
      </c>
      <c r="F1704" t="s">
        <v>16</v>
      </c>
      <c r="G1704" t="s">
        <v>24</v>
      </c>
      <c r="H1704" t="s">
        <v>30</v>
      </c>
      <c r="I1704" t="s">
        <v>31</v>
      </c>
      <c r="J1704" t="s">
        <v>32</v>
      </c>
      <c r="K1704" t="s">
        <v>33</v>
      </c>
      <c r="L1704" t="s">
        <v>22</v>
      </c>
      <c r="M1704">
        <v>14000.46</v>
      </c>
      <c r="N1704">
        <v>2020</v>
      </c>
      <c r="O1704">
        <v>6</v>
      </c>
    </row>
    <row r="1705" spans="1:15" x14ac:dyDescent="0.3">
      <c r="A1705" s="1">
        <v>43983</v>
      </c>
      <c r="B1705">
        <v>1000000044</v>
      </c>
      <c r="C1705" t="s">
        <v>15</v>
      </c>
      <c r="D1705">
        <v>2</v>
      </c>
      <c r="E1705">
        <v>32001.190000000002</v>
      </c>
      <c r="F1705" t="s">
        <v>16</v>
      </c>
      <c r="G1705" t="s">
        <v>17</v>
      </c>
      <c r="H1705" t="s">
        <v>30</v>
      </c>
      <c r="I1705" t="s">
        <v>31</v>
      </c>
      <c r="J1705" t="s">
        <v>36</v>
      </c>
      <c r="K1705" t="s">
        <v>52</v>
      </c>
      <c r="L1705" t="s">
        <v>28</v>
      </c>
      <c r="M1705">
        <v>16000.595000000001</v>
      </c>
      <c r="N1705">
        <v>2020</v>
      </c>
      <c r="O1705">
        <v>6</v>
      </c>
    </row>
    <row r="1706" spans="1:15" x14ac:dyDescent="0.3">
      <c r="A1706" s="1">
        <v>43985</v>
      </c>
      <c r="B1706">
        <v>1000000044</v>
      </c>
      <c r="C1706" t="s">
        <v>15</v>
      </c>
      <c r="D1706">
        <v>1</v>
      </c>
      <c r="E1706">
        <v>10000.39</v>
      </c>
      <c r="F1706" t="s">
        <v>16</v>
      </c>
      <c r="G1706" t="s">
        <v>17</v>
      </c>
      <c r="H1706" t="s">
        <v>30</v>
      </c>
      <c r="I1706" t="s">
        <v>31</v>
      </c>
      <c r="J1706" t="s">
        <v>36</v>
      </c>
      <c r="K1706" t="s">
        <v>52</v>
      </c>
      <c r="L1706" t="s">
        <v>28</v>
      </c>
      <c r="M1706">
        <v>10000.39</v>
      </c>
      <c r="N1706">
        <v>2020</v>
      </c>
      <c r="O1706">
        <v>6</v>
      </c>
    </row>
    <row r="1707" spans="1:15" x14ac:dyDescent="0.3">
      <c r="A1707" s="1">
        <v>43984</v>
      </c>
      <c r="B1707">
        <v>1000000043</v>
      </c>
      <c r="C1707" t="s">
        <v>23</v>
      </c>
      <c r="D1707">
        <v>1</v>
      </c>
      <c r="E1707">
        <v>7000.68</v>
      </c>
      <c r="F1707" t="s">
        <v>16</v>
      </c>
      <c r="G1707" t="s">
        <v>24</v>
      </c>
      <c r="H1707" t="s">
        <v>30</v>
      </c>
      <c r="I1707" t="s">
        <v>38</v>
      </c>
      <c r="J1707" t="s">
        <v>26</v>
      </c>
      <c r="K1707" t="s">
        <v>39</v>
      </c>
      <c r="L1707" t="s">
        <v>22</v>
      </c>
      <c r="M1707">
        <v>7000.68</v>
      </c>
      <c r="N1707">
        <v>2020</v>
      </c>
      <c r="O1707">
        <v>6</v>
      </c>
    </row>
    <row r="1708" spans="1:15" x14ac:dyDescent="0.3">
      <c r="A1708" s="1">
        <v>43984</v>
      </c>
      <c r="B1708">
        <v>1000000043</v>
      </c>
      <c r="C1708" t="s">
        <v>42</v>
      </c>
      <c r="D1708">
        <v>1</v>
      </c>
      <c r="E1708">
        <v>1405.57</v>
      </c>
      <c r="F1708" t="s">
        <v>16</v>
      </c>
      <c r="G1708" t="s">
        <v>43</v>
      </c>
      <c r="H1708" t="s">
        <v>30</v>
      </c>
      <c r="I1708" t="s">
        <v>38</v>
      </c>
      <c r="J1708" t="s">
        <v>26</v>
      </c>
      <c r="K1708" t="s">
        <v>39</v>
      </c>
      <c r="L1708" t="s">
        <v>22</v>
      </c>
      <c r="M1708">
        <v>1405.57</v>
      </c>
      <c r="N1708">
        <v>2020</v>
      </c>
      <c r="O1708">
        <v>6</v>
      </c>
    </row>
    <row r="1709" spans="1:15" x14ac:dyDescent="0.3">
      <c r="A1709" s="1">
        <v>43985</v>
      </c>
      <c r="B1709">
        <v>1000000043</v>
      </c>
      <c r="C1709" t="s">
        <v>23</v>
      </c>
      <c r="D1709">
        <v>2</v>
      </c>
      <c r="E1709">
        <v>26290.97</v>
      </c>
      <c r="F1709" t="s">
        <v>16</v>
      </c>
      <c r="G1709" t="s">
        <v>24</v>
      </c>
      <c r="H1709" t="s">
        <v>30</v>
      </c>
      <c r="I1709" t="s">
        <v>38</v>
      </c>
      <c r="J1709" t="s">
        <v>26</v>
      </c>
      <c r="K1709" t="s">
        <v>39</v>
      </c>
      <c r="L1709" t="s">
        <v>22</v>
      </c>
      <c r="M1709">
        <v>13145.485000000001</v>
      </c>
      <c r="N1709">
        <v>2020</v>
      </c>
      <c r="O1709">
        <v>6</v>
      </c>
    </row>
    <row r="1710" spans="1:15" x14ac:dyDescent="0.3">
      <c r="A1710" s="1">
        <v>43985</v>
      </c>
      <c r="B1710">
        <v>1000000043</v>
      </c>
      <c r="C1710" t="s">
        <v>42</v>
      </c>
      <c r="D1710">
        <v>1</v>
      </c>
      <c r="E1710">
        <v>17000.189999999999</v>
      </c>
      <c r="F1710" t="s">
        <v>16</v>
      </c>
      <c r="G1710" t="s">
        <v>43</v>
      </c>
      <c r="H1710" t="s">
        <v>30</v>
      </c>
      <c r="I1710" t="s">
        <v>38</v>
      </c>
      <c r="J1710" t="s">
        <v>26</v>
      </c>
      <c r="K1710" t="s">
        <v>39</v>
      </c>
      <c r="L1710" t="s">
        <v>22</v>
      </c>
      <c r="M1710">
        <v>17000.189999999999</v>
      </c>
      <c r="N1710">
        <v>2020</v>
      </c>
      <c r="O1710">
        <v>6</v>
      </c>
    </row>
    <row r="1711" spans="1:15" x14ac:dyDescent="0.3">
      <c r="A1711" s="1">
        <v>43983</v>
      </c>
      <c r="B1711">
        <v>1000000045</v>
      </c>
      <c r="C1711" t="s">
        <v>42</v>
      </c>
      <c r="D1711">
        <v>1</v>
      </c>
      <c r="E1711">
        <v>5000.08</v>
      </c>
      <c r="F1711" t="s">
        <v>16</v>
      </c>
      <c r="G1711" t="s">
        <v>43</v>
      </c>
      <c r="H1711" t="s">
        <v>47</v>
      </c>
      <c r="I1711" t="s">
        <v>59</v>
      </c>
      <c r="J1711" t="s">
        <v>26</v>
      </c>
      <c r="K1711" t="s">
        <v>60</v>
      </c>
      <c r="L1711" t="s">
        <v>22</v>
      </c>
      <c r="M1711">
        <v>5000.08</v>
      </c>
      <c r="N1711">
        <v>2020</v>
      </c>
      <c r="O1711">
        <v>6</v>
      </c>
    </row>
    <row r="1712" spans="1:15" x14ac:dyDescent="0.3">
      <c r="A1712" s="1">
        <v>43985</v>
      </c>
      <c r="B1712">
        <v>1000000045</v>
      </c>
      <c r="C1712" t="s">
        <v>15</v>
      </c>
      <c r="D1712">
        <v>1</v>
      </c>
      <c r="E1712">
        <v>17000.57</v>
      </c>
      <c r="F1712" t="s">
        <v>16</v>
      </c>
      <c r="G1712" t="s">
        <v>17</v>
      </c>
      <c r="H1712" t="s">
        <v>47</v>
      </c>
      <c r="I1712" t="s">
        <v>59</v>
      </c>
      <c r="J1712" t="s">
        <v>26</v>
      </c>
      <c r="K1712" t="s">
        <v>60</v>
      </c>
      <c r="L1712" t="s">
        <v>22</v>
      </c>
      <c r="M1712">
        <v>17000.57</v>
      </c>
      <c r="N1712">
        <v>2020</v>
      </c>
      <c r="O1712">
        <v>6</v>
      </c>
    </row>
    <row r="1713" spans="1:15" x14ac:dyDescent="0.3">
      <c r="A1713" s="1">
        <v>43985</v>
      </c>
      <c r="B1713">
        <v>1000000045</v>
      </c>
      <c r="C1713" t="s">
        <v>42</v>
      </c>
      <c r="D1713">
        <v>1</v>
      </c>
      <c r="E1713">
        <v>1260.96</v>
      </c>
      <c r="F1713" t="s">
        <v>16</v>
      </c>
      <c r="G1713" t="s">
        <v>43</v>
      </c>
      <c r="H1713" t="s">
        <v>47</v>
      </c>
      <c r="I1713" t="s">
        <v>59</v>
      </c>
      <c r="J1713" t="s">
        <v>26</v>
      </c>
      <c r="K1713" t="s">
        <v>60</v>
      </c>
      <c r="L1713" t="s">
        <v>22</v>
      </c>
      <c r="M1713">
        <v>1260.96</v>
      </c>
      <c r="N1713">
        <v>2020</v>
      </c>
      <c r="O1713">
        <v>6</v>
      </c>
    </row>
    <row r="1714" spans="1:15" x14ac:dyDescent="0.3">
      <c r="A1714" s="1">
        <v>43983</v>
      </c>
      <c r="B1714">
        <v>1000000054</v>
      </c>
      <c r="C1714" t="s">
        <v>23</v>
      </c>
      <c r="D1714">
        <v>1</v>
      </c>
      <c r="E1714">
        <v>6499.99</v>
      </c>
      <c r="F1714" t="s">
        <v>16</v>
      </c>
      <c r="G1714" t="s">
        <v>24</v>
      </c>
      <c r="H1714" t="s">
        <v>18</v>
      </c>
      <c r="I1714" t="s">
        <v>34</v>
      </c>
      <c r="J1714" t="s">
        <v>26</v>
      </c>
      <c r="K1714" t="s">
        <v>35</v>
      </c>
      <c r="L1714" t="s">
        <v>22</v>
      </c>
      <c r="M1714">
        <v>6499.99</v>
      </c>
      <c r="N1714">
        <v>2020</v>
      </c>
      <c r="O1714">
        <v>6</v>
      </c>
    </row>
    <row r="1715" spans="1:15" x14ac:dyDescent="0.3">
      <c r="A1715" s="1">
        <v>43983</v>
      </c>
      <c r="B1715">
        <v>1000000054</v>
      </c>
      <c r="C1715" t="s">
        <v>42</v>
      </c>
      <c r="D1715">
        <v>1</v>
      </c>
      <c r="E1715">
        <v>18000.63</v>
      </c>
      <c r="F1715" t="s">
        <v>16</v>
      </c>
      <c r="G1715" t="s">
        <v>43</v>
      </c>
      <c r="H1715" t="s">
        <v>18</v>
      </c>
      <c r="I1715" t="s">
        <v>34</v>
      </c>
      <c r="J1715" t="s">
        <v>26</v>
      </c>
      <c r="K1715" t="s">
        <v>35</v>
      </c>
      <c r="L1715" t="s">
        <v>22</v>
      </c>
      <c r="M1715">
        <v>18000.63</v>
      </c>
      <c r="N1715">
        <v>2020</v>
      </c>
      <c r="O1715">
        <v>6</v>
      </c>
    </row>
    <row r="1716" spans="1:15" x14ac:dyDescent="0.3">
      <c r="A1716" s="1">
        <v>43984</v>
      </c>
      <c r="B1716">
        <v>1000000046</v>
      </c>
      <c r="C1716" t="s">
        <v>23</v>
      </c>
      <c r="D1716">
        <v>1</v>
      </c>
      <c r="E1716">
        <v>13000.16</v>
      </c>
      <c r="F1716" t="s">
        <v>16</v>
      </c>
      <c r="G1716" t="s">
        <v>24</v>
      </c>
      <c r="H1716" t="s">
        <v>30</v>
      </c>
      <c r="I1716" t="s">
        <v>38</v>
      </c>
      <c r="J1716" t="s">
        <v>26</v>
      </c>
      <c r="K1716" t="s">
        <v>39</v>
      </c>
      <c r="L1716" t="s">
        <v>22</v>
      </c>
      <c r="M1716">
        <v>13000.16</v>
      </c>
      <c r="N1716">
        <v>2020</v>
      </c>
      <c r="O1716">
        <v>6</v>
      </c>
    </row>
    <row r="1717" spans="1:15" x14ac:dyDescent="0.3">
      <c r="A1717" s="1">
        <v>43985</v>
      </c>
      <c r="B1717">
        <v>1000000046</v>
      </c>
      <c r="C1717" t="s">
        <v>15</v>
      </c>
      <c r="D1717">
        <v>1</v>
      </c>
      <c r="E1717">
        <v>2499.9899999999998</v>
      </c>
      <c r="F1717" t="s">
        <v>16</v>
      </c>
      <c r="G1717" t="s">
        <v>17</v>
      </c>
      <c r="H1717" t="s">
        <v>30</v>
      </c>
      <c r="I1717" t="s">
        <v>38</v>
      </c>
      <c r="J1717" t="s">
        <v>26</v>
      </c>
      <c r="K1717" t="s">
        <v>39</v>
      </c>
      <c r="L1717" t="s">
        <v>22</v>
      </c>
      <c r="M1717">
        <v>2499.9899999999998</v>
      </c>
      <c r="N1717">
        <v>2020</v>
      </c>
      <c r="O1717">
        <v>6</v>
      </c>
    </row>
    <row r="1718" spans="1:15" x14ac:dyDescent="0.3">
      <c r="A1718" s="1">
        <v>43983</v>
      </c>
      <c r="B1718">
        <v>1000000056</v>
      </c>
      <c r="C1718" t="s">
        <v>23</v>
      </c>
      <c r="D1718">
        <v>1</v>
      </c>
      <c r="E1718">
        <v>17999.98</v>
      </c>
      <c r="F1718" t="s">
        <v>16</v>
      </c>
      <c r="G1718" t="s">
        <v>24</v>
      </c>
      <c r="H1718" t="s">
        <v>18</v>
      </c>
      <c r="I1718" t="s">
        <v>34</v>
      </c>
      <c r="J1718" t="s">
        <v>26</v>
      </c>
      <c r="K1718" t="s">
        <v>35</v>
      </c>
      <c r="L1718" t="s">
        <v>28</v>
      </c>
      <c r="M1718">
        <v>17999.98</v>
      </c>
      <c r="N1718">
        <v>2020</v>
      </c>
      <c r="O1718">
        <v>6</v>
      </c>
    </row>
    <row r="1719" spans="1:15" x14ac:dyDescent="0.3">
      <c r="A1719" s="1">
        <v>43984</v>
      </c>
      <c r="B1719">
        <v>1000000056</v>
      </c>
      <c r="C1719" t="s">
        <v>42</v>
      </c>
      <c r="D1719">
        <v>1</v>
      </c>
      <c r="E1719">
        <v>7000.41</v>
      </c>
      <c r="F1719" t="s">
        <v>16</v>
      </c>
      <c r="G1719" t="s">
        <v>43</v>
      </c>
      <c r="H1719" t="s">
        <v>18</v>
      </c>
      <c r="I1719" t="s">
        <v>34</v>
      </c>
      <c r="J1719" t="s">
        <v>26</v>
      </c>
      <c r="K1719" t="s">
        <v>35</v>
      </c>
      <c r="L1719" t="s">
        <v>28</v>
      </c>
      <c r="M1719">
        <v>7000.41</v>
      </c>
      <c r="N1719">
        <v>2020</v>
      </c>
      <c r="O1719">
        <v>6</v>
      </c>
    </row>
    <row r="1720" spans="1:15" x14ac:dyDescent="0.3">
      <c r="A1720" s="1">
        <v>43985</v>
      </c>
      <c r="B1720">
        <v>1000000056</v>
      </c>
      <c r="C1720" t="s">
        <v>23</v>
      </c>
      <c r="D1720">
        <v>2</v>
      </c>
      <c r="E1720">
        <v>25000.18</v>
      </c>
      <c r="F1720" t="s">
        <v>16</v>
      </c>
      <c r="G1720" t="s">
        <v>24</v>
      </c>
      <c r="H1720" t="s">
        <v>18</v>
      </c>
      <c r="I1720" t="s">
        <v>34</v>
      </c>
      <c r="J1720" t="s">
        <v>26</v>
      </c>
      <c r="K1720" t="s">
        <v>35</v>
      </c>
      <c r="L1720" t="s">
        <v>28</v>
      </c>
      <c r="M1720">
        <v>12500.09</v>
      </c>
      <c r="N1720">
        <v>2020</v>
      </c>
      <c r="O1720">
        <v>6</v>
      </c>
    </row>
    <row r="1721" spans="1:15" x14ac:dyDescent="0.3">
      <c r="A1721" s="1">
        <v>43985</v>
      </c>
      <c r="B1721">
        <v>1000000056</v>
      </c>
      <c r="C1721" t="s">
        <v>15</v>
      </c>
      <c r="D1721">
        <v>2</v>
      </c>
      <c r="E1721">
        <v>20000.54</v>
      </c>
      <c r="F1721" t="s">
        <v>16</v>
      </c>
      <c r="G1721" t="s">
        <v>17</v>
      </c>
      <c r="H1721" t="s">
        <v>18</v>
      </c>
      <c r="I1721" t="s">
        <v>34</v>
      </c>
      <c r="J1721" t="s">
        <v>26</v>
      </c>
      <c r="K1721" t="s">
        <v>35</v>
      </c>
      <c r="L1721" t="s">
        <v>28</v>
      </c>
      <c r="M1721">
        <v>10000.27</v>
      </c>
      <c r="N1721">
        <v>2020</v>
      </c>
      <c r="O1721">
        <v>6</v>
      </c>
    </row>
    <row r="1722" spans="1:15" x14ac:dyDescent="0.3">
      <c r="A1722" s="1">
        <v>43984</v>
      </c>
      <c r="B1722">
        <v>1000000047</v>
      </c>
      <c r="C1722" t="s">
        <v>23</v>
      </c>
      <c r="D1722">
        <v>1</v>
      </c>
      <c r="E1722">
        <v>900.09</v>
      </c>
      <c r="F1722" t="s">
        <v>16</v>
      </c>
      <c r="G1722" t="s">
        <v>24</v>
      </c>
      <c r="H1722" t="s">
        <v>47</v>
      </c>
      <c r="I1722" t="s">
        <v>48</v>
      </c>
      <c r="J1722" t="s">
        <v>26</v>
      </c>
      <c r="K1722" t="s">
        <v>50</v>
      </c>
      <c r="L1722" t="s">
        <v>22</v>
      </c>
      <c r="M1722">
        <v>900.09</v>
      </c>
      <c r="N1722">
        <v>2020</v>
      </c>
      <c r="O1722">
        <v>6</v>
      </c>
    </row>
    <row r="1723" spans="1:15" x14ac:dyDescent="0.3">
      <c r="A1723" s="1">
        <v>43985</v>
      </c>
      <c r="B1723">
        <v>1000000047</v>
      </c>
      <c r="C1723" t="s">
        <v>42</v>
      </c>
      <c r="D1723">
        <v>1</v>
      </c>
      <c r="E1723">
        <v>700.39</v>
      </c>
      <c r="F1723" t="s">
        <v>16</v>
      </c>
      <c r="G1723" t="s">
        <v>43</v>
      </c>
      <c r="H1723" t="s">
        <v>47</v>
      </c>
      <c r="I1723" t="s">
        <v>48</v>
      </c>
      <c r="J1723" t="s">
        <v>26</v>
      </c>
      <c r="K1723" t="s">
        <v>50</v>
      </c>
      <c r="L1723" t="s">
        <v>22</v>
      </c>
      <c r="M1723">
        <v>700.39</v>
      </c>
      <c r="N1723">
        <v>2020</v>
      </c>
      <c r="O1723">
        <v>6</v>
      </c>
    </row>
    <row r="1724" spans="1:15" x14ac:dyDescent="0.3">
      <c r="A1724" s="1">
        <v>43983</v>
      </c>
      <c r="B1724">
        <v>1000000058</v>
      </c>
      <c r="C1724" t="s">
        <v>23</v>
      </c>
      <c r="D1724">
        <v>1</v>
      </c>
      <c r="E1724">
        <v>5178.1400000000003</v>
      </c>
      <c r="F1724" t="s">
        <v>16</v>
      </c>
      <c r="G1724" t="s">
        <v>24</v>
      </c>
      <c r="H1724" t="s">
        <v>18</v>
      </c>
      <c r="I1724" t="s">
        <v>34</v>
      </c>
      <c r="J1724" t="s">
        <v>20</v>
      </c>
      <c r="K1724" t="s">
        <v>44</v>
      </c>
      <c r="L1724" t="s">
        <v>22</v>
      </c>
      <c r="M1724">
        <v>5178.1400000000003</v>
      </c>
      <c r="N1724">
        <v>2020</v>
      </c>
      <c r="O1724">
        <v>6</v>
      </c>
    </row>
    <row r="1725" spans="1:15" x14ac:dyDescent="0.3">
      <c r="A1725" s="1">
        <v>43983</v>
      </c>
      <c r="B1725">
        <v>1000000067</v>
      </c>
      <c r="C1725" t="s">
        <v>15</v>
      </c>
      <c r="D1725">
        <v>1</v>
      </c>
      <c r="E1725">
        <v>10000.19</v>
      </c>
      <c r="F1725" t="s">
        <v>16</v>
      </c>
      <c r="G1725" t="s">
        <v>17</v>
      </c>
      <c r="H1725" t="s">
        <v>18</v>
      </c>
      <c r="I1725" t="s">
        <v>25</v>
      </c>
      <c r="J1725" t="s">
        <v>20</v>
      </c>
      <c r="K1725" t="s">
        <v>51</v>
      </c>
      <c r="L1725" t="s">
        <v>22</v>
      </c>
      <c r="M1725">
        <v>10000.19</v>
      </c>
      <c r="N1725">
        <v>2020</v>
      </c>
      <c r="O1725">
        <v>6</v>
      </c>
    </row>
    <row r="1726" spans="1:15" x14ac:dyDescent="0.3">
      <c r="A1726" s="1">
        <v>43984</v>
      </c>
      <c r="B1726">
        <v>1000000067</v>
      </c>
      <c r="C1726" t="s">
        <v>23</v>
      </c>
      <c r="D1726">
        <v>1</v>
      </c>
      <c r="E1726">
        <v>1729.45</v>
      </c>
      <c r="F1726" t="s">
        <v>16</v>
      </c>
      <c r="G1726" t="s">
        <v>24</v>
      </c>
      <c r="H1726" t="s">
        <v>18</v>
      </c>
      <c r="I1726" t="s">
        <v>25</v>
      </c>
      <c r="J1726" t="s">
        <v>20</v>
      </c>
      <c r="K1726" t="s">
        <v>51</v>
      </c>
      <c r="L1726" t="s">
        <v>22</v>
      </c>
      <c r="M1726">
        <v>1729.45</v>
      </c>
      <c r="N1726">
        <v>2020</v>
      </c>
      <c r="O1726">
        <v>6</v>
      </c>
    </row>
    <row r="1727" spans="1:15" x14ac:dyDescent="0.3">
      <c r="A1727" s="1">
        <v>43985</v>
      </c>
      <c r="B1727">
        <v>1000000067</v>
      </c>
      <c r="C1727" t="s">
        <v>23</v>
      </c>
      <c r="D1727">
        <v>1</v>
      </c>
      <c r="E1727">
        <v>3986.03</v>
      </c>
      <c r="F1727" t="s">
        <v>16</v>
      </c>
      <c r="G1727" t="s">
        <v>24</v>
      </c>
      <c r="H1727" t="s">
        <v>18</v>
      </c>
      <c r="I1727" t="s">
        <v>25</v>
      </c>
      <c r="J1727" t="s">
        <v>20</v>
      </c>
      <c r="K1727" t="s">
        <v>51</v>
      </c>
      <c r="L1727" t="s">
        <v>22</v>
      </c>
      <c r="M1727">
        <v>3986.03</v>
      </c>
      <c r="N1727">
        <v>2020</v>
      </c>
      <c r="O1727">
        <v>6</v>
      </c>
    </row>
    <row r="1728" spans="1:15" x14ac:dyDescent="0.3">
      <c r="A1728" s="1">
        <v>43983</v>
      </c>
      <c r="B1728">
        <v>1000000068</v>
      </c>
      <c r="C1728" t="s">
        <v>23</v>
      </c>
      <c r="D1728">
        <v>1</v>
      </c>
      <c r="E1728">
        <v>14000.13</v>
      </c>
      <c r="F1728" t="s">
        <v>16</v>
      </c>
      <c r="G1728" t="s">
        <v>24</v>
      </c>
      <c r="H1728" t="s">
        <v>30</v>
      </c>
      <c r="I1728" t="s">
        <v>55</v>
      </c>
      <c r="J1728" t="s">
        <v>26</v>
      </c>
      <c r="K1728" t="s">
        <v>56</v>
      </c>
      <c r="L1728" t="s">
        <v>28</v>
      </c>
      <c r="M1728">
        <v>14000.13</v>
      </c>
      <c r="N1728">
        <v>2020</v>
      </c>
      <c r="O1728">
        <v>6</v>
      </c>
    </row>
    <row r="1729" spans="1:15" x14ac:dyDescent="0.3">
      <c r="A1729" s="1">
        <v>43983</v>
      </c>
      <c r="B1729">
        <v>1000000068</v>
      </c>
      <c r="C1729" t="s">
        <v>15</v>
      </c>
      <c r="D1729">
        <v>2</v>
      </c>
      <c r="E1729">
        <v>20001.46</v>
      </c>
      <c r="F1729" t="s">
        <v>16</v>
      </c>
      <c r="G1729" t="s">
        <v>17</v>
      </c>
      <c r="H1729" t="s">
        <v>30</v>
      </c>
      <c r="I1729" t="s">
        <v>55</v>
      </c>
      <c r="J1729" t="s">
        <v>26</v>
      </c>
      <c r="K1729" t="s">
        <v>56</v>
      </c>
      <c r="L1729" t="s">
        <v>28</v>
      </c>
      <c r="M1729">
        <v>10000.73</v>
      </c>
      <c r="N1729">
        <v>2020</v>
      </c>
      <c r="O1729">
        <v>6</v>
      </c>
    </row>
    <row r="1730" spans="1:15" x14ac:dyDescent="0.3">
      <c r="A1730" s="1">
        <v>43983</v>
      </c>
      <c r="B1730">
        <v>1000000068</v>
      </c>
      <c r="C1730" t="s">
        <v>42</v>
      </c>
      <c r="D1730">
        <v>1</v>
      </c>
      <c r="E1730">
        <v>3000.08</v>
      </c>
      <c r="F1730" t="s">
        <v>16</v>
      </c>
      <c r="G1730" t="s">
        <v>43</v>
      </c>
      <c r="H1730" t="s">
        <v>30</v>
      </c>
      <c r="I1730" t="s">
        <v>55</v>
      </c>
      <c r="J1730" t="s">
        <v>26</v>
      </c>
      <c r="K1730" t="s">
        <v>56</v>
      </c>
      <c r="L1730" t="s">
        <v>28</v>
      </c>
      <c r="M1730">
        <v>3000.08</v>
      </c>
      <c r="N1730">
        <v>2020</v>
      </c>
      <c r="O1730">
        <v>6</v>
      </c>
    </row>
    <row r="1731" spans="1:15" x14ac:dyDescent="0.3">
      <c r="A1731" s="1">
        <v>43984</v>
      </c>
      <c r="B1731">
        <v>1000000068</v>
      </c>
      <c r="C1731" t="s">
        <v>15</v>
      </c>
      <c r="D1731">
        <v>1</v>
      </c>
      <c r="E1731">
        <v>6000.19</v>
      </c>
      <c r="F1731" t="s">
        <v>16</v>
      </c>
      <c r="G1731" t="s">
        <v>17</v>
      </c>
      <c r="H1731" t="s">
        <v>30</v>
      </c>
      <c r="I1731" t="s">
        <v>55</v>
      </c>
      <c r="J1731" t="s">
        <v>26</v>
      </c>
      <c r="K1731" t="s">
        <v>56</v>
      </c>
      <c r="L1731" t="s">
        <v>28</v>
      </c>
      <c r="M1731">
        <v>6000.19</v>
      </c>
      <c r="N1731">
        <v>2020</v>
      </c>
      <c r="O1731">
        <v>6</v>
      </c>
    </row>
    <row r="1732" spans="1:15" x14ac:dyDescent="0.3">
      <c r="A1732" s="1">
        <v>43985</v>
      </c>
      <c r="B1732">
        <v>1000000068</v>
      </c>
      <c r="C1732" t="s">
        <v>15</v>
      </c>
      <c r="D1732">
        <v>3</v>
      </c>
      <c r="E1732">
        <v>41000.57</v>
      </c>
      <c r="F1732" t="s">
        <v>16</v>
      </c>
      <c r="G1732" t="s">
        <v>17</v>
      </c>
      <c r="H1732" t="s">
        <v>30</v>
      </c>
      <c r="I1732" t="s">
        <v>55</v>
      </c>
      <c r="J1732" t="s">
        <v>26</v>
      </c>
      <c r="K1732" t="s">
        <v>56</v>
      </c>
      <c r="L1732" t="s">
        <v>28</v>
      </c>
      <c r="M1732">
        <v>13666.856666666667</v>
      </c>
      <c r="N1732">
        <v>2020</v>
      </c>
      <c r="O1732">
        <v>6</v>
      </c>
    </row>
    <row r="1733" spans="1:15" x14ac:dyDescent="0.3">
      <c r="A1733" s="1">
        <v>43984</v>
      </c>
      <c r="B1733">
        <v>1000000050</v>
      </c>
      <c r="C1733" t="s">
        <v>23</v>
      </c>
      <c r="D1733">
        <v>1</v>
      </c>
      <c r="E1733">
        <v>5700.08</v>
      </c>
      <c r="F1733" t="s">
        <v>16</v>
      </c>
      <c r="G1733" t="s">
        <v>24</v>
      </c>
      <c r="H1733" t="s">
        <v>18</v>
      </c>
      <c r="I1733" t="s">
        <v>40</v>
      </c>
      <c r="J1733" t="s">
        <v>26</v>
      </c>
      <c r="K1733" t="s">
        <v>41</v>
      </c>
      <c r="L1733" t="s">
        <v>22</v>
      </c>
      <c r="M1733">
        <v>5700.08</v>
      </c>
      <c r="N1733">
        <v>2020</v>
      </c>
      <c r="O1733">
        <v>6</v>
      </c>
    </row>
    <row r="1734" spans="1:15" x14ac:dyDescent="0.3">
      <c r="A1734" s="1">
        <v>43984</v>
      </c>
      <c r="B1734">
        <v>1000000050</v>
      </c>
      <c r="C1734" t="s">
        <v>42</v>
      </c>
      <c r="D1734">
        <v>2</v>
      </c>
      <c r="E1734">
        <v>25000.65</v>
      </c>
      <c r="F1734" t="s">
        <v>16</v>
      </c>
      <c r="G1734" t="s">
        <v>43</v>
      </c>
      <c r="H1734" t="s">
        <v>18</v>
      </c>
      <c r="I1734" t="s">
        <v>40</v>
      </c>
      <c r="J1734" t="s">
        <v>26</v>
      </c>
      <c r="K1734" t="s">
        <v>41</v>
      </c>
      <c r="L1734" t="s">
        <v>22</v>
      </c>
      <c r="M1734">
        <v>12500.325000000001</v>
      </c>
      <c r="N1734">
        <v>2020</v>
      </c>
      <c r="O1734">
        <v>6</v>
      </c>
    </row>
    <row r="1735" spans="1:15" x14ac:dyDescent="0.3">
      <c r="A1735" s="1">
        <v>43985</v>
      </c>
      <c r="B1735">
        <v>1000000050</v>
      </c>
      <c r="C1735" t="s">
        <v>15</v>
      </c>
      <c r="D1735">
        <v>2</v>
      </c>
      <c r="E1735">
        <v>12501.150000000001</v>
      </c>
      <c r="F1735" t="s">
        <v>16</v>
      </c>
      <c r="G1735" t="s">
        <v>17</v>
      </c>
      <c r="H1735" t="s">
        <v>18</v>
      </c>
      <c r="I1735" t="s">
        <v>40</v>
      </c>
      <c r="J1735" t="s">
        <v>26</v>
      </c>
      <c r="K1735" t="s">
        <v>41</v>
      </c>
      <c r="L1735" t="s">
        <v>22</v>
      </c>
      <c r="M1735">
        <v>6250.5750000000007</v>
      </c>
      <c r="N1735">
        <v>2020</v>
      </c>
      <c r="O1735">
        <v>6</v>
      </c>
    </row>
    <row r="1736" spans="1:15" x14ac:dyDescent="0.3">
      <c r="A1736" s="1">
        <v>43983</v>
      </c>
      <c r="B1736">
        <v>1000000237</v>
      </c>
      <c r="C1736" t="s">
        <v>15</v>
      </c>
      <c r="D1736">
        <v>2</v>
      </c>
      <c r="E1736">
        <v>1493.02</v>
      </c>
      <c r="F1736" t="s">
        <v>16</v>
      </c>
      <c r="G1736" t="s">
        <v>17</v>
      </c>
      <c r="H1736" t="s">
        <v>18</v>
      </c>
      <c r="I1736" t="s">
        <v>40</v>
      </c>
      <c r="J1736" t="s">
        <v>26</v>
      </c>
      <c r="K1736" t="s">
        <v>41</v>
      </c>
      <c r="L1736" t="s">
        <v>22</v>
      </c>
      <c r="M1736">
        <v>746.51</v>
      </c>
      <c r="N1736">
        <v>2020</v>
      </c>
      <c r="O1736">
        <v>6</v>
      </c>
    </row>
    <row r="1737" spans="1:15" x14ac:dyDescent="0.3">
      <c r="A1737" s="1">
        <v>43983</v>
      </c>
      <c r="B1737">
        <v>1000000237</v>
      </c>
      <c r="C1737" t="s">
        <v>42</v>
      </c>
      <c r="D1737">
        <v>1</v>
      </c>
      <c r="E1737">
        <v>9000.34</v>
      </c>
      <c r="F1737" t="s">
        <v>16</v>
      </c>
      <c r="G1737" t="s">
        <v>43</v>
      </c>
      <c r="H1737" t="s">
        <v>18</v>
      </c>
      <c r="I1737" t="s">
        <v>40</v>
      </c>
      <c r="J1737" t="s">
        <v>26</v>
      </c>
      <c r="K1737" t="s">
        <v>41</v>
      </c>
      <c r="L1737" t="s">
        <v>22</v>
      </c>
      <c r="M1737">
        <v>9000.34</v>
      </c>
      <c r="N1737">
        <v>2020</v>
      </c>
      <c r="O1737">
        <v>6</v>
      </c>
    </row>
    <row r="1738" spans="1:15" x14ac:dyDescent="0.3">
      <c r="A1738" s="1">
        <v>43985</v>
      </c>
      <c r="B1738">
        <v>1000000237</v>
      </c>
      <c r="C1738" t="s">
        <v>42</v>
      </c>
      <c r="D1738">
        <v>1</v>
      </c>
      <c r="E1738">
        <v>5000.1499999999996</v>
      </c>
      <c r="F1738" t="s">
        <v>16</v>
      </c>
      <c r="G1738" t="s">
        <v>43</v>
      </c>
      <c r="H1738" t="s">
        <v>18</v>
      </c>
      <c r="I1738" t="s">
        <v>40</v>
      </c>
      <c r="J1738" t="s">
        <v>26</v>
      </c>
      <c r="K1738" t="s">
        <v>41</v>
      </c>
      <c r="L1738" t="s">
        <v>22</v>
      </c>
      <c r="M1738">
        <v>5000.1499999999996</v>
      </c>
      <c r="N1738">
        <v>2020</v>
      </c>
      <c r="O1738">
        <v>6</v>
      </c>
    </row>
    <row r="1739" spans="1:15" x14ac:dyDescent="0.3">
      <c r="A1739" s="1">
        <v>43983</v>
      </c>
      <c r="B1739">
        <v>1000000566</v>
      </c>
      <c r="C1739" t="s">
        <v>23</v>
      </c>
      <c r="D1739">
        <v>2</v>
      </c>
      <c r="E1739">
        <v>6100.35</v>
      </c>
      <c r="F1739" t="s">
        <v>16</v>
      </c>
      <c r="G1739" t="s">
        <v>24</v>
      </c>
      <c r="H1739" t="s">
        <v>47</v>
      </c>
      <c r="I1739" t="s">
        <v>48</v>
      </c>
      <c r="J1739" t="s">
        <v>36</v>
      </c>
      <c r="K1739" t="s">
        <v>49</v>
      </c>
      <c r="L1739" t="s">
        <v>22</v>
      </c>
      <c r="M1739">
        <v>3050.1750000000002</v>
      </c>
      <c r="N1739">
        <v>2020</v>
      </c>
      <c r="O1739">
        <v>6</v>
      </c>
    </row>
    <row r="1740" spans="1:15" x14ac:dyDescent="0.3">
      <c r="A1740" s="1">
        <v>43983</v>
      </c>
      <c r="B1740">
        <v>1000000566</v>
      </c>
      <c r="C1740" t="s">
        <v>42</v>
      </c>
      <c r="D1740">
        <v>1</v>
      </c>
      <c r="E1740">
        <v>10000.76</v>
      </c>
      <c r="F1740" t="s">
        <v>16</v>
      </c>
      <c r="G1740" t="s">
        <v>43</v>
      </c>
      <c r="H1740" t="s">
        <v>47</v>
      </c>
      <c r="I1740" t="s">
        <v>48</v>
      </c>
      <c r="J1740" t="s">
        <v>36</v>
      </c>
      <c r="K1740" t="s">
        <v>49</v>
      </c>
      <c r="L1740" t="s">
        <v>22</v>
      </c>
      <c r="M1740">
        <v>10000.76</v>
      </c>
      <c r="N1740">
        <v>2020</v>
      </c>
      <c r="O1740">
        <v>6</v>
      </c>
    </row>
    <row r="1741" spans="1:15" x14ac:dyDescent="0.3">
      <c r="A1741" s="1">
        <v>43984</v>
      </c>
      <c r="B1741">
        <v>1000000566</v>
      </c>
      <c r="C1741" t="s">
        <v>23</v>
      </c>
      <c r="D1741">
        <v>1</v>
      </c>
      <c r="E1741">
        <v>8400.4599999999991</v>
      </c>
      <c r="F1741" t="s">
        <v>16</v>
      </c>
      <c r="G1741" t="s">
        <v>24</v>
      </c>
      <c r="H1741" t="s">
        <v>47</v>
      </c>
      <c r="I1741" t="s">
        <v>48</v>
      </c>
      <c r="J1741" t="s">
        <v>36</v>
      </c>
      <c r="K1741" t="s">
        <v>49</v>
      </c>
      <c r="L1741" t="s">
        <v>22</v>
      </c>
      <c r="M1741">
        <v>8400.4599999999991</v>
      </c>
      <c r="N1741">
        <v>2020</v>
      </c>
      <c r="O1741">
        <v>6</v>
      </c>
    </row>
    <row r="1742" spans="1:15" x14ac:dyDescent="0.3">
      <c r="A1742" s="1">
        <v>43984</v>
      </c>
      <c r="B1742">
        <v>1000000566</v>
      </c>
      <c r="C1742" t="s">
        <v>15</v>
      </c>
      <c r="D1742">
        <v>2</v>
      </c>
      <c r="E1742">
        <v>16000.810000000001</v>
      </c>
      <c r="F1742" t="s">
        <v>16</v>
      </c>
      <c r="G1742" t="s">
        <v>17</v>
      </c>
      <c r="H1742" t="s">
        <v>47</v>
      </c>
      <c r="I1742" t="s">
        <v>48</v>
      </c>
      <c r="J1742" t="s">
        <v>36</v>
      </c>
      <c r="K1742" t="s">
        <v>49</v>
      </c>
      <c r="L1742" t="s">
        <v>22</v>
      </c>
      <c r="M1742">
        <v>8000.4050000000007</v>
      </c>
      <c r="N1742">
        <v>2020</v>
      </c>
      <c r="O1742">
        <v>6</v>
      </c>
    </row>
    <row r="1743" spans="1:15" x14ac:dyDescent="0.3">
      <c r="A1743" s="1">
        <v>43985</v>
      </c>
      <c r="B1743">
        <v>1000000566</v>
      </c>
      <c r="C1743" t="s">
        <v>23</v>
      </c>
      <c r="D1743">
        <v>2</v>
      </c>
      <c r="E1743">
        <v>36000.229999999996</v>
      </c>
      <c r="F1743" t="s">
        <v>16</v>
      </c>
      <c r="G1743" t="s">
        <v>24</v>
      </c>
      <c r="H1743" t="s">
        <v>47</v>
      </c>
      <c r="I1743" t="s">
        <v>48</v>
      </c>
      <c r="J1743" t="s">
        <v>36</v>
      </c>
      <c r="K1743" t="s">
        <v>49</v>
      </c>
      <c r="L1743" t="s">
        <v>22</v>
      </c>
      <c r="M1743">
        <v>18000.114999999998</v>
      </c>
      <c r="N1743">
        <v>2020</v>
      </c>
      <c r="O1743">
        <v>6</v>
      </c>
    </row>
    <row r="1744" spans="1:15" x14ac:dyDescent="0.3">
      <c r="A1744" s="1">
        <v>43985</v>
      </c>
      <c r="B1744">
        <v>1000000566</v>
      </c>
      <c r="C1744" t="s">
        <v>42</v>
      </c>
      <c r="D1744">
        <v>1</v>
      </c>
      <c r="E1744">
        <v>7000.57</v>
      </c>
      <c r="F1744" t="s">
        <v>16</v>
      </c>
      <c r="G1744" t="s">
        <v>43</v>
      </c>
      <c r="H1744" t="s">
        <v>47</v>
      </c>
      <c r="I1744" t="s">
        <v>48</v>
      </c>
      <c r="J1744" t="s">
        <v>36</v>
      </c>
      <c r="K1744" t="s">
        <v>49</v>
      </c>
      <c r="L1744" t="s">
        <v>22</v>
      </c>
      <c r="M1744">
        <v>7000.57</v>
      </c>
      <c r="N1744">
        <v>2020</v>
      </c>
      <c r="O1744">
        <v>6</v>
      </c>
    </row>
    <row r="1745" spans="1:15" x14ac:dyDescent="0.3">
      <c r="A1745" s="1">
        <v>43983</v>
      </c>
      <c r="B1745">
        <v>1000003803</v>
      </c>
      <c r="C1745" t="s">
        <v>15</v>
      </c>
      <c r="D1745">
        <v>1</v>
      </c>
      <c r="E1745">
        <v>20000.21</v>
      </c>
      <c r="F1745" t="s">
        <v>16</v>
      </c>
      <c r="G1745" t="s">
        <v>17</v>
      </c>
      <c r="H1745" t="s">
        <v>30</v>
      </c>
      <c r="I1745" t="s">
        <v>31</v>
      </c>
      <c r="J1745" t="s">
        <v>36</v>
      </c>
      <c r="K1745" t="s">
        <v>52</v>
      </c>
      <c r="L1745" t="s">
        <v>22</v>
      </c>
      <c r="M1745">
        <v>20000.21</v>
      </c>
      <c r="N1745">
        <v>2020</v>
      </c>
      <c r="O1745">
        <v>6</v>
      </c>
    </row>
    <row r="1746" spans="1:15" x14ac:dyDescent="0.3">
      <c r="A1746" s="1">
        <v>43985</v>
      </c>
      <c r="B1746">
        <v>1000003803</v>
      </c>
      <c r="C1746" t="s">
        <v>23</v>
      </c>
      <c r="D1746">
        <v>1</v>
      </c>
      <c r="E1746">
        <v>15000.3</v>
      </c>
      <c r="F1746" t="s">
        <v>16</v>
      </c>
      <c r="G1746" t="s">
        <v>24</v>
      </c>
      <c r="H1746" t="s">
        <v>30</v>
      </c>
      <c r="I1746" t="s">
        <v>31</v>
      </c>
      <c r="J1746" t="s">
        <v>36</v>
      </c>
      <c r="K1746" t="s">
        <v>52</v>
      </c>
      <c r="L1746" t="s">
        <v>22</v>
      </c>
      <c r="M1746">
        <v>15000.3</v>
      </c>
      <c r="N1746">
        <v>2020</v>
      </c>
      <c r="O1746">
        <v>6</v>
      </c>
    </row>
    <row r="1747" spans="1:15" x14ac:dyDescent="0.3">
      <c r="A1747" s="1">
        <v>43985</v>
      </c>
      <c r="B1747">
        <v>1000003803</v>
      </c>
      <c r="C1747" t="s">
        <v>15</v>
      </c>
      <c r="D1747">
        <v>2</v>
      </c>
      <c r="E1747">
        <v>21001.41</v>
      </c>
      <c r="F1747" t="s">
        <v>16</v>
      </c>
      <c r="G1747" t="s">
        <v>17</v>
      </c>
      <c r="H1747" t="s">
        <v>30</v>
      </c>
      <c r="I1747" t="s">
        <v>31</v>
      </c>
      <c r="J1747" t="s">
        <v>36</v>
      </c>
      <c r="K1747" t="s">
        <v>52</v>
      </c>
      <c r="L1747" t="s">
        <v>22</v>
      </c>
      <c r="M1747">
        <v>10500.705</v>
      </c>
      <c r="N1747">
        <v>2020</v>
      </c>
      <c r="O1747">
        <v>6</v>
      </c>
    </row>
    <row r="1748" spans="1:15" x14ac:dyDescent="0.3">
      <c r="A1748" s="1">
        <v>43983</v>
      </c>
      <c r="B1748">
        <v>1000003926</v>
      </c>
      <c r="C1748" t="s">
        <v>23</v>
      </c>
      <c r="D1748">
        <v>1</v>
      </c>
      <c r="E1748">
        <v>25000.46</v>
      </c>
      <c r="F1748" t="s">
        <v>16</v>
      </c>
      <c r="G1748" t="s">
        <v>24</v>
      </c>
      <c r="H1748" t="s">
        <v>47</v>
      </c>
      <c r="I1748" t="s">
        <v>48</v>
      </c>
      <c r="J1748" t="s">
        <v>26</v>
      </c>
      <c r="K1748" t="s">
        <v>50</v>
      </c>
      <c r="L1748" t="s">
        <v>28</v>
      </c>
      <c r="M1748">
        <v>25000.46</v>
      </c>
      <c r="N1748">
        <v>2020</v>
      </c>
      <c r="O1748">
        <v>6</v>
      </c>
    </row>
    <row r="1749" spans="1:15" x14ac:dyDescent="0.3">
      <c r="A1749" s="1">
        <v>43983</v>
      </c>
      <c r="B1749">
        <v>1000003926</v>
      </c>
      <c r="C1749" t="s">
        <v>15</v>
      </c>
      <c r="D1749">
        <v>2</v>
      </c>
      <c r="E1749">
        <v>31000.28</v>
      </c>
      <c r="F1749" t="s">
        <v>16</v>
      </c>
      <c r="G1749" t="s">
        <v>17</v>
      </c>
      <c r="H1749" t="s">
        <v>47</v>
      </c>
      <c r="I1749" t="s">
        <v>48</v>
      </c>
      <c r="J1749" t="s">
        <v>26</v>
      </c>
      <c r="K1749" t="s">
        <v>50</v>
      </c>
      <c r="L1749" t="s">
        <v>28</v>
      </c>
      <c r="M1749">
        <v>15500.14</v>
      </c>
      <c r="N1749">
        <v>2020</v>
      </c>
      <c r="O1749">
        <v>6</v>
      </c>
    </row>
    <row r="1750" spans="1:15" x14ac:dyDescent="0.3">
      <c r="A1750" s="1">
        <v>43983</v>
      </c>
      <c r="B1750">
        <v>1000003926</v>
      </c>
      <c r="C1750" t="s">
        <v>42</v>
      </c>
      <c r="D1750">
        <v>1</v>
      </c>
      <c r="E1750">
        <v>2000.65</v>
      </c>
      <c r="F1750" t="s">
        <v>16</v>
      </c>
      <c r="G1750" t="s">
        <v>43</v>
      </c>
      <c r="H1750" t="s">
        <v>47</v>
      </c>
      <c r="I1750" t="s">
        <v>48</v>
      </c>
      <c r="J1750" t="s">
        <v>26</v>
      </c>
      <c r="K1750" t="s">
        <v>50</v>
      </c>
      <c r="L1750" t="s">
        <v>28</v>
      </c>
      <c r="M1750">
        <v>2000.65</v>
      </c>
      <c r="N1750">
        <v>2020</v>
      </c>
      <c r="O1750">
        <v>6</v>
      </c>
    </row>
    <row r="1751" spans="1:15" x14ac:dyDescent="0.3">
      <c r="A1751" s="1">
        <v>43984</v>
      </c>
      <c r="B1751">
        <v>1000003926</v>
      </c>
      <c r="C1751" t="s">
        <v>23</v>
      </c>
      <c r="D1751">
        <v>4</v>
      </c>
      <c r="E1751">
        <v>53000.740000000005</v>
      </c>
      <c r="F1751" t="s">
        <v>16</v>
      </c>
      <c r="G1751" t="s">
        <v>24</v>
      </c>
      <c r="H1751" t="s">
        <v>47</v>
      </c>
      <c r="I1751" t="s">
        <v>48</v>
      </c>
      <c r="J1751" t="s">
        <v>26</v>
      </c>
      <c r="K1751" t="s">
        <v>50</v>
      </c>
      <c r="L1751" t="s">
        <v>28</v>
      </c>
      <c r="M1751">
        <v>13250.185000000001</v>
      </c>
      <c r="N1751">
        <v>2020</v>
      </c>
      <c r="O1751">
        <v>6</v>
      </c>
    </row>
    <row r="1752" spans="1:15" x14ac:dyDescent="0.3">
      <c r="A1752" s="1">
        <v>43985</v>
      </c>
      <c r="B1752">
        <v>1000003926</v>
      </c>
      <c r="C1752" t="s">
        <v>23</v>
      </c>
      <c r="D1752">
        <v>2</v>
      </c>
      <c r="E1752">
        <v>34000.559999999998</v>
      </c>
      <c r="F1752" t="s">
        <v>16</v>
      </c>
      <c r="G1752" t="s">
        <v>24</v>
      </c>
      <c r="H1752" t="s">
        <v>47</v>
      </c>
      <c r="I1752" t="s">
        <v>48</v>
      </c>
      <c r="J1752" t="s">
        <v>26</v>
      </c>
      <c r="K1752" t="s">
        <v>50</v>
      </c>
      <c r="L1752" t="s">
        <v>28</v>
      </c>
      <c r="M1752">
        <v>17000.28</v>
      </c>
      <c r="N1752">
        <v>2020</v>
      </c>
      <c r="O1752">
        <v>6</v>
      </c>
    </row>
    <row r="1753" spans="1:15" x14ac:dyDescent="0.3">
      <c r="A1753" s="1">
        <v>43985</v>
      </c>
      <c r="B1753">
        <v>1000000061</v>
      </c>
      <c r="C1753" t="s">
        <v>15</v>
      </c>
      <c r="D1753">
        <v>1</v>
      </c>
      <c r="E1753">
        <v>5000.21</v>
      </c>
      <c r="F1753" t="s">
        <v>16</v>
      </c>
      <c r="G1753" t="s">
        <v>17</v>
      </c>
      <c r="H1753" t="s">
        <v>18</v>
      </c>
      <c r="I1753" t="s">
        <v>34</v>
      </c>
      <c r="J1753" t="s">
        <v>20</v>
      </c>
      <c r="K1753" t="s">
        <v>44</v>
      </c>
      <c r="L1753" t="s">
        <v>22</v>
      </c>
      <c r="M1753">
        <v>5000.21</v>
      </c>
      <c r="N1753">
        <v>2020</v>
      </c>
      <c r="O1753">
        <v>6</v>
      </c>
    </row>
    <row r="1754" spans="1:15" x14ac:dyDescent="0.3">
      <c r="A1754" s="1">
        <v>43983</v>
      </c>
      <c r="B1754">
        <v>1000004170</v>
      </c>
      <c r="C1754" t="s">
        <v>23</v>
      </c>
      <c r="D1754">
        <v>2</v>
      </c>
      <c r="E1754">
        <v>11500.77</v>
      </c>
      <c r="F1754" t="s">
        <v>16</v>
      </c>
      <c r="G1754" t="s">
        <v>24</v>
      </c>
      <c r="H1754" t="s">
        <v>18</v>
      </c>
      <c r="I1754" t="s">
        <v>34</v>
      </c>
      <c r="J1754" t="s">
        <v>20</v>
      </c>
      <c r="K1754" t="s">
        <v>44</v>
      </c>
      <c r="L1754" t="s">
        <v>28</v>
      </c>
      <c r="M1754">
        <v>5750.3850000000002</v>
      </c>
      <c r="N1754">
        <v>2020</v>
      </c>
      <c r="O1754">
        <v>6</v>
      </c>
    </row>
    <row r="1755" spans="1:15" x14ac:dyDescent="0.3">
      <c r="A1755" s="1">
        <v>43984</v>
      </c>
      <c r="B1755">
        <v>1000004170</v>
      </c>
      <c r="C1755" t="s">
        <v>15</v>
      </c>
      <c r="D1755">
        <v>1</v>
      </c>
      <c r="E1755">
        <v>7000.59</v>
      </c>
      <c r="F1755" t="s">
        <v>16</v>
      </c>
      <c r="G1755" t="s">
        <v>17</v>
      </c>
      <c r="H1755" t="s">
        <v>18</v>
      </c>
      <c r="I1755" t="s">
        <v>34</v>
      </c>
      <c r="J1755" t="s">
        <v>20</v>
      </c>
      <c r="K1755" t="s">
        <v>44</v>
      </c>
      <c r="L1755" t="s">
        <v>28</v>
      </c>
      <c r="M1755">
        <v>7000.59</v>
      </c>
      <c r="N1755">
        <v>2020</v>
      </c>
      <c r="O1755">
        <v>6</v>
      </c>
    </row>
    <row r="1756" spans="1:15" x14ac:dyDescent="0.3">
      <c r="A1756" s="1">
        <v>43985</v>
      </c>
      <c r="B1756">
        <v>1000004170</v>
      </c>
      <c r="C1756" t="s">
        <v>23</v>
      </c>
      <c r="D1756">
        <v>3</v>
      </c>
      <c r="E1756">
        <v>33001.689999999995</v>
      </c>
      <c r="F1756" t="s">
        <v>16</v>
      </c>
      <c r="G1756" t="s">
        <v>24</v>
      </c>
      <c r="H1756" t="s">
        <v>18</v>
      </c>
      <c r="I1756" t="s">
        <v>34</v>
      </c>
      <c r="J1756" t="s">
        <v>20</v>
      </c>
      <c r="K1756" t="s">
        <v>44</v>
      </c>
      <c r="L1756" t="s">
        <v>28</v>
      </c>
      <c r="M1756">
        <v>11000.563333333332</v>
      </c>
      <c r="N1756">
        <v>2020</v>
      </c>
      <c r="O1756">
        <v>6</v>
      </c>
    </row>
    <row r="1757" spans="1:15" x14ac:dyDescent="0.3">
      <c r="A1757" s="1">
        <v>43985</v>
      </c>
      <c r="B1757">
        <v>1000004170</v>
      </c>
      <c r="C1757" t="s">
        <v>15</v>
      </c>
      <c r="D1757">
        <v>1</v>
      </c>
      <c r="E1757">
        <v>7000.52</v>
      </c>
      <c r="F1757" t="s">
        <v>16</v>
      </c>
      <c r="G1757" t="s">
        <v>17</v>
      </c>
      <c r="H1757" t="s">
        <v>18</v>
      </c>
      <c r="I1757" t="s">
        <v>34</v>
      </c>
      <c r="J1757" t="s">
        <v>20</v>
      </c>
      <c r="K1757" t="s">
        <v>44</v>
      </c>
      <c r="L1757" t="s">
        <v>28</v>
      </c>
      <c r="M1757">
        <v>7000.52</v>
      </c>
      <c r="N1757">
        <v>2020</v>
      </c>
      <c r="O1757">
        <v>6</v>
      </c>
    </row>
    <row r="1758" spans="1:15" x14ac:dyDescent="0.3">
      <c r="A1758" s="1">
        <v>43983</v>
      </c>
      <c r="B1758">
        <v>1000004256</v>
      </c>
      <c r="C1758" t="s">
        <v>42</v>
      </c>
      <c r="D1758">
        <v>1</v>
      </c>
      <c r="E1758">
        <v>15000.09</v>
      </c>
      <c r="F1758" t="s">
        <v>16</v>
      </c>
      <c r="G1758" t="s">
        <v>43</v>
      </c>
      <c r="H1758" t="s">
        <v>18</v>
      </c>
      <c r="I1758" t="s">
        <v>40</v>
      </c>
      <c r="J1758" t="s">
        <v>26</v>
      </c>
      <c r="K1758" t="s">
        <v>41</v>
      </c>
      <c r="L1758" t="s">
        <v>22</v>
      </c>
      <c r="M1758">
        <v>15000.09</v>
      </c>
      <c r="N1758">
        <v>2020</v>
      </c>
      <c r="O1758">
        <v>6</v>
      </c>
    </row>
    <row r="1759" spans="1:15" x14ac:dyDescent="0.3">
      <c r="A1759" s="1">
        <v>43984</v>
      </c>
      <c r="B1759">
        <v>1000004256</v>
      </c>
      <c r="C1759" t="s">
        <v>23</v>
      </c>
      <c r="D1759">
        <v>1</v>
      </c>
      <c r="E1759">
        <v>18000.46</v>
      </c>
      <c r="F1759" t="s">
        <v>16</v>
      </c>
      <c r="G1759" t="s">
        <v>24</v>
      </c>
      <c r="H1759" t="s">
        <v>18</v>
      </c>
      <c r="I1759" t="s">
        <v>40</v>
      </c>
      <c r="J1759" t="s">
        <v>26</v>
      </c>
      <c r="K1759" t="s">
        <v>41</v>
      </c>
      <c r="L1759" t="s">
        <v>22</v>
      </c>
      <c r="M1759">
        <v>18000.46</v>
      </c>
      <c r="N1759">
        <v>2020</v>
      </c>
      <c r="O1759">
        <v>6</v>
      </c>
    </row>
    <row r="1760" spans="1:15" x14ac:dyDescent="0.3">
      <c r="A1760" s="1">
        <v>43984</v>
      </c>
      <c r="B1760">
        <v>1000004256</v>
      </c>
      <c r="C1760" t="s">
        <v>42</v>
      </c>
      <c r="D1760">
        <v>1</v>
      </c>
      <c r="E1760">
        <v>17000.28</v>
      </c>
      <c r="F1760" t="s">
        <v>16</v>
      </c>
      <c r="G1760" t="s">
        <v>43</v>
      </c>
      <c r="H1760" t="s">
        <v>18</v>
      </c>
      <c r="I1760" t="s">
        <v>40</v>
      </c>
      <c r="J1760" t="s">
        <v>26</v>
      </c>
      <c r="K1760" t="s">
        <v>41</v>
      </c>
      <c r="L1760" t="s">
        <v>22</v>
      </c>
      <c r="M1760">
        <v>17000.28</v>
      </c>
      <c r="N1760">
        <v>2020</v>
      </c>
      <c r="O1760">
        <v>6</v>
      </c>
    </row>
    <row r="1761" spans="1:15" x14ac:dyDescent="0.3">
      <c r="A1761" s="1">
        <v>43985</v>
      </c>
      <c r="B1761">
        <v>1000004256</v>
      </c>
      <c r="C1761" t="s">
        <v>42</v>
      </c>
      <c r="D1761">
        <v>1</v>
      </c>
      <c r="E1761">
        <v>17000.32</v>
      </c>
      <c r="F1761" t="s">
        <v>16</v>
      </c>
      <c r="G1761" t="s">
        <v>43</v>
      </c>
      <c r="H1761" t="s">
        <v>18</v>
      </c>
      <c r="I1761" t="s">
        <v>40</v>
      </c>
      <c r="J1761" t="s">
        <v>26</v>
      </c>
      <c r="K1761" t="s">
        <v>41</v>
      </c>
      <c r="L1761" t="s">
        <v>22</v>
      </c>
      <c r="M1761">
        <v>17000.32</v>
      </c>
      <c r="N1761">
        <v>2020</v>
      </c>
      <c r="O1761">
        <v>6</v>
      </c>
    </row>
    <row r="1762" spans="1:15" x14ac:dyDescent="0.3">
      <c r="A1762" s="1">
        <v>43983</v>
      </c>
      <c r="B1762">
        <v>1000006064</v>
      </c>
      <c r="C1762" t="s">
        <v>42</v>
      </c>
      <c r="D1762">
        <v>2</v>
      </c>
      <c r="E1762">
        <v>13500.43</v>
      </c>
      <c r="F1762" t="s">
        <v>16</v>
      </c>
      <c r="G1762" t="s">
        <v>43</v>
      </c>
      <c r="H1762" t="s">
        <v>18</v>
      </c>
      <c r="I1762" t="s">
        <v>40</v>
      </c>
      <c r="J1762" t="s">
        <v>26</v>
      </c>
      <c r="K1762" t="s">
        <v>41</v>
      </c>
      <c r="L1762" t="s">
        <v>22</v>
      </c>
      <c r="M1762">
        <v>6750.2150000000001</v>
      </c>
      <c r="N1762">
        <v>2020</v>
      </c>
      <c r="O1762">
        <v>6</v>
      </c>
    </row>
    <row r="1763" spans="1:15" x14ac:dyDescent="0.3">
      <c r="A1763" s="1">
        <v>43984</v>
      </c>
      <c r="B1763">
        <v>1000006064</v>
      </c>
      <c r="C1763" t="s">
        <v>15</v>
      </c>
      <c r="D1763">
        <v>1</v>
      </c>
      <c r="E1763">
        <v>2000.03</v>
      </c>
      <c r="F1763" t="s">
        <v>16</v>
      </c>
      <c r="G1763" t="s">
        <v>17</v>
      </c>
      <c r="H1763" t="s">
        <v>18</v>
      </c>
      <c r="I1763" t="s">
        <v>40</v>
      </c>
      <c r="J1763" t="s">
        <v>26</v>
      </c>
      <c r="K1763" t="s">
        <v>41</v>
      </c>
      <c r="L1763" t="s">
        <v>22</v>
      </c>
      <c r="M1763">
        <v>2000.03</v>
      </c>
      <c r="N1763">
        <v>2020</v>
      </c>
      <c r="O1763">
        <v>6</v>
      </c>
    </row>
    <row r="1764" spans="1:15" x14ac:dyDescent="0.3">
      <c r="A1764" s="1">
        <v>43983</v>
      </c>
      <c r="B1764">
        <v>1000006867</v>
      </c>
      <c r="C1764" t="s">
        <v>15</v>
      </c>
      <c r="D1764">
        <v>1</v>
      </c>
      <c r="E1764">
        <v>12000.35</v>
      </c>
      <c r="F1764" t="s">
        <v>16</v>
      </c>
      <c r="G1764" t="s">
        <v>17</v>
      </c>
      <c r="H1764" t="s">
        <v>18</v>
      </c>
      <c r="I1764" t="s">
        <v>61</v>
      </c>
      <c r="J1764" t="s">
        <v>26</v>
      </c>
      <c r="K1764" t="s">
        <v>62</v>
      </c>
      <c r="L1764" t="s">
        <v>22</v>
      </c>
      <c r="M1764">
        <v>12000.35</v>
      </c>
      <c r="N1764">
        <v>2020</v>
      </c>
      <c r="O1764">
        <v>6</v>
      </c>
    </row>
    <row r="1765" spans="1:15" x14ac:dyDescent="0.3">
      <c r="A1765" s="1">
        <v>43984</v>
      </c>
      <c r="B1765">
        <v>1000006867</v>
      </c>
      <c r="C1765" t="s">
        <v>15</v>
      </c>
      <c r="D1765">
        <v>1</v>
      </c>
      <c r="E1765">
        <v>7000.55</v>
      </c>
      <c r="F1765" t="s">
        <v>16</v>
      </c>
      <c r="G1765" t="s">
        <v>17</v>
      </c>
      <c r="H1765" t="s">
        <v>18</v>
      </c>
      <c r="I1765" t="s">
        <v>61</v>
      </c>
      <c r="J1765" t="s">
        <v>26</v>
      </c>
      <c r="K1765" t="s">
        <v>62</v>
      </c>
      <c r="L1765" t="s">
        <v>22</v>
      </c>
      <c r="M1765">
        <v>7000.55</v>
      </c>
      <c r="N1765">
        <v>2020</v>
      </c>
      <c r="O1765">
        <v>6</v>
      </c>
    </row>
    <row r="1766" spans="1:15" x14ac:dyDescent="0.3">
      <c r="A1766" s="1">
        <v>43983</v>
      </c>
      <c r="B1766">
        <v>1000008228</v>
      </c>
      <c r="C1766" t="s">
        <v>23</v>
      </c>
      <c r="D1766">
        <v>2</v>
      </c>
      <c r="E1766">
        <v>45000.67</v>
      </c>
      <c r="F1766" t="s">
        <v>16</v>
      </c>
      <c r="G1766" t="s">
        <v>24</v>
      </c>
      <c r="H1766" t="s">
        <v>30</v>
      </c>
      <c r="I1766" t="s">
        <v>31</v>
      </c>
      <c r="J1766" t="s">
        <v>36</v>
      </c>
      <c r="K1766" t="s">
        <v>52</v>
      </c>
      <c r="L1766" t="s">
        <v>22</v>
      </c>
      <c r="M1766">
        <v>22500.334999999999</v>
      </c>
      <c r="N1766">
        <v>2020</v>
      </c>
      <c r="O1766">
        <v>6</v>
      </c>
    </row>
    <row r="1767" spans="1:15" x14ac:dyDescent="0.3">
      <c r="A1767" s="1">
        <v>43985</v>
      </c>
      <c r="B1767">
        <v>1000000104</v>
      </c>
      <c r="C1767" t="s">
        <v>23</v>
      </c>
      <c r="D1767">
        <v>1</v>
      </c>
      <c r="E1767">
        <v>7500.03</v>
      </c>
      <c r="F1767" t="s">
        <v>16</v>
      </c>
      <c r="G1767" t="s">
        <v>24</v>
      </c>
      <c r="H1767" t="s">
        <v>18</v>
      </c>
      <c r="I1767" t="s">
        <v>40</v>
      </c>
      <c r="J1767" t="s">
        <v>26</v>
      </c>
      <c r="K1767" t="s">
        <v>41</v>
      </c>
      <c r="L1767" t="s">
        <v>22</v>
      </c>
      <c r="M1767">
        <v>7500.03</v>
      </c>
      <c r="N1767">
        <v>2020</v>
      </c>
      <c r="O1767">
        <v>6</v>
      </c>
    </row>
    <row r="1768" spans="1:15" x14ac:dyDescent="0.3">
      <c r="A1768" s="1">
        <v>43983</v>
      </c>
      <c r="B1768">
        <v>1000008957</v>
      </c>
      <c r="C1768" t="s">
        <v>23</v>
      </c>
      <c r="D1768">
        <v>1</v>
      </c>
      <c r="E1768">
        <v>7000.63</v>
      </c>
      <c r="F1768" t="s">
        <v>16</v>
      </c>
      <c r="G1768" t="s">
        <v>24</v>
      </c>
      <c r="H1768" t="s">
        <v>18</v>
      </c>
      <c r="I1768" t="s">
        <v>34</v>
      </c>
      <c r="J1768" t="s">
        <v>20</v>
      </c>
      <c r="K1768" t="s">
        <v>44</v>
      </c>
      <c r="L1768" t="s">
        <v>22</v>
      </c>
      <c r="M1768">
        <v>7000.63</v>
      </c>
      <c r="N1768">
        <v>2020</v>
      </c>
      <c r="O1768">
        <v>6</v>
      </c>
    </row>
    <row r="1769" spans="1:15" x14ac:dyDescent="0.3">
      <c r="A1769" s="1">
        <v>43984</v>
      </c>
      <c r="B1769">
        <v>1000008957</v>
      </c>
      <c r="C1769" t="s">
        <v>23</v>
      </c>
      <c r="D1769">
        <v>1</v>
      </c>
      <c r="E1769">
        <v>6000.56</v>
      </c>
      <c r="F1769" t="s">
        <v>16</v>
      </c>
      <c r="G1769" t="s">
        <v>24</v>
      </c>
      <c r="H1769" t="s">
        <v>18</v>
      </c>
      <c r="I1769" t="s">
        <v>34</v>
      </c>
      <c r="J1769" t="s">
        <v>20</v>
      </c>
      <c r="K1769" t="s">
        <v>44</v>
      </c>
      <c r="L1769" t="s">
        <v>22</v>
      </c>
      <c r="M1769">
        <v>6000.56</v>
      </c>
      <c r="N1769">
        <v>2020</v>
      </c>
      <c r="O1769">
        <v>6</v>
      </c>
    </row>
    <row r="1770" spans="1:15" x14ac:dyDescent="0.3">
      <c r="A1770" s="1">
        <v>43983</v>
      </c>
      <c r="B1770">
        <v>1000010255</v>
      </c>
      <c r="C1770" t="s">
        <v>42</v>
      </c>
      <c r="D1770">
        <v>1</v>
      </c>
      <c r="E1770">
        <v>9000.2900000000009</v>
      </c>
      <c r="F1770" t="s">
        <v>16</v>
      </c>
      <c r="G1770" t="s">
        <v>43</v>
      </c>
      <c r="H1770" t="s">
        <v>47</v>
      </c>
      <c r="I1770" t="s">
        <v>48</v>
      </c>
      <c r="J1770" t="s">
        <v>36</v>
      </c>
      <c r="K1770" t="s">
        <v>49</v>
      </c>
      <c r="L1770" t="s">
        <v>22</v>
      </c>
      <c r="M1770">
        <v>9000.2900000000009</v>
      </c>
      <c r="N1770">
        <v>2020</v>
      </c>
      <c r="O1770">
        <v>6</v>
      </c>
    </row>
    <row r="1771" spans="1:15" x14ac:dyDescent="0.3">
      <c r="A1771" s="1">
        <v>43984</v>
      </c>
      <c r="B1771">
        <v>1000010255</v>
      </c>
      <c r="C1771" t="s">
        <v>23</v>
      </c>
      <c r="D1771">
        <v>1</v>
      </c>
      <c r="E1771">
        <v>3000.14</v>
      </c>
      <c r="F1771" t="s">
        <v>16</v>
      </c>
      <c r="G1771" t="s">
        <v>24</v>
      </c>
      <c r="H1771" t="s">
        <v>47</v>
      </c>
      <c r="I1771" t="s">
        <v>48</v>
      </c>
      <c r="J1771" t="s">
        <v>36</v>
      </c>
      <c r="K1771" t="s">
        <v>49</v>
      </c>
      <c r="L1771" t="s">
        <v>22</v>
      </c>
      <c r="M1771">
        <v>3000.14</v>
      </c>
      <c r="N1771">
        <v>2020</v>
      </c>
      <c r="O1771">
        <v>6</v>
      </c>
    </row>
    <row r="1772" spans="1:15" x14ac:dyDescent="0.3">
      <c r="A1772" s="1">
        <v>43983</v>
      </c>
      <c r="B1772">
        <v>1000010815</v>
      </c>
      <c r="C1772" t="s">
        <v>23</v>
      </c>
      <c r="D1772">
        <v>1</v>
      </c>
      <c r="E1772">
        <v>14999.96</v>
      </c>
      <c r="F1772" t="s">
        <v>16</v>
      </c>
      <c r="G1772" t="s">
        <v>24</v>
      </c>
      <c r="H1772" t="s">
        <v>18</v>
      </c>
      <c r="I1772" t="s">
        <v>61</v>
      </c>
      <c r="J1772" t="s">
        <v>26</v>
      </c>
      <c r="K1772" t="s">
        <v>62</v>
      </c>
      <c r="L1772" t="s">
        <v>22</v>
      </c>
      <c r="M1772">
        <v>14999.96</v>
      </c>
      <c r="N1772">
        <v>2020</v>
      </c>
      <c r="O1772">
        <v>6</v>
      </c>
    </row>
    <row r="1773" spans="1:15" x14ac:dyDescent="0.3">
      <c r="A1773" s="1">
        <v>43985</v>
      </c>
      <c r="B1773">
        <v>1000000576</v>
      </c>
      <c r="C1773" t="s">
        <v>15</v>
      </c>
      <c r="D1773">
        <v>1</v>
      </c>
      <c r="E1773">
        <v>14000.36</v>
      </c>
      <c r="F1773" t="s">
        <v>16</v>
      </c>
      <c r="G1773" t="s">
        <v>17</v>
      </c>
      <c r="H1773" t="s">
        <v>18</v>
      </c>
      <c r="I1773" t="s">
        <v>25</v>
      </c>
      <c r="J1773" t="s">
        <v>36</v>
      </c>
      <c r="K1773" t="s">
        <v>37</v>
      </c>
      <c r="L1773" t="s">
        <v>22</v>
      </c>
      <c r="M1773">
        <v>14000.36</v>
      </c>
      <c r="N1773">
        <v>2020</v>
      </c>
      <c r="O1773">
        <v>6</v>
      </c>
    </row>
    <row r="1774" spans="1:15" x14ac:dyDescent="0.3">
      <c r="A1774" s="1">
        <v>43985</v>
      </c>
      <c r="B1774">
        <v>1000000581</v>
      </c>
      <c r="C1774" t="s">
        <v>42</v>
      </c>
      <c r="D1774">
        <v>1</v>
      </c>
      <c r="E1774">
        <v>1255.68</v>
      </c>
      <c r="F1774" t="s">
        <v>16</v>
      </c>
      <c r="G1774" t="s">
        <v>43</v>
      </c>
      <c r="H1774" t="s">
        <v>47</v>
      </c>
      <c r="I1774" t="s">
        <v>48</v>
      </c>
      <c r="J1774" t="s">
        <v>36</v>
      </c>
      <c r="K1774" t="s">
        <v>49</v>
      </c>
      <c r="L1774" t="s">
        <v>22</v>
      </c>
      <c r="M1774">
        <v>1255.68</v>
      </c>
      <c r="N1774">
        <v>2020</v>
      </c>
      <c r="O1774">
        <v>6</v>
      </c>
    </row>
    <row r="1775" spans="1:15" x14ac:dyDescent="0.3">
      <c r="A1775" s="1">
        <v>43985</v>
      </c>
      <c r="B1775">
        <v>1000000594</v>
      </c>
      <c r="C1775" t="s">
        <v>15</v>
      </c>
      <c r="D1775">
        <v>1</v>
      </c>
      <c r="E1775">
        <v>17000.27</v>
      </c>
      <c r="F1775" t="s">
        <v>16</v>
      </c>
      <c r="G1775" t="s">
        <v>17</v>
      </c>
      <c r="H1775" t="s">
        <v>18</v>
      </c>
      <c r="I1775" t="s">
        <v>25</v>
      </c>
      <c r="J1775" t="s">
        <v>20</v>
      </c>
      <c r="K1775" t="s">
        <v>51</v>
      </c>
      <c r="L1775" t="s">
        <v>22</v>
      </c>
      <c r="M1775">
        <v>17000.27</v>
      </c>
      <c r="N1775">
        <v>2020</v>
      </c>
      <c r="O1775">
        <v>6</v>
      </c>
    </row>
    <row r="1776" spans="1:15" x14ac:dyDescent="0.3">
      <c r="A1776" s="1">
        <v>43985</v>
      </c>
      <c r="B1776">
        <v>1000000928</v>
      </c>
      <c r="C1776" t="s">
        <v>23</v>
      </c>
      <c r="D1776">
        <v>1</v>
      </c>
      <c r="E1776">
        <v>8000.31</v>
      </c>
      <c r="F1776" t="s">
        <v>16</v>
      </c>
      <c r="G1776" t="s">
        <v>24</v>
      </c>
      <c r="H1776" t="s">
        <v>30</v>
      </c>
      <c r="I1776" t="s">
        <v>57</v>
      </c>
      <c r="J1776" t="s">
        <v>26</v>
      </c>
      <c r="K1776" t="s">
        <v>58</v>
      </c>
      <c r="L1776" t="s">
        <v>22</v>
      </c>
      <c r="M1776">
        <v>8000.31</v>
      </c>
      <c r="N1776">
        <v>2020</v>
      </c>
      <c r="O1776">
        <v>6</v>
      </c>
    </row>
    <row r="1777" spans="1:15" x14ac:dyDescent="0.3">
      <c r="A1777" s="1">
        <v>43985</v>
      </c>
      <c r="B1777">
        <v>1000000928</v>
      </c>
      <c r="C1777" t="s">
        <v>15</v>
      </c>
      <c r="D1777">
        <v>2</v>
      </c>
      <c r="E1777">
        <v>9200.93</v>
      </c>
      <c r="F1777" t="s">
        <v>16</v>
      </c>
      <c r="G1777" t="s">
        <v>17</v>
      </c>
      <c r="H1777" t="s">
        <v>30</v>
      </c>
      <c r="I1777" t="s">
        <v>57</v>
      </c>
      <c r="J1777" t="s">
        <v>26</v>
      </c>
      <c r="K1777" t="s">
        <v>58</v>
      </c>
      <c r="L1777" t="s">
        <v>22</v>
      </c>
      <c r="M1777">
        <v>4600.4650000000001</v>
      </c>
      <c r="N1777">
        <v>2020</v>
      </c>
      <c r="O1777">
        <v>6</v>
      </c>
    </row>
    <row r="1778" spans="1:15" x14ac:dyDescent="0.3">
      <c r="A1778" s="1">
        <v>43984</v>
      </c>
      <c r="B1778">
        <v>1000001513</v>
      </c>
      <c r="C1778" t="s">
        <v>23</v>
      </c>
      <c r="D1778">
        <v>1</v>
      </c>
      <c r="E1778">
        <v>3000.71</v>
      </c>
      <c r="F1778" t="s">
        <v>16</v>
      </c>
      <c r="G1778" t="s">
        <v>24</v>
      </c>
      <c r="H1778" t="s">
        <v>18</v>
      </c>
      <c r="I1778" t="s">
        <v>34</v>
      </c>
      <c r="J1778" t="s">
        <v>20</v>
      </c>
      <c r="K1778" t="s">
        <v>44</v>
      </c>
      <c r="L1778" t="s">
        <v>22</v>
      </c>
      <c r="M1778">
        <v>3000.71</v>
      </c>
      <c r="N1778">
        <v>2020</v>
      </c>
      <c r="O1778">
        <v>6</v>
      </c>
    </row>
    <row r="1779" spans="1:15" x14ac:dyDescent="0.3">
      <c r="A1779" s="1">
        <v>43984</v>
      </c>
      <c r="B1779">
        <v>1000001524</v>
      </c>
      <c r="C1779" t="s">
        <v>15</v>
      </c>
      <c r="D1779">
        <v>4</v>
      </c>
      <c r="E1779">
        <v>49001.14</v>
      </c>
      <c r="F1779" t="s">
        <v>16</v>
      </c>
      <c r="G1779" t="s">
        <v>17</v>
      </c>
      <c r="H1779" t="s">
        <v>18</v>
      </c>
      <c r="I1779" t="s">
        <v>25</v>
      </c>
      <c r="J1779" t="s">
        <v>20</v>
      </c>
      <c r="K1779" t="s">
        <v>51</v>
      </c>
      <c r="L1779" t="s">
        <v>22</v>
      </c>
      <c r="M1779">
        <v>12250.285</v>
      </c>
      <c r="N1779">
        <v>2020</v>
      </c>
      <c r="O1779">
        <v>6</v>
      </c>
    </row>
    <row r="1780" spans="1:15" x14ac:dyDescent="0.3">
      <c r="A1780" s="1">
        <v>43984</v>
      </c>
      <c r="B1780">
        <v>1000001524</v>
      </c>
      <c r="C1780" t="s">
        <v>42</v>
      </c>
      <c r="D1780">
        <v>1</v>
      </c>
      <c r="E1780">
        <v>20000.13</v>
      </c>
      <c r="F1780" t="s">
        <v>16</v>
      </c>
      <c r="G1780" t="s">
        <v>43</v>
      </c>
      <c r="H1780" t="s">
        <v>18</v>
      </c>
      <c r="I1780" t="s">
        <v>25</v>
      </c>
      <c r="J1780" t="s">
        <v>20</v>
      </c>
      <c r="K1780" t="s">
        <v>51</v>
      </c>
      <c r="L1780" t="s">
        <v>22</v>
      </c>
      <c r="M1780">
        <v>20000.13</v>
      </c>
      <c r="N1780">
        <v>2020</v>
      </c>
      <c r="O1780">
        <v>6</v>
      </c>
    </row>
    <row r="1781" spans="1:15" x14ac:dyDescent="0.3">
      <c r="A1781" s="1">
        <v>43985</v>
      </c>
      <c r="B1781">
        <v>1000001524</v>
      </c>
      <c r="C1781" t="s">
        <v>23</v>
      </c>
      <c r="D1781">
        <v>1</v>
      </c>
      <c r="E1781">
        <v>3000.16</v>
      </c>
      <c r="F1781" t="s">
        <v>16</v>
      </c>
      <c r="G1781" t="s">
        <v>24</v>
      </c>
      <c r="H1781" t="s">
        <v>18</v>
      </c>
      <c r="I1781" t="s">
        <v>25</v>
      </c>
      <c r="J1781" t="s">
        <v>20</v>
      </c>
      <c r="K1781" t="s">
        <v>51</v>
      </c>
      <c r="L1781" t="s">
        <v>22</v>
      </c>
      <c r="M1781">
        <v>3000.16</v>
      </c>
      <c r="N1781">
        <v>2020</v>
      </c>
      <c r="O1781">
        <v>6</v>
      </c>
    </row>
    <row r="1782" spans="1:15" x14ac:dyDescent="0.3">
      <c r="A1782" s="1">
        <v>43985</v>
      </c>
      <c r="B1782">
        <v>1000001524</v>
      </c>
      <c r="C1782" t="s">
        <v>15</v>
      </c>
      <c r="D1782">
        <v>2</v>
      </c>
      <c r="E1782">
        <v>39000.380000000005</v>
      </c>
      <c r="F1782" t="s">
        <v>16</v>
      </c>
      <c r="G1782" t="s">
        <v>17</v>
      </c>
      <c r="H1782" t="s">
        <v>18</v>
      </c>
      <c r="I1782" t="s">
        <v>25</v>
      </c>
      <c r="J1782" t="s">
        <v>20</v>
      </c>
      <c r="K1782" t="s">
        <v>51</v>
      </c>
      <c r="L1782" t="s">
        <v>22</v>
      </c>
      <c r="M1782">
        <v>19500.190000000002</v>
      </c>
      <c r="N1782">
        <v>2020</v>
      </c>
      <c r="O1782">
        <v>6</v>
      </c>
    </row>
    <row r="1783" spans="1:15" x14ac:dyDescent="0.3">
      <c r="A1783" s="1">
        <v>43984</v>
      </c>
      <c r="B1783">
        <v>1000003489</v>
      </c>
      <c r="C1783" t="s">
        <v>23</v>
      </c>
      <c r="D1783">
        <v>2</v>
      </c>
      <c r="E1783">
        <v>19500.84</v>
      </c>
      <c r="F1783" t="s">
        <v>16</v>
      </c>
      <c r="G1783" t="s">
        <v>24</v>
      </c>
      <c r="H1783" t="s">
        <v>47</v>
      </c>
      <c r="I1783" t="s">
        <v>48</v>
      </c>
      <c r="J1783" t="s">
        <v>26</v>
      </c>
      <c r="K1783" t="s">
        <v>50</v>
      </c>
      <c r="L1783" t="s">
        <v>22</v>
      </c>
      <c r="M1783">
        <v>9750.42</v>
      </c>
      <c r="N1783">
        <v>2020</v>
      </c>
      <c r="O1783">
        <v>6</v>
      </c>
    </row>
    <row r="1784" spans="1:15" x14ac:dyDescent="0.3">
      <c r="A1784" s="1">
        <v>43984</v>
      </c>
      <c r="B1784">
        <v>1000003489</v>
      </c>
      <c r="C1784" t="s">
        <v>15</v>
      </c>
      <c r="D1784">
        <v>1</v>
      </c>
      <c r="E1784">
        <v>9000.5499999999993</v>
      </c>
      <c r="F1784" t="s">
        <v>16</v>
      </c>
      <c r="G1784" t="s">
        <v>17</v>
      </c>
      <c r="H1784" t="s">
        <v>47</v>
      </c>
      <c r="I1784" t="s">
        <v>48</v>
      </c>
      <c r="J1784" t="s">
        <v>26</v>
      </c>
      <c r="K1784" t="s">
        <v>50</v>
      </c>
      <c r="L1784" t="s">
        <v>22</v>
      </c>
      <c r="M1784">
        <v>9000.5499999999993</v>
      </c>
      <c r="N1784">
        <v>2020</v>
      </c>
      <c r="O1784">
        <v>6</v>
      </c>
    </row>
    <row r="1785" spans="1:15" x14ac:dyDescent="0.3">
      <c r="A1785" s="1">
        <v>43984</v>
      </c>
      <c r="B1785">
        <v>1000003489</v>
      </c>
      <c r="C1785" t="s">
        <v>42</v>
      </c>
      <c r="D1785">
        <v>1</v>
      </c>
      <c r="E1785">
        <v>8800.2900000000009</v>
      </c>
      <c r="F1785" t="s">
        <v>16</v>
      </c>
      <c r="G1785" t="s">
        <v>43</v>
      </c>
      <c r="H1785" t="s">
        <v>47</v>
      </c>
      <c r="I1785" t="s">
        <v>48</v>
      </c>
      <c r="J1785" t="s">
        <v>26</v>
      </c>
      <c r="K1785" t="s">
        <v>50</v>
      </c>
      <c r="L1785" t="s">
        <v>22</v>
      </c>
      <c r="M1785">
        <v>8800.2900000000009</v>
      </c>
      <c r="N1785">
        <v>2020</v>
      </c>
      <c r="O1785">
        <v>6</v>
      </c>
    </row>
    <row r="1786" spans="1:15" x14ac:dyDescent="0.3">
      <c r="A1786" s="1">
        <v>43985</v>
      </c>
      <c r="B1786">
        <v>1000003489</v>
      </c>
      <c r="C1786" t="s">
        <v>23</v>
      </c>
      <c r="D1786">
        <v>1</v>
      </c>
      <c r="E1786">
        <v>6500.76</v>
      </c>
      <c r="F1786" t="s">
        <v>16</v>
      </c>
      <c r="G1786" t="s">
        <v>24</v>
      </c>
      <c r="H1786" t="s">
        <v>47</v>
      </c>
      <c r="I1786" t="s">
        <v>48</v>
      </c>
      <c r="J1786" t="s">
        <v>26</v>
      </c>
      <c r="K1786" t="s">
        <v>50</v>
      </c>
      <c r="L1786" t="s">
        <v>22</v>
      </c>
      <c r="M1786">
        <v>6500.76</v>
      </c>
      <c r="N1786">
        <v>2020</v>
      </c>
      <c r="O1786">
        <v>6</v>
      </c>
    </row>
    <row r="1787" spans="1:15" x14ac:dyDescent="0.3">
      <c r="A1787" s="1">
        <v>43985</v>
      </c>
      <c r="B1787">
        <v>1000003489</v>
      </c>
      <c r="C1787" t="s">
        <v>15</v>
      </c>
      <c r="D1787">
        <v>1</v>
      </c>
      <c r="E1787">
        <v>5500.65</v>
      </c>
      <c r="F1787" t="s">
        <v>16</v>
      </c>
      <c r="G1787" t="s">
        <v>17</v>
      </c>
      <c r="H1787" t="s">
        <v>47</v>
      </c>
      <c r="I1787" t="s">
        <v>48</v>
      </c>
      <c r="J1787" t="s">
        <v>26</v>
      </c>
      <c r="K1787" t="s">
        <v>50</v>
      </c>
      <c r="L1787" t="s">
        <v>22</v>
      </c>
      <c r="M1787">
        <v>5500.65</v>
      </c>
      <c r="N1787">
        <v>2020</v>
      </c>
      <c r="O1787">
        <v>6</v>
      </c>
    </row>
    <row r="1788" spans="1:15" x14ac:dyDescent="0.3">
      <c r="A1788" s="1">
        <v>43984</v>
      </c>
      <c r="B1788">
        <v>1000005873</v>
      </c>
      <c r="C1788" t="s">
        <v>42</v>
      </c>
      <c r="D1788">
        <v>1</v>
      </c>
      <c r="E1788">
        <v>19999.990000000002</v>
      </c>
      <c r="F1788" t="s">
        <v>16</v>
      </c>
      <c r="G1788" t="s">
        <v>43</v>
      </c>
      <c r="H1788" t="s">
        <v>18</v>
      </c>
      <c r="I1788" t="s">
        <v>19</v>
      </c>
      <c r="J1788" t="s">
        <v>20</v>
      </c>
      <c r="K1788" t="s">
        <v>21</v>
      </c>
      <c r="L1788" t="s">
        <v>28</v>
      </c>
      <c r="M1788">
        <v>19999.990000000002</v>
      </c>
      <c r="N1788">
        <v>2020</v>
      </c>
      <c r="O1788">
        <v>6</v>
      </c>
    </row>
    <row r="1789" spans="1:15" x14ac:dyDescent="0.3">
      <c r="A1789" s="1">
        <v>43985</v>
      </c>
      <c r="B1789">
        <v>1000005873</v>
      </c>
      <c r="C1789" t="s">
        <v>23</v>
      </c>
      <c r="D1789">
        <v>1</v>
      </c>
      <c r="E1789">
        <v>5000.2700000000004</v>
      </c>
      <c r="F1789" t="s">
        <v>16</v>
      </c>
      <c r="G1789" t="s">
        <v>24</v>
      </c>
      <c r="H1789" t="s">
        <v>18</v>
      </c>
      <c r="I1789" t="s">
        <v>19</v>
      </c>
      <c r="J1789" t="s">
        <v>20</v>
      </c>
      <c r="K1789" t="s">
        <v>21</v>
      </c>
      <c r="L1789" t="s">
        <v>28</v>
      </c>
      <c r="M1789">
        <v>5000.2700000000004</v>
      </c>
      <c r="N1789">
        <v>2020</v>
      </c>
      <c r="O1789">
        <v>6</v>
      </c>
    </row>
    <row r="1790" spans="1:15" x14ac:dyDescent="0.3">
      <c r="A1790" s="1">
        <v>43984</v>
      </c>
      <c r="B1790">
        <v>1000006698</v>
      </c>
      <c r="C1790" t="s">
        <v>23</v>
      </c>
      <c r="D1790">
        <v>1</v>
      </c>
      <c r="E1790">
        <v>10000.73</v>
      </c>
      <c r="F1790" t="s">
        <v>16</v>
      </c>
      <c r="G1790" t="s">
        <v>24</v>
      </c>
      <c r="H1790" t="s">
        <v>30</v>
      </c>
      <c r="I1790" t="s">
        <v>38</v>
      </c>
      <c r="J1790" t="s">
        <v>26</v>
      </c>
      <c r="K1790" t="s">
        <v>39</v>
      </c>
      <c r="L1790" t="s">
        <v>28</v>
      </c>
      <c r="M1790">
        <v>10000.73</v>
      </c>
      <c r="N1790">
        <v>2020</v>
      </c>
      <c r="O1790">
        <v>6</v>
      </c>
    </row>
    <row r="1791" spans="1:15" x14ac:dyDescent="0.3">
      <c r="A1791" s="1">
        <v>43984</v>
      </c>
      <c r="B1791">
        <v>1000006698</v>
      </c>
      <c r="C1791" t="s">
        <v>15</v>
      </c>
      <c r="D1791">
        <v>1</v>
      </c>
      <c r="E1791">
        <v>17000.75</v>
      </c>
      <c r="F1791" t="s">
        <v>16</v>
      </c>
      <c r="G1791" t="s">
        <v>17</v>
      </c>
      <c r="H1791" t="s">
        <v>30</v>
      </c>
      <c r="I1791" t="s">
        <v>38</v>
      </c>
      <c r="J1791" t="s">
        <v>26</v>
      </c>
      <c r="K1791" t="s">
        <v>39</v>
      </c>
      <c r="L1791" t="s">
        <v>28</v>
      </c>
      <c r="M1791">
        <v>17000.75</v>
      </c>
      <c r="N1791">
        <v>2020</v>
      </c>
      <c r="O1791">
        <v>6</v>
      </c>
    </row>
    <row r="1792" spans="1:15" x14ac:dyDescent="0.3">
      <c r="A1792" s="1">
        <v>43985</v>
      </c>
      <c r="B1792">
        <v>1000006698</v>
      </c>
      <c r="C1792" t="s">
        <v>15</v>
      </c>
      <c r="D1792">
        <v>2</v>
      </c>
      <c r="E1792">
        <v>18000.75</v>
      </c>
      <c r="F1792" t="s">
        <v>16</v>
      </c>
      <c r="G1792" t="s">
        <v>17</v>
      </c>
      <c r="H1792" t="s">
        <v>30</v>
      </c>
      <c r="I1792" t="s">
        <v>38</v>
      </c>
      <c r="J1792" t="s">
        <v>26</v>
      </c>
      <c r="K1792" t="s">
        <v>39</v>
      </c>
      <c r="L1792" t="s">
        <v>28</v>
      </c>
      <c r="M1792">
        <v>9000.375</v>
      </c>
      <c r="N1792">
        <v>2020</v>
      </c>
      <c r="O1792">
        <v>6</v>
      </c>
    </row>
    <row r="1793" spans="1:15" x14ac:dyDescent="0.3">
      <c r="A1793" s="1">
        <v>43984</v>
      </c>
      <c r="B1793">
        <v>1000006859</v>
      </c>
      <c r="C1793" t="s">
        <v>15</v>
      </c>
      <c r="D1793">
        <v>2</v>
      </c>
      <c r="E1793">
        <v>25000.81</v>
      </c>
      <c r="F1793" t="s">
        <v>16</v>
      </c>
      <c r="G1793" t="s">
        <v>17</v>
      </c>
      <c r="H1793" t="s">
        <v>18</v>
      </c>
      <c r="I1793" t="s">
        <v>61</v>
      </c>
      <c r="J1793" t="s">
        <v>26</v>
      </c>
      <c r="K1793" t="s">
        <v>62</v>
      </c>
      <c r="L1793" t="s">
        <v>22</v>
      </c>
      <c r="M1793">
        <v>12500.405000000001</v>
      </c>
      <c r="N1793">
        <v>2020</v>
      </c>
      <c r="O1793">
        <v>6</v>
      </c>
    </row>
    <row r="1794" spans="1:15" x14ac:dyDescent="0.3">
      <c r="A1794" s="1">
        <v>43985</v>
      </c>
      <c r="B1794">
        <v>1000006859</v>
      </c>
      <c r="C1794" t="s">
        <v>23</v>
      </c>
      <c r="D1794">
        <v>1</v>
      </c>
      <c r="E1794">
        <v>11000.29</v>
      </c>
      <c r="F1794" t="s">
        <v>16</v>
      </c>
      <c r="G1794" t="s">
        <v>24</v>
      </c>
      <c r="H1794" t="s">
        <v>18</v>
      </c>
      <c r="I1794" t="s">
        <v>61</v>
      </c>
      <c r="J1794" t="s">
        <v>26</v>
      </c>
      <c r="K1794" t="s">
        <v>62</v>
      </c>
      <c r="L1794" t="s">
        <v>22</v>
      </c>
      <c r="M1794">
        <v>11000.29</v>
      </c>
      <c r="N1794">
        <v>2020</v>
      </c>
      <c r="O1794">
        <v>6</v>
      </c>
    </row>
    <row r="1795" spans="1:15" x14ac:dyDescent="0.3">
      <c r="A1795" s="1">
        <v>43985</v>
      </c>
      <c r="B1795">
        <v>1000006859</v>
      </c>
      <c r="C1795" t="s">
        <v>15</v>
      </c>
      <c r="D1795">
        <v>2</v>
      </c>
      <c r="E1795">
        <v>14001.150000000001</v>
      </c>
      <c r="F1795" t="s">
        <v>16</v>
      </c>
      <c r="G1795" t="s">
        <v>17</v>
      </c>
      <c r="H1795" t="s">
        <v>18</v>
      </c>
      <c r="I1795" t="s">
        <v>61</v>
      </c>
      <c r="J1795" t="s">
        <v>26</v>
      </c>
      <c r="K1795" t="s">
        <v>62</v>
      </c>
      <c r="L1795" t="s">
        <v>22</v>
      </c>
      <c r="M1795">
        <v>7000.5750000000007</v>
      </c>
      <c r="N1795">
        <v>2020</v>
      </c>
      <c r="O1795">
        <v>6</v>
      </c>
    </row>
    <row r="1796" spans="1:15" x14ac:dyDescent="0.3">
      <c r="A1796" s="1">
        <v>43984</v>
      </c>
      <c r="B1796">
        <v>1000007197</v>
      </c>
      <c r="C1796" t="s">
        <v>15</v>
      </c>
      <c r="D1796">
        <v>1</v>
      </c>
      <c r="E1796">
        <v>9000.14</v>
      </c>
      <c r="F1796" t="s">
        <v>16</v>
      </c>
      <c r="G1796" t="s">
        <v>17</v>
      </c>
      <c r="H1796" t="s">
        <v>18</v>
      </c>
      <c r="I1796" t="s">
        <v>40</v>
      </c>
      <c r="J1796" t="s">
        <v>26</v>
      </c>
      <c r="K1796" t="s">
        <v>41</v>
      </c>
      <c r="L1796" t="s">
        <v>22</v>
      </c>
      <c r="M1796">
        <v>9000.14</v>
      </c>
      <c r="N1796">
        <v>2020</v>
      </c>
      <c r="O1796">
        <v>6</v>
      </c>
    </row>
    <row r="1797" spans="1:15" x14ac:dyDescent="0.3">
      <c r="A1797" s="1">
        <v>43984</v>
      </c>
      <c r="B1797">
        <v>1000007320</v>
      </c>
      <c r="C1797" t="s">
        <v>15</v>
      </c>
      <c r="D1797">
        <v>3</v>
      </c>
      <c r="E1797">
        <v>45001.08</v>
      </c>
      <c r="F1797" t="s">
        <v>16</v>
      </c>
      <c r="G1797" t="s">
        <v>17</v>
      </c>
      <c r="H1797" t="s">
        <v>18</v>
      </c>
      <c r="I1797" t="s">
        <v>34</v>
      </c>
      <c r="J1797" t="s">
        <v>26</v>
      </c>
      <c r="K1797" t="s">
        <v>35</v>
      </c>
      <c r="L1797" t="s">
        <v>22</v>
      </c>
      <c r="M1797">
        <v>15000.36</v>
      </c>
      <c r="N1797">
        <v>2020</v>
      </c>
      <c r="O1797">
        <v>6</v>
      </c>
    </row>
    <row r="1798" spans="1:15" x14ac:dyDescent="0.3">
      <c r="A1798" s="1">
        <v>43984</v>
      </c>
      <c r="B1798">
        <v>1000008239</v>
      </c>
      <c r="C1798" t="s">
        <v>15</v>
      </c>
      <c r="D1798">
        <v>2</v>
      </c>
      <c r="E1798">
        <v>37000.639999999999</v>
      </c>
      <c r="F1798" t="s">
        <v>16</v>
      </c>
      <c r="G1798" t="s">
        <v>17</v>
      </c>
      <c r="H1798" t="s">
        <v>18</v>
      </c>
      <c r="I1798" t="s">
        <v>61</v>
      </c>
      <c r="J1798" t="s">
        <v>26</v>
      </c>
      <c r="K1798" t="s">
        <v>62</v>
      </c>
      <c r="L1798" t="s">
        <v>28</v>
      </c>
      <c r="M1798">
        <v>18500.32</v>
      </c>
      <c r="N1798">
        <v>2020</v>
      </c>
      <c r="O1798">
        <v>6</v>
      </c>
    </row>
    <row r="1799" spans="1:15" x14ac:dyDescent="0.3">
      <c r="A1799" s="1">
        <v>43984</v>
      </c>
      <c r="B1799">
        <v>1000009288</v>
      </c>
      <c r="C1799" t="s">
        <v>23</v>
      </c>
      <c r="D1799">
        <v>1</v>
      </c>
      <c r="E1799">
        <v>15000.68</v>
      </c>
      <c r="F1799" t="s">
        <v>16</v>
      </c>
      <c r="G1799" t="s">
        <v>24</v>
      </c>
      <c r="H1799" t="s">
        <v>18</v>
      </c>
      <c r="I1799" t="s">
        <v>25</v>
      </c>
      <c r="J1799" t="s">
        <v>20</v>
      </c>
      <c r="K1799" t="s">
        <v>51</v>
      </c>
      <c r="L1799" t="s">
        <v>22</v>
      </c>
      <c r="M1799">
        <v>15000.68</v>
      </c>
      <c r="N1799">
        <v>2020</v>
      </c>
      <c r="O1799">
        <v>6</v>
      </c>
    </row>
    <row r="1800" spans="1:15" x14ac:dyDescent="0.3">
      <c r="A1800" s="1">
        <v>43984</v>
      </c>
      <c r="B1800">
        <v>1000009288</v>
      </c>
      <c r="C1800" t="s">
        <v>15</v>
      </c>
      <c r="D1800">
        <v>2</v>
      </c>
      <c r="E1800">
        <v>10500.71</v>
      </c>
      <c r="F1800" t="s">
        <v>16</v>
      </c>
      <c r="G1800" t="s">
        <v>17</v>
      </c>
      <c r="H1800" t="s">
        <v>18</v>
      </c>
      <c r="I1800" t="s">
        <v>25</v>
      </c>
      <c r="J1800" t="s">
        <v>20</v>
      </c>
      <c r="K1800" t="s">
        <v>51</v>
      </c>
      <c r="L1800" t="s">
        <v>22</v>
      </c>
      <c r="M1800">
        <v>5250.3549999999996</v>
      </c>
      <c r="N1800">
        <v>2020</v>
      </c>
      <c r="O1800">
        <v>6</v>
      </c>
    </row>
    <row r="1801" spans="1:15" x14ac:dyDescent="0.3">
      <c r="A1801" s="1">
        <v>43984</v>
      </c>
      <c r="B1801">
        <v>1000010814</v>
      </c>
      <c r="C1801" t="s">
        <v>15</v>
      </c>
      <c r="D1801">
        <v>2</v>
      </c>
      <c r="E1801">
        <v>14000.470000000001</v>
      </c>
      <c r="F1801" t="s">
        <v>16</v>
      </c>
      <c r="G1801" t="s">
        <v>17</v>
      </c>
      <c r="H1801" t="s">
        <v>18</v>
      </c>
      <c r="I1801" t="s">
        <v>61</v>
      </c>
      <c r="J1801" t="s">
        <v>32</v>
      </c>
      <c r="K1801" t="s">
        <v>63</v>
      </c>
      <c r="L1801" t="s">
        <v>22</v>
      </c>
      <c r="M1801">
        <v>7000.2350000000006</v>
      </c>
      <c r="N1801">
        <v>2020</v>
      </c>
      <c r="O1801">
        <v>6</v>
      </c>
    </row>
    <row r="1802" spans="1:15" x14ac:dyDescent="0.3">
      <c r="A1802" s="1">
        <v>43984</v>
      </c>
      <c r="B1802">
        <v>1000010837</v>
      </c>
      <c r="C1802" t="s">
        <v>15</v>
      </c>
      <c r="D1802">
        <v>1</v>
      </c>
      <c r="E1802">
        <v>24999.97</v>
      </c>
      <c r="F1802" t="s">
        <v>16</v>
      </c>
      <c r="G1802" t="s">
        <v>17</v>
      </c>
      <c r="H1802" t="s">
        <v>18</v>
      </c>
      <c r="I1802" t="s">
        <v>61</v>
      </c>
      <c r="J1802" t="s">
        <v>26</v>
      </c>
      <c r="K1802" t="s">
        <v>62</v>
      </c>
      <c r="L1802" t="s">
        <v>22</v>
      </c>
      <c r="M1802">
        <v>24999.97</v>
      </c>
      <c r="N1802">
        <v>2020</v>
      </c>
      <c r="O1802">
        <v>6</v>
      </c>
    </row>
    <row r="1803" spans="1:15" x14ac:dyDescent="0.3">
      <c r="A1803" s="1">
        <v>43984</v>
      </c>
      <c r="B1803">
        <v>1000010881</v>
      </c>
      <c r="C1803" t="s">
        <v>23</v>
      </c>
      <c r="D1803">
        <v>1</v>
      </c>
      <c r="E1803">
        <v>10000.44</v>
      </c>
      <c r="F1803" t="s">
        <v>16</v>
      </c>
      <c r="G1803" t="s">
        <v>24</v>
      </c>
      <c r="H1803" t="s">
        <v>47</v>
      </c>
      <c r="I1803" t="s">
        <v>48</v>
      </c>
      <c r="J1803" t="s">
        <v>26</v>
      </c>
      <c r="K1803" t="s">
        <v>50</v>
      </c>
      <c r="L1803" t="s">
        <v>22</v>
      </c>
      <c r="M1803">
        <v>10000.44</v>
      </c>
      <c r="N1803">
        <v>2020</v>
      </c>
      <c r="O1803">
        <v>6</v>
      </c>
    </row>
    <row r="1804" spans="1:15" x14ac:dyDescent="0.3">
      <c r="A1804" s="1">
        <v>43985</v>
      </c>
      <c r="B1804">
        <v>1000006867</v>
      </c>
      <c r="C1804" t="s">
        <v>23</v>
      </c>
      <c r="D1804">
        <v>1</v>
      </c>
      <c r="E1804">
        <v>5000.51</v>
      </c>
      <c r="F1804" t="s">
        <v>16</v>
      </c>
      <c r="G1804" t="s">
        <v>24</v>
      </c>
      <c r="H1804" t="s">
        <v>18</v>
      </c>
      <c r="I1804" t="s">
        <v>61</v>
      </c>
      <c r="J1804" t="s">
        <v>26</v>
      </c>
      <c r="K1804" t="s">
        <v>62</v>
      </c>
      <c r="L1804" t="s">
        <v>22</v>
      </c>
      <c r="M1804">
        <v>5000.51</v>
      </c>
      <c r="N1804">
        <v>2020</v>
      </c>
      <c r="O1804">
        <v>6</v>
      </c>
    </row>
    <row r="1805" spans="1:15" x14ac:dyDescent="0.3">
      <c r="A1805" s="1">
        <v>43985</v>
      </c>
      <c r="B1805">
        <v>1000006867</v>
      </c>
      <c r="C1805" t="s">
        <v>15</v>
      </c>
      <c r="D1805">
        <v>2</v>
      </c>
      <c r="E1805">
        <v>14501.42</v>
      </c>
      <c r="F1805" t="s">
        <v>16</v>
      </c>
      <c r="G1805" t="s">
        <v>17</v>
      </c>
      <c r="H1805" t="s">
        <v>18</v>
      </c>
      <c r="I1805" t="s">
        <v>61</v>
      </c>
      <c r="J1805" t="s">
        <v>26</v>
      </c>
      <c r="K1805" t="s">
        <v>62</v>
      </c>
      <c r="L1805" t="s">
        <v>22</v>
      </c>
      <c r="M1805">
        <v>7250.71</v>
      </c>
      <c r="N1805">
        <v>2020</v>
      </c>
      <c r="O1805">
        <v>6</v>
      </c>
    </row>
    <row r="1806" spans="1:15" x14ac:dyDescent="0.3">
      <c r="A1806" s="1">
        <v>43985</v>
      </c>
      <c r="B1806">
        <v>1000006867</v>
      </c>
      <c r="C1806" t="s">
        <v>42</v>
      </c>
      <c r="D1806">
        <v>2</v>
      </c>
      <c r="E1806">
        <v>36000.660000000003</v>
      </c>
      <c r="F1806" t="s">
        <v>16</v>
      </c>
      <c r="G1806" t="s">
        <v>43</v>
      </c>
      <c r="H1806" t="s">
        <v>18</v>
      </c>
      <c r="I1806" t="s">
        <v>61</v>
      </c>
      <c r="J1806" t="s">
        <v>26</v>
      </c>
      <c r="K1806" t="s">
        <v>62</v>
      </c>
      <c r="L1806" t="s">
        <v>22</v>
      </c>
      <c r="M1806">
        <v>18000.330000000002</v>
      </c>
      <c r="N1806">
        <v>2020</v>
      </c>
      <c r="O1806">
        <v>6</v>
      </c>
    </row>
    <row r="1807" spans="1:15" x14ac:dyDescent="0.3">
      <c r="A1807" s="1">
        <v>43985</v>
      </c>
      <c r="B1807">
        <v>1000006869</v>
      </c>
      <c r="C1807" t="s">
        <v>23</v>
      </c>
      <c r="D1807">
        <v>3</v>
      </c>
      <c r="E1807">
        <v>35000.65</v>
      </c>
      <c r="F1807" t="s">
        <v>16</v>
      </c>
      <c r="G1807" t="s">
        <v>24</v>
      </c>
      <c r="H1807" t="s">
        <v>18</v>
      </c>
      <c r="I1807" t="s">
        <v>61</v>
      </c>
      <c r="J1807" t="s">
        <v>26</v>
      </c>
      <c r="K1807" t="s">
        <v>62</v>
      </c>
      <c r="L1807" t="s">
        <v>22</v>
      </c>
      <c r="M1807">
        <v>11666.883333333333</v>
      </c>
      <c r="N1807">
        <v>2020</v>
      </c>
      <c r="O1807">
        <v>6</v>
      </c>
    </row>
    <row r="1808" spans="1:15" x14ac:dyDescent="0.3">
      <c r="A1808" s="1">
        <v>43985</v>
      </c>
      <c r="B1808">
        <v>1000006869</v>
      </c>
      <c r="C1808" t="s">
        <v>15</v>
      </c>
      <c r="D1808">
        <v>1</v>
      </c>
      <c r="E1808">
        <v>5999.98</v>
      </c>
      <c r="F1808" t="s">
        <v>16</v>
      </c>
      <c r="G1808" t="s">
        <v>17</v>
      </c>
      <c r="H1808" t="s">
        <v>18</v>
      </c>
      <c r="I1808" t="s">
        <v>61</v>
      </c>
      <c r="J1808" t="s">
        <v>26</v>
      </c>
      <c r="K1808" t="s">
        <v>62</v>
      </c>
      <c r="L1808" t="s">
        <v>22</v>
      </c>
      <c r="M1808">
        <v>5999.98</v>
      </c>
      <c r="N1808">
        <v>2020</v>
      </c>
      <c r="O1808">
        <v>6</v>
      </c>
    </row>
    <row r="1809" spans="1:15" x14ac:dyDescent="0.3">
      <c r="A1809" s="1">
        <v>43985</v>
      </c>
      <c r="B1809">
        <v>1000007197</v>
      </c>
      <c r="C1809" t="s">
        <v>23</v>
      </c>
      <c r="D1809">
        <v>1</v>
      </c>
      <c r="E1809">
        <v>24999.96</v>
      </c>
      <c r="F1809" t="s">
        <v>16</v>
      </c>
      <c r="G1809" t="s">
        <v>24</v>
      </c>
      <c r="H1809" t="s">
        <v>18</v>
      </c>
      <c r="I1809" t="s">
        <v>40</v>
      </c>
      <c r="J1809" t="s">
        <v>26</v>
      </c>
      <c r="K1809" t="s">
        <v>41</v>
      </c>
      <c r="L1809" t="s">
        <v>22</v>
      </c>
      <c r="M1809">
        <v>24999.96</v>
      </c>
      <c r="N1809">
        <v>2020</v>
      </c>
      <c r="O1809">
        <v>6</v>
      </c>
    </row>
    <row r="1810" spans="1:15" x14ac:dyDescent="0.3">
      <c r="A1810" s="1">
        <v>43985</v>
      </c>
      <c r="B1810">
        <v>1000007320</v>
      </c>
      <c r="C1810" t="s">
        <v>15</v>
      </c>
      <c r="D1810">
        <v>1</v>
      </c>
      <c r="E1810">
        <v>15000.35</v>
      </c>
      <c r="F1810" t="s">
        <v>16</v>
      </c>
      <c r="G1810" t="s">
        <v>17</v>
      </c>
      <c r="H1810" t="s">
        <v>18</v>
      </c>
      <c r="I1810" t="s">
        <v>34</v>
      </c>
      <c r="J1810" t="s">
        <v>26</v>
      </c>
      <c r="K1810" t="s">
        <v>35</v>
      </c>
      <c r="L1810" t="s">
        <v>22</v>
      </c>
      <c r="M1810">
        <v>15000.35</v>
      </c>
      <c r="N1810">
        <v>2020</v>
      </c>
      <c r="O1810">
        <v>6</v>
      </c>
    </row>
    <row r="1811" spans="1:15" x14ac:dyDescent="0.3">
      <c r="A1811" s="1">
        <v>43985</v>
      </c>
      <c r="B1811">
        <v>1000008228</v>
      </c>
      <c r="C1811" t="s">
        <v>23</v>
      </c>
      <c r="D1811">
        <v>2</v>
      </c>
      <c r="E1811">
        <v>19000.55</v>
      </c>
      <c r="F1811" t="s">
        <v>16</v>
      </c>
      <c r="G1811" t="s">
        <v>24</v>
      </c>
      <c r="H1811" t="s">
        <v>30</v>
      </c>
      <c r="I1811" t="s">
        <v>31</v>
      </c>
      <c r="J1811" t="s">
        <v>36</v>
      </c>
      <c r="K1811" t="s">
        <v>52</v>
      </c>
      <c r="L1811" t="s">
        <v>22</v>
      </c>
      <c r="M1811">
        <v>9500.2749999999996</v>
      </c>
      <c r="N1811">
        <v>2020</v>
      </c>
      <c r="O1811">
        <v>6</v>
      </c>
    </row>
    <row r="1812" spans="1:15" x14ac:dyDescent="0.3">
      <c r="A1812" s="1">
        <v>43985</v>
      </c>
      <c r="B1812">
        <v>1000008239</v>
      </c>
      <c r="C1812" t="s">
        <v>15</v>
      </c>
      <c r="D1812">
        <v>3</v>
      </c>
      <c r="E1812">
        <v>44001.950000000004</v>
      </c>
      <c r="F1812" t="s">
        <v>16</v>
      </c>
      <c r="G1812" t="s">
        <v>17</v>
      </c>
      <c r="H1812" t="s">
        <v>18</v>
      </c>
      <c r="I1812" t="s">
        <v>61</v>
      </c>
      <c r="J1812" t="s">
        <v>26</v>
      </c>
      <c r="K1812" t="s">
        <v>62</v>
      </c>
      <c r="L1812" t="s">
        <v>28</v>
      </c>
      <c r="M1812">
        <v>14667.316666666668</v>
      </c>
      <c r="N1812">
        <v>2020</v>
      </c>
      <c r="O1812">
        <v>6</v>
      </c>
    </row>
    <row r="1813" spans="1:15" x14ac:dyDescent="0.3">
      <c r="A1813" s="1">
        <v>43985</v>
      </c>
      <c r="B1813">
        <v>1000008239</v>
      </c>
      <c r="C1813" t="s">
        <v>42</v>
      </c>
      <c r="D1813">
        <v>1</v>
      </c>
      <c r="E1813">
        <v>6000.29</v>
      </c>
      <c r="F1813" t="s">
        <v>16</v>
      </c>
      <c r="G1813" t="s">
        <v>43</v>
      </c>
      <c r="H1813" t="s">
        <v>18</v>
      </c>
      <c r="I1813" t="s">
        <v>61</v>
      </c>
      <c r="J1813" t="s">
        <v>26</v>
      </c>
      <c r="K1813" t="s">
        <v>62</v>
      </c>
      <c r="L1813" t="s">
        <v>28</v>
      </c>
      <c r="M1813">
        <v>6000.29</v>
      </c>
      <c r="N1813">
        <v>2020</v>
      </c>
      <c r="O1813">
        <v>6</v>
      </c>
    </row>
    <row r="1814" spans="1:15" x14ac:dyDescent="0.3">
      <c r="A1814" s="1">
        <v>43985</v>
      </c>
      <c r="B1814">
        <v>1000008957</v>
      </c>
      <c r="C1814" t="s">
        <v>23</v>
      </c>
      <c r="D1814">
        <v>1</v>
      </c>
      <c r="E1814">
        <v>8000.16</v>
      </c>
      <c r="F1814" t="s">
        <v>16</v>
      </c>
      <c r="G1814" t="s">
        <v>24</v>
      </c>
      <c r="H1814" t="s">
        <v>18</v>
      </c>
      <c r="I1814" t="s">
        <v>34</v>
      </c>
      <c r="J1814" t="s">
        <v>20</v>
      </c>
      <c r="K1814" t="s">
        <v>44</v>
      </c>
      <c r="L1814" t="s">
        <v>22</v>
      </c>
      <c r="M1814">
        <v>8000.16</v>
      </c>
      <c r="N1814">
        <v>2020</v>
      </c>
      <c r="O1814">
        <v>6</v>
      </c>
    </row>
    <row r="1815" spans="1:15" x14ac:dyDescent="0.3">
      <c r="A1815" s="1">
        <v>43985</v>
      </c>
      <c r="B1815">
        <v>1000009288</v>
      </c>
      <c r="C1815" t="s">
        <v>15</v>
      </c>
      <c r="D1815">
        <v>1</v>
      </c>
      <c r="E1815">
        <v>12000.48</v>
      </c>
      <c r="F1815" t="s">
        <v>16</v>
      </c>
      <c r="G1815" t="s">
        <v>17</v>
      </c>
      <c r="H1815" t="s">
        <v>18</v>
      </c>
      <c r="I1815" t="s">
        <v>25</v>
      </c>
      <c r="J1815" t="s">
        <v>20</v>
      </c>
      <c r="K1815" t="s">
        <v>51</v>
      </c>
      <c r="L1815" t="s">
        <v>22</v>
      </c>
      <c r="M1815">
        <v>12000.48</v>
      </c>
      <c r="N1815">
        <v>2020</v>
      </c>
      <c r="O1815">
        <v>6</v>
      </c>
    </row>
    <row r="1816" spans="1:15" x14ac:dyDescent="0.3">
      <c r="A1816" s="1">
        <v>43985</v>
      </c>
      <c r="B1816">
        <v>1000010814</v>
      </c>
      <c r="C1816" t="s">
        <v>15</v>
      </c>
      <c r="D1816">
        <v>5</v>
      </c>
      <c r="E1816">
        <v>59502.219999999994</v>
      </c>
      <c r="F1816" t="s">
        <v>16</v>
      </c>
      <c r="G1816" t="s">
        <v>17</v>
      </c>
      <c r="H1816" t="s">
        <v>18</v>
      </c>
      <c r="I1816" t="s">
        <v>61</v>
      </c>
      <c r="J1816" t="s">
        <v>32</v>
      </c>
      <c r="K1816" t="s">
        <v>63</v>
      </c>
      <c r="L1816" t="s">
        <v>22</v>
      </c>
      <c r="M1816">
        <v>11900.444</v>
      </c>
      <c r="N1816">
        <v>2020</v>
      </c>
      <c r="O1816">
        <v>6</v>
      </c>
    </row>
    <row r="1817" spans="1:15" x14ac:dyDescent="0.3">
      <c r="A1817" s="1">
        <v>43985</v>
      </c>
      <c r="B1817">
        <v>1000010815</v>
      </c>
      <c r="C1817" t="s">
        <v>15</v>
      </c>
      <c r="D1817">
        <v>1</v>
      </c>
      <c r="E1817">
        <v>12000.22</v>
      </c>
      <c r="F1817" t="s">
        <v>16</v>
      </c>
      <c r="G1817" t="s">
        <v>17</v>
      </c>
      <c r="H1817" t="s">
        <v>18</v>
      </c>
      <c r="I1817" t="s">
        <v>61</v>
      </c>
      <c r="J1817" t="s">
        <v>26</v>
      </c>
      <c r="K1817" t="s">
        <v>62</v>
      </c>
      <c r="L1817" t="s">
        <v>22</v>
      </c>
      <c r="M1817">
        <v>12000.22</v>
      </c>
      <c r="N1817">
        <v>2020</v>
      </c>
      <c r="O1817">
        <v>6</v>
      </c>
    </row>
    <row r="1818" spans="1:15" x14ac:dyDescent="0.3">
      <c r="A1818" s="1">
        <v>43985</v>
      </c>
      <c r="B1818">
        <v>1000010837</v>
      </c>
      <c r="C1818" t="s">
        <v>23</v>
      </c>
      <c r="D1818">
        <v>2</v>
      </c>
      <c r="E1818">
        <v>15500.800000000001</v>
      </c>
      <c r="F1818" t="s">
        <v>16</v>
      </c>
      <c r="G1818" t="s">
        <v>24</v>
      </c>
      <c r="H1818" t="s">
        <v>18</v>
      </c>
      <c r="I1818" t="s">
        <v>61</v>
      </c>
      <c r="J1818" t="s">
        <v>26</v>
      </c>
      <c r="K1818" t="s">
        <v>62</v>
      </c>
      <c r="L1818" t="s">
        <v>22</v>
      </c>
      <c r="M1818">
        <v>7750.4000000000005</v>
      </c>
      <c r="N1818">
        <v>2020</v>
      </c>
      <c r="O1818">
        <v>6</v>
      </c>
    </row>
    <row r="1819" spans="1:15" x14ac:dyDescent="0.3">
      <c r="A1819" s="1">
        <v>43985</v>
      </c>
      <c r="B1819">
        <v>1000010837</v>
      </c>
      <c r="C1819" t="s">
        <v>42</v>
      </c>
      <c r="D1819">
        <v>1</v>
      </c>
      <c r="E1819">
        <v>20000.46</v>
      </c>
      <c r="F1819" t="s">
        <v>16</v>
      </c>
      <c r="G1819" t="s">
        <v>43</v>
      </c>
      <c r="H1819" t="s">
        <v>18</v>
      </c>
      <c r="I1819" t="s">
        <v>61</v>
      </c>
      <c r="J1819" t="s">
        <v>26</v>
      </c>
      <c r="K1819" t="s">
        <v>62</v>
      </c>
      <c r="L1819" t="s">
        <v>22</v>
      </c>
      <c r="M1819">
        <v>20000.46</v>
      </c>
      <c r="N1819">
        <v>2020</v>
      </c>
      <c r="O1819">
        <v>6</v>
      </c>
    </row>
    <row r="1820" spans="1:15" x14ac:dyDescent="0.3">
      <c r="A1820" s="1">
        <v>43985</v>
      </c>
      <c r="B1820">
        <v>1000010881</v>
      </c>
      <c r="C1820" t="s">
        <v>23</v>
      </c>
      <c r="D1820">
        <v>1</v>
      </c>
      <c r="E1820">
        <v>5000.2299999999996</v>
      </c>
      <c r="F1820" t="s">
        <v>16</v>
      </c>
      <c r="G1820" t="s">
        <v>24</v>
      </c>
      <c r="H1820" t="s">
        <v>47</v>
      </c>
      <c r="I1820" t="s">
        <v>48</v>
      </c>
      <c r="J1820" t="s">
        <v>26</v>
      </c>
      <c r="K1820" t="s">
        <v>50</v>
      </c>
      <c r="L1820" t="s">
        <v>22</v>
      </c>
      <c r="M1820">
        <v>5000.2299999999996</v>
      </c>
      <c r="N1820">
        <v>2020</v>
      </c>
      <c r="O1820">
        <v>6</v>
      </c>
    </row>
    <row r="1821" spans="1:15" x14ac:dyDescent="0.3">
      <c r="A1821" s="1">
        <v>43986</v>
      </c>
      <c r="B1821">
        <v>1000000028</v>
      </c>
      <c r="C1821" t="s">
        <v>23</v>
      </c>
      <c r="D1821">
        <v>1</v>
      </c>
      <c r="E1821">
        <v>3399.46</v>
      </c>
      <c r="F1821" t="s">
        <v>16</v>
      </c>
      <c r="G1821" t="s">
        <v>24</v>
      </c>
      <c r="H1821" t="s">
        <v>18</v>
      </c>
      <c r="I1821" t="s">
        <v>19</v>
      </c>
      <c r="J1821" t="s">
        <v>20</v>
      </c>
      <c r="K1821" t="s">
        <v>21</v>
      </c>
      <c r="L1821" t="s">
        <v>22</v>
      </c>
      <c r="M1821">
        <v>3399.46</v>
      </c>
      <c r="N1821">
        <v>2020</v>
      </c>
      <c r="O1821">
        <v>6</v>
      </c>
    </row>
    <row r="1822" spans="1:15" x14ac:dyDescent="0.3">
      <c r="A1822" s="1">
        <v>43986</v>
      </c>
      <c r="B1822">
        <v>1000000029</v>
      </c>
      <c r="C1822" t="s">
        <v>23</v>
      </c>
      <c r="D1822">
        <v>2</v>
      </c>
      <c r="E1822">
        <v>6690.2</v>
      </c>
      <c r="F1822" t="s">
        <v>16</v>
      </c>
      <c r="G1822" t="s">
        <v>24</v>
      </c>
      <c r="H1822" t="s">
        <v>18</v>
      </c>
      <c r="I1822" t="s">
        <v>19</v>
      </c>
      <c r="J1822" t="s">
        <v>20</v>
      </c>
      <c r="K1822" t="s">
        <v>21</v>
      </c>
      <c r="L1822" t="s">
        <v>22</v>
      </c>
      <c r="M1822">
        <v>3345.1</v>
      </c>
      <c r="N1822">
        <v>2020</v>
      </c>
      <c r="O1822">
        <v>6</v>
      </c>
    </row>
    <row r="1823" spans="1:15" x14ac:dyDescent="0.3">
      <c r="A1823" s="1">
        <v>43986</v>
      </c>
      <c r="B1823">
        <v>1000000029</v>
      </c>
      <c r="C1823" t="s">
        <v>15</v>
      </c>
      <c r="D1823">
        <v>1</v>
      </c>
      <c r="E1823">
        <v>15000.67</v>
      </c>
      <c r="F1823" t="s">
        <v>16</v>
      </c>
      <c r="G1823" t="s">
        <v>17</v>
      </c>
      <c r="H1823" t="s">
        <v>18</v>
      </c>
      <c r="I1823" t="s">
        <v>19</v>
      </c>
      <c r="J1823" t="s">
        <v>20</v>
      </c>
      <c r="K1823" t="s">
        <v>21</v>
      </c>
      <c r="L1823" t="s">
        <v>22</v>
      </c>
      <c r="M1823">
        <v>15000.67</v>
      </c>
      <c r="N1823">
        <v>2020</v>
      </c>
      <c r="O1823">
        <v>6</v>
      </c>
    </row>
    <row r="1824" spans="1:15" x14ac:dyDescent="0.3">
      <c r="A1824" s="1">
        <v>43986</v>
      </c>
      <c r="B1824">
        <v>1000000030</v>
      </c>
      <c r="C1824" t="s">
        <v>23</v>
      </c>
      <c r="D1824">
        <v>2</v>
      </c>
      <c r="E1824">
        <v>17001.009999999998</v>
      </c>
      <c r="F1824" t="s">
        <v>16</v>
      </c>
      <c r="G1824" t="s">
        <v>24</v>
      </c>
      <c r="H1824" t="s">
        <v>47</v>
      </c>
      <c r="I1824" t="s">
        <v>48</v>
      </c>
      <c r="J1824" t="s">
        <v>36</v>
      </c>
      <c r="K1824" t="s">
        <v>49</v>
      </c>
      <c r="L1824" t="s">
        <v>22</v>
      </c>
      <c r="M1824">
        <v>8500.5049999999992</v>
      </c>
      <c r="N1824">
        <v>2020</v>
      </c>
      <c r="O1824">
        <v>6</v>
      </c>
    </row>
    <row r="1825" spans="1:15" x14ac:dyDescent="0.3">
      <c r="A1825" s="1">
        <v>43986</v>
      </c>
      <c r="B1825">
        <v>1000000031</v>
      </c>
      <c r="C1825" t="s">
        <v>15</v>
      </c>
      <c r="D1825">
        <v>1</v>
      </c>
      <c r="E1825">
        <v>10000.35</v>
      </c>
      <c r="F1825" t="s">
        <v>16</v>
      </c>
      <c r="G1825" t="s">
        <v>17</v>
      </c>
      <c r="H1825" t="s">
        <v>18</v>
      </c>
      <c r="I1825" t="s">
        <v>19</v>
      </c>
      <c r="J1825" t="s">
        <v>26</v>
      </c>
      <c r="K1825" t="s">
        <v>29</v>
      </c>
      <c r="L1825" t="s">
        <v>28</v>
      </c>
      <c r="M1825">
        <v>10000.35</v>
      </c>
      <c r="N1825">
        <v>2020</v>
      </c>
      <c r="O1825">
        <v>6</v>
      </c>
    </row>
    <row r="1826" spans="1:15" x14ac:dyDescent="0.3">
      <c r="A1826" s="1">
        <v>43986</v>
      </c>
      <c r="B1826">
        <v>1000000032</v>
      </c>
      <c r="C1826" t="s">
        <v>23</v>
      </c>
      <c r="D1826">
        <v>3</v>
      </c>
      <c r="E1826">
        <v>51982.130000000005</v>
      </c>
      <c r="F1826" t="s">
        <v>16</v>
      </c>
      <c r="G1826" t="s">
        <v>24</v>
      </c>
      <c r="H1826" t="s">
        <v>18</v>
      </c>
      <c r="I1826" t="s">
        <v>25</v>
      </c>
      <c r="J1826" t="s">
        <v>26</v>
      </c>
      <c r="K1826" t="s">
        <v>27</v>
      </c>
      <c r="L1826" t="s">
        <v>28</v>
      </c>
      <c r="M1826">
        <v>17327.376666666667</v>
      </c>
      <c r="N1826">
        <v>2020</v>
      </c>
      <c r="O1826">
        <v>6</v>
      </c>
    </row>
    <row r="1827" spans="1:15" x14ac:dyDescent="0.3">
      <c r="A1827" s="1">
        <v>43986</v>
      </c>
      <c r="B1827">
        <v>1000000033</v>
      </c>
      <c r="C1827" t="s">
        <v>23</v>
      </c>
      <c r="D1827">
        <v>1</v>
      </c>
      <c r="E1827">
        <v>500.48</v>
      </c>
      <c r="F1827" t="s">
        <v>16</v>
      </c>
      <c r="G1827" t="s">
        <v>24</v>
      </c>
      <c r="H1827" t="s">
        <v>18</v>
      </c>
      <c r="I1827" t="s">
        <v>25</v>
      </c>
      <c r="J1827" t="s">
        <v>26</v>
      </c>
      <c r="K1827" t="s">
        <v>27</v>
      </c>
      <c r="L1827" t="s">
        <v>22</v>
      </c>
      <c r="M1827">
        <v>500.48</v>
      </c>
      <c r="N1827">
        <v>2020</v>
      </c>
      <c r="O1827">
        <v>6</v>
      </c>
    </row>
    <row r="1828" spans="1:15" x14ac:dyDescent="0.3">
      <c r="A1828" s="1">
        <v>43986</v>
      </c>
      <c r="B1828">
        <v>1000000033</v>
      </c>
      <c r="C1828" t="s">
        <v>15</v>
      </c>
      <c r="D1828">
        <v>2</v>
      </c>
      <c r="E1828">
        <v>26000.82</v>
      </c>
      <c r="F1828" t="s">
        <v>16</v>
      </c>
      <c r="G1828" t="s">
        <v>17</v>
      </c>
      <c r="H1828" t="s">
        <v>18</v>
      </c>
      <c r="I1828" t="s">
        <v>25</v>
      </c>
      <c r="J1828" t="s">
        <v>26</v>
      </c>
      <c r="K1828" t="s">
        <v>27</v>
      </c>
      <c r="L1828" t="s">
        <v>22</v>
      </c>
      <c r="M1828">
        <v>13000.41</v>
      </c>
      <c r="N1828">
        <v>2020</v>
      </c>
      <c r="O1828">
        <v>6</v>
      </c>
    </row>
    <row r="1829" spans="1:15" x14ac:dyDescent="0.3">
      <c r="A1829" s="1">
        <v>43986</v>
      </c>
      <c r="B1829">
        <v>1000000034</v>
      </c>
      <c r="C1829" t="s">
        <v>15</v>
      </c>
      <c r="D1829">
        <v>2</v>
      </c>
      <c r="E1829">
        <v>13500.810000000001</v>
      </c>
      <c r="F1829" t="s">
        <v>16</v>
      </c>
      <c r="G1829" t="s">
        <v>17</v>
      </c>
      <c r="H1829" t="s">
        <v>18</v>
      </c>
      <c r="I1829" t="s">
        <v>25</v>
      </c>
      <c r="J1829" t="s">
        <v>26</v>
      </c>
      <c r="K1829" t="s">
        <v>27</v>
      </c>
      <c r="L1829" t="s">
        <v>22</v>
      </c>
      <c r="M1829">
        <v>6750.4050000000007</v>
      </c>
      <c r="N1829">
        <v>2020</v>
      </c>
      <c r="O1829">
        <v>6</v>
      </c>
    </row>
    <row r="1830" spans="1:15" x14ac:dyDescent="0.3">
      <c r="A1830" s="1">
        <v>43986</v>
      </c>
      <c r="B1830">
        <v>1000000036</v>
      </c>
      <c r="C1830" t="s">
        <v>15</v>
      </c>
      <c r="D1830">
        <v>1</v>
      </c>
      <c r="E1830">
        <v>5000.6099999999997</v>
      </c>
      <c r="F1830" t="s">
        <v>16</v>
      </c>
      <c r="G1830" t="s">
        <v>17</v>
      </c>
      <c r="H1830" t="s">
        <v>47</v>
      </c>
      <c r="I1830" t="s">
        <v>48</v>
      </c>
      <c r="J1830" t="s">
        <v>36</v>
      </c>
      <c r="K1830" t="s">
        <v>49</v>
      </c>
      <c r="L1830" t="s">
        <v>28</v>
      </c>
      <c r="M1830">
        <v>5000.6099999999997</v>
      </c>
      <c r="N1830">
        <v>2020</v>
      </c>
      <c r="O1830">
        <v>6</v>
      </c>
    </row>
    <row r="1831" spans="1:15" x14ac:dyDescent="0.3">
      <c r="A1831" s="1">
        <v>43986</v>
      </c>
      <c r="B1831">
        <v>1000000036</v>
      </c>
      <c r="C1831" t="s">
        <v>42</v>
      </c>
      <c r="D1831">
        <v>1</v>
      </c>
      <c r="E1831">
        <v>9000.59</v>
      </c>
      <c r="F1831" t="s">
        <v>16</v>
      </c>
      <c r="G1831" t="s">
        <v>43</v>
      </c>
      <c r="H1831" t="s">
        <v>47</v>
      </c>
      <c r="I1831" t="s">
        <v>48</v>
      </c>
      <c r="J1831" t="s">
        <v>36</v>
      </c>
      <c r="K1831" t="s">
        <v>49</v>
      </c>
      <c r="L1831" t="s">
        <v>28</v>
      </c>
      <c r="M1831">
        <v>9000.59</v>
      </c>
      <c r="N1831">
        <v>2020</v>
      </c>
      <c r="O1831">
        <v>6</v>
      </c>
    </row>
    <row r="1832" spans="1:15" x14ac:dyDescent="0.3">
      <c r="A1832" s="1">
        <v>43986</v>
      </c>
      <c r="B1832">
        <v>1000000037</v>
      </c>
      <c r="C1832" t="s">
        <v>23</v>
      </c>
      <c r="D1832">
        <v>3</v>
      </c>
      <c r="E1832">
        <v>29677.469999999998</v>
      </c>
      <c r="F1832" t="s">
        <v>16</v>
      </c>
      <c r="G1832" t="s">
        <v>24</v>
      </c>
      <c r="H1832" t="s">
        <v>18</v>
      </c>
      <c r="I1832" t="s">
        <v>19</v>
      </c>
      <c r="J1832" t="s">
        <v>20</v>
      </c>
      <c r="K1832" t="s">
        <v>21</v>
      </c>
      <c r="L1832" t="s">
        <v>22</v>
      </c>
      <c r="M1832">
        <v>9892.49</v>
      </c>
      <c r="N1832">
        <v>2020</v>
      </c>
      <c r="O1832">
        <v>6</v>
      </c>
    </row>
    <row r="1833" spans="1:15" x14ac:dyDescent="0.3">
      <c r="A1833" s="1">
        <v>43986</v>
      </c>
      <c r="B1833">
        <v>1000000037</v>
      </c>
      <c r="C1833" t="s">
        <v>15</v>
      </c>
      <c r="D1833">
        <v>1</v>
      </c>
      <c r="E1833">
        <v>10000.030000000001</v>
      </c>
      <c r="F1833" t="s">
        <v>16</v>
      </c>
      <c r="G1833" t="s">
        <v>17</v>
      </c>
      <c r="H1833" t="s">
        <v>18</v>
      </c>
      <c r="I1833" t="s">
        <v>19</v>
      </c>
      <c r="J1833" t="s">
        <v>20</v>
      </c>
      <c r="K1833" t="s">
        <v>21</v>
      </c>
      <c r="L1833" t="s">
        <v>22</v>
      </c>
      <c r="M1833">
        <v>10000.030000000001</v>
      </c>
      <c r="N1833">
        <v>2020</v>
      </c>
      <c r="O1833">
        <v>6</v>
      </c>
    </row>
    <row r="1834" spans="1:15" x14ac:dyDescent="0.3">
      <c r="A1834" s="1">
        <v>43986</v>
      </c>
      <c r="B1834">
        <v>1000000039</v>
      </c>
      <c r="C1834" t="s">
        <v>23</v>
      </c>
      <c r="D1834">
        <v>2</v>
      </c>
      <c r="E1834">
        <v>2469.6400000000003</v>
      </c>
      <c r="F1834" t="s">
        <v>16</v>
      </c>
      <c r="G1834" t="s">
        <v>24</v>
      </c>
      <c r="H1834" t="s">
        <v>18</v>
      </c>
      <c r="I1834" t="s">
        <v>25</v>
      </c>
      <c r="J1834" t="s">
        <v>20</v>
      </c>
      <c r="K1834" t="s">
        <v>51</v>
      </c>
      <c r="L1834" t="s">
        <v>28</v>
      </c>
      <c r="M1834">
        <v>1234.8200000000002</v>
      </c>
      <c r="N1834">
        <v>2020</v>
      </c>
      <c r="O1834">
        <v>6</v>
      </c>
    </row>
    <row r="1835" spans="1:15" x14ac:dyDescent="0.3">
      <c r="A1835" s="1">
        <v>43986</v>
      </c>
      <c r="B1835">
        <v>1000000039</v>
      </c>
      <c r="C1835" t="s">
        <v>15</v>
      </c>
      <c r="D1835">
        <v>1</v>
      </c>
      <c r="E1835">
        <v>7000.57</v>
      </c>
      <c r="F1835" t="s">
        <v>16</v>
      </c>
      <c r="G1835" t="s">
        <v>17</v>
      </c>
      <c r="H1835" t="s">
        <v>18</v>
      </c>
      <c r="I1835" t="s">
        <v>25</v>
      </c>
      <c r="J1835" t="s">
        <v>20</v>
      </c>
      <c r="K1835" t="s">
        <v>51</v>
      </c>
      <c r="L1835" t="s">
        <v>28</v>
      </c>
      <c r="M1835">
        <v>7000.57</v>
      </c>
      <c r="N1835">
        <v>2020</v>
      </c>
      <c r="O1835">
        <v>6</v>
      </c>
    </row>
    <row r="1836" spans="1:15" x14ac:dyDescent="0.3">
      <c r="A1836" s="1">
        <v>43986</v>
      </c>
      <c r="B1836">
        <v>1000000039</v>
      </c>
      <c r="C1836" t="s">
        <v>42</v>
      </c>
      <c r="D1836">
        <v>1</v>
      </c>
      <c r="E1836">
        <v>2350.1999999999998</v>
      </c>
      <c r="F1836" t="s">
        <v>16</v>
      </c>
      <c r="G1836" t="s">
        <v>43</v>
      </c>
      <c r="H1836" t="s">
        <v>18</v>
      </c>
      <c r="I1836" t="s">
        <v>25</v>
      </c>
      <c r="J1836" t="s">
        <v>20</v>
      </c>
      <c r="K1836" t="s">
        <v>51</v>
      </c>
      <c r="L1836" t="s">
        <v>28</v>
      </c>
      <c r="M1836">
        <v>2350.1999999999998</v>
      </c>
      <c r="N1836">
        <v>2020</v>
      </c>
      <c r="O1836">
        <v>6</v>
      </c>
    </row>
    <row r="1837" spans="1:15" x14ac:dyDescent="0.3">
      <c r="A1837" s="1">
        <v>43986</v>
      </c>
      <c r="B1837">
        <v>1000000040</v>
      </c>
      <c r="C1837" t="s">
        <v>23</v>
      </c>
      <c r="D1837">
        <v>1</v>
      </c>
      <c r="E1837">
        <v>1287.1400000000001</v>
      </c>
      <c r="F1837" t="s">
        <v>16</v>
      </c>
      <c r="G1837" t="s">
        <v>24</v>
      </c>
      <c r="H1837" t="s">
        <v>30</v>
      </c>
      <c r="I1837" t="s">
        <v>31</v>
      </c>
      <c r="J1837" t="s">
        <v>32</v>
      </c>
      <c r="K1837" t="s">
        <v>33</v>
      </c>
      <c r="L1837" t="s">
        <v>28</v>
      </c>
      <c r="M1837">
        <v>1287.1400000000001</v>
      </c>
      <c r="N1837">
        <v>2020</v>
      </c>
      <c r="O1837">
        <v>6</v>
      </c>
    </row>
    <row r="1838" spans="1:15" x14ac:dyDescent="0.3">
      <c r="A1838" s="1">
        <v>43986</v>
      </c>
      <c r="B1838">
        <v>1000000040</v>
      </c>
      <c r="C1838" t="s">
        <v>15</v>
      </c>
      <c r="D1838">
        <v>1</v>
      </c>
      <c r="E1838">
        <v>25000.69</v>
      </c>
      <c r="F1838" t="s">
        <v>16</v>
      </c>
      <c r="G1838" t="s">
        <v>17</v>
      </c>
      <c r="H1838" t="s">
        <v>30</v>
      </c>
      <c r="I1838" t="s">
        <v>31</v>
      </c>
      <c r="J1838" t="s">
        <v>32</v>
      </c>
      <c r="K1838" t="s">
        <v>33</v>
      </c>
      <c r="L1838" t="s">
        <v>28</v>
      </c>
      <c r="M1838">
        <v>25000.69</v>
      </c>
      <c r="N1838">
        <v>2020</v>
      </c>
      <c r="O1838">
        <v>6</v>
      </c>
    </row>
    <row r="1839" spans="1:15" x14ac:dyDescent="0.3">
      <c r="A1839" s="1">
        <v>43986</v>
      </c>
      <c r="B1839">
        <v>1000000041</v>
      </c>
      <c r="C1839" t="s">
        <v>23</v>
      </c>
      <c r="D1839">
        <v>1</v>
      </c>
      <c r="E1839">
        <v>8999.93</v>
      </c>
      <c r="F1839" t="s">
        <v>16</v>
      </c>
      <c r="G1839" t="s">
        <v>24</v>
      </c>
      <c r="H1839" t="s">
        <v>30</v>
      </c>
      <c r="I1839" t="s">
        <v>31</v>
      </c>
      <c r="J1839" t="s">
        <v>32</v>
      </c>
      <c r="K1839" t="s">
        <v>33</v>
      </c>
      <c r="L1839" t="s">
        <v>22</v>
      </c>
      <c r="M1839">
        <v>8999.93</v>
      </c>
      <c r="N1839">
        <v>2020</v>
      </c>
      <c r="O1839">
        <v>6</v>
      </c>
    </row>
    <row r="1840" spans="1:15" x14ac:dyDescent="0.3">
      <c r="A1840" s="1">
        <v>43986</v>
      </c>
      <c r="B1840">
        <v>1000000041</v>
      </c>
      <c r="C1840" t="s">
        <v>15</v>
      </c>
      <c r="D1840">
        <v>2</v>
      </c>
      <c r="E1840">
        <v>20001.03</v>
      </c>
      <c r="F1840" t="s">
        <v>16</v>
      </c>
      <c r="G1840" t="s">
        <v>17</v>
      </c>
      <c r="H1840" t="s">
        <v>30</v>
      </c>
      <c r="I1840" t="s">
        <v>31</v>
      </c>
      <c r="J1840" t="s">
        <v>32</v>
      </c>
      <c r="K1840" t="s">
        <v>33</v>
      </c>
      <c r="L1840" t="s">
        <v>22</v>
      </c>
      <c r="M1840">
        <v>10000.514999999999</v>
      </c>
      <c r="N1840">
        <v>2020</v>
      </c>
      <c r="O1840">
        <v>6</v>
      </c>
    </row>
    <row r="1841" spans="1:15" x14ac:dyDescent="0.3">
      <c r="A1841" s="1">
        <v>43986</v>
      </c>
      <c r="B1841">
        <v>1000000043</v>
      </c>
      <c r="C1841" t="s">
        <v>15</v>
      </c>
      <c r="D1841">
        <v>1</v>
      </c>
      <c r="E1841">
        <v>11000.27</v>
      </c>
      <c r="F1841" t="s">
        <v>16</v>
      </c>
      <c r="G1841" t="s">
        <v>17</v>
      </c>
      <c r="H1841" t="s">
        <v>30</v>
      </c>
      <c r="I1841" t="s">
        <v>38</v>
      </c>
      <c r="J1841" t="s">
        <v>26</v>
      </c>
      <c r="K1841" t="s">
        <v>39</v>
      </c>
      <c r="L1841" t="s">
        <v>22</v>
      </c>
      <c r="M1841">
        <v>11000.27</v>
      </c>
      <c r="N1841">
        <v>2020</v>
      </c>
      <c r="O1841">
        <v>6</v>
      </c>
    </row>
    <row r="1842" spans="1:15" x14ac:dyDescent="0.3">
      <c r="A1842" s="1">
        <v>43986</v>
      </c>
      <c r="B1842">
        <v>1000000044</v>
      </c>
      <c r="C1842" t="s">
        <v>23</v>
      </c>
      <c r="D1842">
        <v>2</v>
      </c>
      <c r="E1842">
        <v>29000.720000000001</v>
      </c>
      <c r="F1842" t="s">
        <v>16</v>
      </c>
      <c r="G1842" t="s">
        <v>24</v>
      </c>
      <c r="H1842" t="s">
        <v>30</v>
      </c>
      <c r="I1842" t="s">
        <v>31</v>
      </c>
      <c r="J1842" t="s">
        <v>36</v>
      </c>
      <c r="K1842" t="s">
        <v>52</v>
      </c>
      <c r="L1842" t="s">
        <v>28</v>
      </c>
      <c r="M1842">
        <v>14500.36</v>
      </c>
      <c r="N1842">
        <v>2020</v>
      </c>
      <c r="O1842">
        <v>6</v>
      </c>
    </row>
    <row r="1843" spans="1:15" x14ac:dyDescent="0.3">
      <c r="A1843" s="1">
        <v>43986</v>
      </c>
      <c r="B1843">
        <v>1000000045</v>
      </c>
      <c r="C1843" t="s">
        <v>23</v>
      </c>
      <c r="D1843">
        <v>1</v>
      </c>
      <c r="E1843">
        <v>9000.41</v>
      </c>
      <c r="F1843" t="s">
        <v>16</v>
      </c>
      <c r="G1843" t="s">
        <v>24</v>
      </c>
      <c r="H1843" t="s">
        <v>47</v>
      </c>
      <c r="I1843" t="s">
        <v>59</v>
      </c>
      <c r="J1843" t="s">
        <v>26</v>
      </c>
      <c r="K1843" t="s">
        <v>60</v>
      </c>
      <c r="L1843" t="s">
        <v>22</v>
      </c>
      <c r="M1843">
        <v>9000.41</v>
      </c>
      <c r="N1843">
        <v>2020</v>
      </c>
      <c r="O1843">
        <v>6</v>
      </c>
    </row>
    <row r="1844" spans="1:15" x14ac:dyDescent="0.3">
      <c r="A1844" s="1">
        <v>43986</v>
      </c>
      <c r="B1844">
        <v>1000000046</v>
      </c>
      <c r="C1844" t="s">
        <v>42</v>
      </c>
      <c r="D1844">
        <v>1</v>
      </c>
      <c r="E1844">
        <v>13000.41</v>
      </c>
      <c r="F1844" t="s">
        <v>16</v>
      </c>
      <c r="G1844" t="s">
        <v>43</v>
      </c>
      <c r="H1844" t="s">
        <v>30</v>
      </c>
      <c r="I1844" t="s">
        <v>38</v>
      </c>
      <c r="J1844" t="s">
        <v>26</v>
      </c>
      <c r="K1844" t="s">
        <v>39</v>
      </c>
      <c r="L1844" t="s">
        <v>22</v>
      </c>
      <c r="M1844">
        <v>13000.41</v>
      </c>
      <c r="N1844">
        <v>2020</v>
      </c>
      <c r="O1844">
        <v>6</v>
      </c>
    </row>
    <row r="1845" spans="1:15" x14ac:dyDescent="0.3">
      <c r="A1845" s="1">
        <v>43986</v>
      </c>
      <c r="B1845">
        <v>1000000050</v>
      </c>
      <c r="C1845" t="s">
        <v>23</v>
      </c>
      <c r="D1845">
        <v>1</v>
      </c>
      <c r="E1845">
        <v>1000.34</v>
      </c>
      <c r="F1845" t="s">
        <v>16</v>
      </c>
      <c r="G1845" t="s">
        <v>24</v>
      </c>
      <c r="H1845" t="s">
        <v>18</v>
      </c>
      <c r="I1845" t="s">
        <v>40</v>
      </c>
      <c r="J1845" t="s">
        <v>26</v>
      </c>
      <c r="K1845" t="s">
        <v>41</v>
      </c>
      <c r="L1845" t="s">
        <v>22</v>
      </c>
      <c r="M1845">
        <v>1000.34</v>
      </c>
      <c r="N1845">
        <v>2020</v>
      </c>
      <c r="O1845">
        <v>6</v>
      </c>
    </row>
    <row r="1846" spans="1:15" x14ac:dyDescent="0.3">
      <c r="A1846" s="1">
        <v>43986</v>
      </c>
      <c r="B1846">
        <v>1000000050</v>
      </c>
      <c r="C1846" t="s">
        <v>15</v>
      </c>
      <c r="D1846">
        <v>1</v>
      </c>
      <c r="E1846">
        <v>20000.599999999999</v>
      </c>
      <c r="F1846" t="s">
        <v>16</v>
      </c>
      <c r="G1846" t="s">
        <v>17</v>
      </c>
      <c r="H1846" t="s">
        <v>18</v>
      </c>
      <c r="I1846" t="s">
        <v>40</v>
      </c>
      <c r="J1846" t="s">
        <v>26</v>
      </c>
      <c r="K1846" t="s">
        <v>41</v>
      </c>
      <c r="L1846" t="s">
        <v>22</v>
      </c>
      <c r="M1846">
        <v>20000.599999999999</v>
      </c>
      <c r="N1846">
        <v>2020</v>
      </c>
      <c r="O1846">
        <v>6</v>
      </c>
    </row>
    <row r="1847" spans="1:15" x14ac:dyDescent="0.3">
      <c r="A1847" s="1">
        <v>43986</v>
      </c>
      <c r="B1847">
        <v>1000000050</v>
      </c>
      <c r="C1847" t="s">
        <v>42</v>
      </c>
      <c r="D1847">
        <v>3</v>
      </c>
      <c r="E1847">
        <v>40001.49</v>
      </c>
      <c r="F1847" t="s">
        <v>16</v>
      </c>
      <c r="G1847" t="s">
        <v>43</v>
      </c>
      <c r="H1847" t="s">
        <v>18</v>
      </c>
      <c r="I1847" t="s">
        <v>40</v>
      </c>
      <c r="J1847" t="s">
        <v>26</v>
      </c>
      <c r="K1847" t="s">
        <v>41</v>
      </c>
      <c r="L1847" t="s">
        <v>22</v>
      </c>
      <c r="M1847">
        <v>13333.83</v>
      </c>
      <c r="N1847">
        <v>2020</v>
      </c>
      <c r="O1847">
        <v>6</v>
      </c>
    </row>
    <row r="1848" spans="1:15" x14ac:dyDescent="0.3">
      <c r="A1848" s="1">
        <v>43986</v>
      </c>
      <c r="B1848">
        <v>1000000051</v>
      </c>
      <c r="C1848" t="s">
        <v>15</v>
      </c>
      <c r="D1848">
        <v>1</v>
      </c>
      <c r="E1848">
        <v>2000.57</v>
      </c>
      <c r="F1848" t="s">
        <v>16</v>
      </c>
      <c r="G1848" t="s">
        <v>17</v>
      </c>
      <c r="H1848" t="s">
        <v>18</v>
      </c>
      <c r="I1848" t="s">
        <v>34</v>
      </c>
      <c r="J1848" t="s">
        <v>20</v>
      </c>
      <c r="K1848" t="s">
        <v>44</v>
      </c>
      <c r="L1848" t="s">
        <v>22</v>
      </c>
      <c r="M1848">
        <v>2000.57</v>
      </c>
      <c r="N1848">
        <v>2020</v>
      </c>
      <c r="O1848">
        <v>6</v>
      </c>
    </row>
    <row r="1849" spans="1:15" x14ac:dyDescent="0.3">
      <c r="A1849" s="1">
        <v>43986</v>
      </c>
      <c r="B1849">
        <v>1000000054</v>
      </c>
      <c r="C1849" t="s">
        <v>23</v>
      </c>
      <c r="D1849">
        <v>1</v>
      </c>
      <c r="E1849">
        <v>10000.34</v>
      </c>
      <c r="F1849" t="s">
        <v>16</v>
      </c>
      <c r="G1849" t="s">
        <v>24</v>
      </c>
      <c r="H1849" t="s">
        <v>18</v>
      </c>
      <c r="I1849" t="s">
        <v>34</v>
      </c>
      <c r="J1849" t="s">
        <v>26</v>
      </c>
      <c r="K1849" t="s">
        <v>35</v>
      </c>
      <c r="L1849" t="s">
        <v>22</v>
      </c>
      <c r="M1849">
        <v>10000.34</v>
      </c>
      <c r="N1849">
        <v>2020</v>
      </c>
      <c r="O1849">
        <v>6</v>
      </c>
    </row>
    <row r="1850" spans="1:15" x14ac:dyDescent="0.3">
      <c r="A1850" s="1">
        <v>43986</v>
      </c>
      <c r="B1850">
        <v>1000000056</v>
      </c>
      <c r="C1850" t="s">
        <v>23</v>
      </c>
      <c r="D1850">
        <v>1</v>
      </c>
      <c r="E1850">
        <v>10000.43</v>
      </c>
      <c r="F1850" t="s">
        <v>16</v>
      </c>
      <c r="G1850" t="s">
        <v>24</v>
      </c>
      <c r="H1850" t="s">
        <v>18</v>
      </c>
      <c r="I1850" t="s">
        <v>34</v>
      </c>
      <c r="J1850" t="s">
        <v>26</v>
      </c>
      <c r="K1850" t="s">
        <v>35</v>
      </c>
      <c r="L1850" t="s">
        <v>28</v>
      </c>
      <c r="M1850">
        <v>10000.43</v>
      </c>
      <c r="N1850">
        <v>2020</v>
      </c>
      <c r="O1850">
        <v>6</v>
      </c>
    </row>
    <row r="1851" spans="1:15" x14ac:dyDescent="0.3">
      <c r="A1851" s="1">
        <v>43986</v>
      </c>
      <c r="B1851">
        <v>1000000104</v>
      </c>
      <c r="C1851" t="s">
        <v>23</v>
      </c>
      <c r="D1851">
        <v>1</v>
      </c>
      <c r="E1851">
        <v>13000.33</v>
      </c>
      <c r="F1851" t="s">
        <v>16</v>
      </c>
      <c r="G1851" t="s">
        <v>24</v>
      </c>
      <c r="H1851" t="s">
        <v>18</v>
      </c>
      <c r="I1851" t="s">
        <v>40</v>
      </c>
      <c r="J1851" t="s">
        <v>26</v>
      </c>
      <c r="K1851" t="s">
        <v>41</v>
      </c>
      <c r="L1851" t="s">
        <v>22</v>
      </c>
      <c r="M1851">
        <v>13000.33</v>
      </c>
      <c r="N1851">
        <v>2020</v>
      </c>
      <c r="O1851">
        <v>6</v>
      </c>
    </row>
    <row r="1852" spans="1:15" x14ac:dyDescent="0.3">
      <c r="A1852" s="1">
        <v>43986</v>
      </c>
      <c r="B1852">
        <v>1000000237</v>
      </c>
      <c r="C1852" t="s">
        <v>42</v>
      </c>
      <c r="D1852">
        <v>1</v>
      </c>
      <c r="E1852">
        <v>9000.02</v>
      </c>
      <c r="F1852" t="s">
        <v>16</v>
      </c>
      <c r="G1852" t="s">
        <v>43</v>
      </c>
      <c r="H1852" t="s">
        <v>18</v>
      </c>
      <c r="I1852" t="s">
        <v>40</v>
      </c>
      <c r="J1852" t="s">
        <v>26</v>
      </c>
      <c r="K1852" t="s">
        <v>41</v>
      </c>
      <c r="L1852" t="s">
        <v>22</v>
      </c>
      <c r="M1852">
        <v>9000.02</v>
      </c>
      <c r="N1852">
        <v>2020</v>
      </c>
      <c r="O1852">
        <v>6</v>
      </c>
    </row>
    <row r="1853" spans="1:15" x14ac:dyDescent="0.3">
      <c r="A1853" s="1">
        <v>43986</v>
      </c>
      <c r="B1853">
        <v>1000000566</v>
      </c>
      <c r="C1853" t="s">
        <v>23</v>
      </c>
      <c r="D1853">
        <v>3</v>
      </c>
      <c r="E1853">
        <v>32501.18</v>
      </c>
      <c r="F1853" t="s">
        <v>16</v>
      </c>
      <c r="G1853" t="s">
        <v>24</v>
      </c>
      <c r="H1853" t="s">
        <v>47</v>
      </c>
      <c r="I1853" t="s">
        <v>48</v>
      </c>
      <c r="J1853" t="s">
        <v>36</v>
      </c>
      <c r="K1853" t="s">
        <v>49</v>
      </c>
      <c r="L1853" t="s">
        <v>22</v>
      </c>
      <c r="M1853">
        <v>10833.726666666667</v>
      </c>
      <c r="N1853">
        <v>2020</v>
      </c>
      <c r="O1853">
        <v>6</v>
      </c>
    </row>
    <row r="1854" spans="1:15" x14ac:dyDescent="0.3">
      <c r="A1854" s="1">
        <v>43986</v>
      </c>
      <c r="B1854">
        <v>1000000566</v>
      </c>
      <c r="C1854" t="s">
        <v>42</v>
      </c>
      <c r="D1854">
        <v>1</v>
      </c>
      <c r="E1854">
        <v>733.23</v>
      </c>
      <c r="F1854" t="s">
        <v>16</v>
      </c>
      <c r="G1854" t="s">
        <v>43</v>
      </c>
      <c r="H1854" t="s">
        <v>47</v>
      </c>
      <c r="I1854" t="s">
        <v>48</v>
      </c>
      <c r="J1854" t="s">
        <v>36</v>
      </c>
      <c r="K1854" t="s">
        <v>49</v>
      </c>
      <c r="L1854" t="s">
        <v>22</v>
      </c>
      <c r="M1854">
        <v>733.23</v>
      </c>
      <c r="N1854">
        <v>2020</v>
      </c>
      <c r="O1854">
        <v>6</v>
      </c>
    </row>
    <row r="1855" spans="1:15" x14ac:dyDescent="0.3">
      <c r="A1855" s="1">
        <v>43986</v>
      </c>
      <c r="B1855">
        <v>1000001524</v>
      </c>
      <c r="C1855" t="s">
        <v>23</v>
      </c>
      <c r="D1855">
        <v>2</v>
      </c>
      <c r="E1855">
        <v>34000.449999999997</v>
      </c>
      <c r="F1855" t="s">
        <v>16</v>
      </c>
      <c r="G1855" t="s">
        <v>24</v>
      </c>
      <c r="H1855" t="s">
        <v>18</v>
      </c>
      <c r="I1855" t="s">
        <v>25</v>
      </c>
      <c r="J1855" t="s">
        <v>20</v>
      </c>
      <c r="K1855" t="s">
        <v>51</v>
      </c>
      <c r="L1855" t="s">
        <v>22</v>
      </c>
      <c r="M1855">
        <v>17000.224999999999</v>
      </c>
      <c r="N1855">
        <v>2020</v>
      </c>
      <c r="O1855">
        <v>6</v>
      </c>
    </row>
    <row r="1856" spans="1:15" x14ac:dyDescent="0.3">
      <c r="A1856" s="1">
        <v>43986</v>
      </c>
      <c r="B1856">
        <v>1000003803</v>
      </c>
      <c r="C1856" t="s">
        <v>23</v>
      </c>
      <c r="D1856">
        <v>1</v>
      </c>
      <c r="E1856">
        <v>9500.02</v>
      </c>
      <c r="F1856" t="s">
        <v>16</v>
      </c>
      <c r="G1856" t="s">
        <v>24</v>
      </c>
      <c r="H1856" t="s">
        <v>30</v>
      </c>
      <c r="I1856" t="s">
        <v>31</v>
      </c>
      <c r="J1856" t="s">
        <v>36</v>
      </c>
      <c r="K1856" t="s">
        <v>52</v>
      </c>
      <c r="L1856" t="s">
        <v>22</v>
      </c>
      <c r="M1856">
        <v>9500.02</v>
      </c>
      <c r="N1856">
        <v>2020</v>
      </c>
      <c r="O1856">
        <v>6</v>
      </c>
    </row>
    <row r="1857" spans="1:15" x14ac:dyDescent="0.3">
      <c r="A1857" s="1">
        <v>43986</v>
      </c>
      <c r="B1857">
        <v>1000003803</v>
      </c>
      <c r="C1857" t="s">
        <v>15</v>
      </c>
      <c r="D1857">
        <v>2</v>
      </c>
      <c r="E1857">
        <v>39001.06</v>
      </c>
      <c r="F1857" t="s">
        <v>16</v>
      </c>
      <c r="G1857" t="s">
        <v>17</v>
      </c>
      <c r="H1857" t="s">
        <v>30</v>
      </c>
      <c r="I1857" t="s">
        <v>31</v>
      </c>
      <c r="J1857" t="s">
        <v>36</v>
      </c>
      <c r="K1857" t="s">
        <v>52</v>
      </c>
      <c r="L1857" t="s">
        <v>22</v>
      </c>
      <c r="M1857">
        <v>19500.53</v>
      </c>
      <c r="N1857">
        <v>2020</v>
      </c>
      <c r="O1857">
        <v>6</v>
      </c>
    </row>
    <row r="1858" spans="1:15" x14ac:dyDescent="0.3">
      <c r="A1858" s="1">
        <v>43986</v>
      </c>
      <c r="B1858">
        <v>1000003926</v>
      </c>
      <c r="C1858" t="s">
        <v>15</v>
      </c>
      <c r="D1858">
        <v>2</v>
      </c>
      <c r="E1858">
        <v>18000.79</v>
      </c>
      <c r="F1858" t="s">
        <v>16</v>
      </c>
      <c r="G1858" t="s">
        <v>17</v>
      </c>
      <c r="H1858" t="s">
        <v>47</v>
      </c>
      <c r="I1858" t="s">
        <v>48</v>
      </c>
      <c r="J1858" t="s">
        <v>26</v>
      </c>
      <c r="K1858" t="s">
        <v>50</v>
      </c>
      <c r="L1858" t="s">
        <v>28</v>
      </c>
      <c r="M1858">
        <v>9000.3950000000004</v>
      </c>
      <c r="N1858">
        <v>2020</v>
      </c>
      <c r="O1858">
        <v>6</v>
      </c>
    </row>
    <row r="1859" spans="1:15" x14ac:dyDescent="0.3">
      <c r="A1859" s="1">
        <v>43986</v>
      </c>
      <c r="B1859">
        <v>1000003926</v>
      </c>
      <c r="C1859" t="s">
        <v>42</v>
      </c>
      <c r="D1859">
        <v>1</v>
      </c>
      <c r="E1859">
        <v>5000.38</v>
      </c>
      <c r="F1859" t="s">
        <v>16</v>
      </c>
      <c r="G1859" t="s">
        <v>43</v>
      </c>
      <c r="H1859" t="s">
        <v>47</v>
      </c>
      <c r="I1859" t="s">
        <v>48</v>
      </c>
      <c r="J1859" t="s">
        <v>26</v>
      </c>
      <c r="K1859" t="s">
        <v>50</v>
      </c>
      <c r="L1859" t="s">
        <v>28</v>
      </c>
      <c r="M1859">
        <v>5000.38</v>
      </c>
      <c r="N1859">
        <v>2020</v>
      </c>
      <c r="O1859">
        <v>6</v>
      </c>
    </row>
    <row r="1860" spans="1:15" x14ac:dyDescent="0.3">
      <c r="A1860" s="1">
        <v>43986</v>
      </c>
      <c r="B1860">
        <v>1000003989</v>
      </c>
      <c r="C1860" t="s">
        <v>23</v>
      </c>
      <c r="D1860">
        <v>1</v>
      </c>
      <c r="E1860">
        <v>20000.13</v>
      </c>
      <c r="F1860" t="s">
        <v>16</v>
      </c>
      <c r="G1860" t="s">
        <v>24</v>
      </c>
      <c r="H1860" t="s">
        <v>30</v>
      </c>
      <c r="I1860" t="s">
        <v>31</v>
      </c>
      <c r="J1860" t="s">
        <v>36</v>
      </c>
      <c r="K1860" t="s">
        <v>52</v>
      </c>
      <c r="L1860" t="s">
        <v>22</v>
      </c>
      <c r="M1860">
        <v>20000.13</v>
      </c>
      <c r="N1860">
        <v>2020</v>
      </c>
      <c r="O1860">
        <v>6</v>
      </c>
    </row>
    <row r="1861" spans="1:15" x14ac:dyDescent="0.3">
      <c r="A1861" s="1">
        <v>43986</v>
      </c>
      <c r="B1861">
        <v>1000004170</v>
      </c>
      <c r="C1861" t="s">
        <v>23</v>
      </c>
      <c r="D1861">
        <v>1</v>
      </c>
      <c r="E1861">
        <v>6500.26</v>
      </c>
      <c r="F1861" t="s">
        <v>16</v>
      </c>
      <c r="G1861" t="s">
        <v>24</v>
      </c>
      <c r="H1861" t="s">
        <v>18</v>
      </c>
      <c r="I1861" t="s">
        <v>34</v>
      </c>
      <c r="J1861" t="s">
        <v>20</v>
      </c>
      <c r="K1861" t="s">
        <v>44</v>
      </c>
      <c r="L1861" t="s">
        <v>28</v>
      </c>
      <c r="M1861">
        <v>6500.26</v>
      </c>
      <c r="N1861">
        <v>2020</v>
      </c>
      <c r="O1861">
        <v>6</v>
      </c>
    </row>
    <row r="1862" spans="1:15" x14ac:dyDescent="0.3">
      <c r="A1862" s="1">
        <v>43986</v>
      </c>
      <c r="B1862">
        <v>1000004256</v>
      </c>
      <c r="C1862" t="s">
        <v>42</v>
      </c>
      <c r="D1862">
        <v>1</v>
      </c>
      <c r="E1862">
        <v>22000.13</v>
      </c>
      <c r="F1862" t="s">
        <v>16</v>
      </c>
      <c r="G1862" t="s">
        <v>43</v>
      </c>
      <c r="H1862" t="s">
        <v>18</v>
      </c>
      <c r="I1862" t="s">
        <v>40</v>
      </c>
      <c r="J1862" t="s">
        <v>26</v>
      </c>
      <c r="K1862" t="s">
        <v>41</v>
      </c>
      <c r="L1862" t="s">
        <v>22</v>
      </c>
      <c r="M1862">
        <v>22000.13</v>
      </c>
      <c r="N1862">
        <v>2020</v>
      </c>
      <c r="O1862">
        <v>6</v>
      </c>
    </row>
    <row r="1863" spans="1:15" x14ac:dyDescent="0.3">
      <c r="A1863" s="1">
        <v>43986</v>
      </c>
      <c r="B1863">
        <v>1000005873</v>
      </c>
      <c r="C1863" t="s">
        <v>23</v>
      </c>
      <c r="D1863">
        <v>1</v>
      </c>
      <c r="E1863">
        <v>999.96</v>
      </c>
      <c r="F1863" t="s">
        <v>16</v>
      </c>
      <c r="G1863" t="s">
        <v>24</v>
      </c>
      <c r="H1863" t="s">
        <v>18</v>
      </c>
      <c r="I1863" t="s">
        <v>19</v>
      </c>
      <c r="J1863" t="s">
        <v>20</v>
      </c>
      <c r="K1863" t="s">
        <v>21</v>
      </c>
      <c r="L1863" t="s">
        <v>28</v>
      </c>
      <c r="M1863">
        <v>999.96</v>
      </c>
      <c r="N1863">
        <v>2020</v>
      </c>
      <c r="O1863">
        <v>6</v>
      </c>
    </row>
    <row r="1864" spans="1:15" x14ac:dyDescent="0.3">
      <c r="A1864" s="1">
        <v>43986</v>
      </c>
      <c r="B1864">
        <v>1000005873</v>
      </c>
      <c r="C1864" t="s">
        <v>15</v>
      </c>
      <c r="D1864">
        <v>1</v>
      </c>
      <c r="E1864">
        <v>13000.27</v>
      </c>
      <c r="F1864" t="s">
        <v>16</v>
      </c>
      <c r="G1864" t="s">
        <v>17</v>
      </c>
      <c r="H1864" t="s">
        <v>18</v>
      </c>
      <c r="I1864" t="s">
        <v>19</v>
      </c>
      <c r="J1864" t="s">
        <v>20</v>
      </c>
      <c r="K1864" t="s">
        <v>21</v>
      </c>
      <c r="L1864" t="s">
        <v>28</v>
      </c>
      <c r="M1864">
        <v>13000.27</v>
      </c>
      <c r="N1864">
        <v>2020</v>
      </c>
      <c r="O1864">
        <v>6</v>
      </c>
    </row>
    <row r="1865" spans="1:15" x14ac:dyDescent="0.3">
      <c r="A1865" s="1">
        <v>43986</v>
      </c>
      <c r="B1865">
        <v>1000005873</v>
      </c>
      <c r="C1865" t="s">
        <v>42</v>
      </c>
      <c r="D1865">
        <v>1</v>
      </c>
      <c r="E1865">
        <v>9000.09</v>
      </c>
      <c r="F1865" t="s">
        <v>16</v>
      </c>
      <c r="G1865" t="s">
        <v>43</v>
      </c>
      <c r="H1865" t="s">
        <v>18</v>
      </c>
      <c r="I1865" t="s">
        <v>19</v>
      </c>
      <c r="J1865" t="s">
        <v>20</v>
      </c>
      <c r="K1865" t="s">
        <v>21</v>
      </c>
      <c r="L1865" t="s">
        <v>28</v>
      </c>
      <c r="M1865">
        <v>9000.09</v>
      </c>
      <c r="N1865">
        <v>2020</v>
      </c>
      <c r="O1865">
        <v>6</v>
      </c>
    </row>
    <row r="1866" spans="1:15" x14ac:dyDescent="0.3">
      <c r="A1866" s="1">
        <v>43986</v>
      </c>
      <c r="B1866">
        <v>1000006064</v>
      </c>
      <c r="C1866" t="s">
        <v>15</v>
      </c>
      <c r="D1866">
        <v>1</v>
      </c>
      <c r="E1866">
        <v>16000.59</v>
      </c>
      <c r="F1866" t="s">
        <v>16</v>
      </c>
      <c r="G1866" t="s">
        <v>17</v>
      </c>
      <c r="H1866" t="s">
        <v>18</v>
      </c>
      <c r="I1866" t="s">
        <v>40</v>
      </c>
      <c r="J1866" t="s">
        <v>26</v>
      </c>
      <c r="K1866" t="s">
        <v>41</v>
      </c>
      <c r="L1866" t="s">
        <v>22</v>
      </c>
      <c r="M1866">
        <v>16000.59</v>
      </c>
      <c r="N1866">
        <v>2020</v>
      </c>
      <c r="O1866">
        <v>6</v>
      </c>
    </row>
    <row r="1867" spans="1:15" x14ac:dyDescent="0.3">
      <c r="A1867" s="1">
        <v>43986</v>
      </c>
      <c r="B1867">
        <v>1000006698</v>
      </c>
      <c r="C1867" t="s">
        <v>23</v>
      </c>
      <c r="D1867">
        <v>1</v>
      </c>
      <c r="E1867">
        <v>10999.93</v>
      </c>
      <c r="F1867" t="s">
        <v>16</v>
      </c>
      <c r="G1867" t="s">
        <v>24</v>
      </c>
      <c r="H1867" t="s">
        <v>30</v>
      </c>
      <c r="I1867" t="s">
        <v>38</v>
      </c>
      <c r="J1867" t="s">
        <v>26</v>
      </c>
      <c r="K1867" t="s">
        <v>39</v>
      </c>
      <c r="L1867" t="s">
        <v>28</v>
      </c>
      <c r="M1867">
        <v>10999.93</v>
      </c>
      <c r="N1867">
        <v>2020</v>
      </c>
      <c r="O1867">
        <v>6</v>
      </c>
    </row>
    <row r="1868" spans="1:15" x14ac:dyDescent="0.3">
      <c r="A1868" s="1">
        <v>43986</v>
      </c>
      <c r="B1868">
        <v>1000006698</v>
      </c>
      <c r="C1868" t="s">
        <v>15</v>
      </c>
      <c r="D1868">
        <v>1</v>
      </c>
      <c r="E1868">
        <v>12000.72</v>
      </c>
      <c r="F1868" t="s">
        <v>16</v>
      </c>
      <c r="G1868" t="s">
        <v>17</v>
      </c>
      <c r="H1868" t="s">
        <v>30</v>
      </c>
      <c r="I1868" t="s">
        <v>38</v>
      </c>
      <c r="J1868" t="s">
        <v>26</v>
      </c>
      <c r="K1868" t="s">
        <v>39</v>
      </c>
      <c r="L1868" t="s">
        <v>28</v>
      </c>
      <c r="M1868">
        <v>12000.72</v>
      </c>
      <c r="N1868">
        <v>2020</v>
      </c>
      <c r="O1868">
        <v>6</v>
      </c>
    </row>
    <row r="1869" spans="1:15" x14ac:dyDescent="0.3">
      <c r="A1869" s="1">
        <v>43986</v>
      </c>
      <c r="B1869">
        <v>1000006859</v>
      </c>
      <c r="C1869" t="s">
        <v>23</v>
      </c>
      <c r="D1869">
        <v>1</v>
      </c>
      <c r="E1869">
        <v>10000.25</v>
      </c>
      <c r="F1869" t="s">
        <v>16</v>
      </c>
      <c r="G1869" t="s">
        <v>24</v>
      </c>
      <c r="H1869" t="s">
        <v>18</v>
      </c>
      <c r="I1869" t="s">
        <v>61</v>
      </c>
      <c r="J1869" t="s">
        <v>26</v>
      </c>
      <c r="K1869" t="s">
        <v>62</v>
      </c>
      <c r="L1869" t="s">
        <v>22</v>
      </c>
      <c r="M1869">
        <v>10000.25</v>
      </c>
      <c r="N1869">
        <v>2020</v>
      </c>
      <c r="O1869">
        <v>6</v>
      </c>
    </row>
    <row r="1870" spans="1:15" x14ac:dyDescent="0.3">
      <c r="A1870" s="1">
        <v>43986</v>
      </c>
      <c r="B1870">
        <v>1000006867</v>
      </c>
      <c r="C1870" t="s">
        <v>15</v>
      </c>
      <c r="D1870">
        <v>3</v>
      </c>
      <c r="E1870">
        <v>49001.08</v>
      </c>
      <c r="F1870" t="s">
        <v>16</v>
      </c>
      <c r="G1870" t="s">
        <v>17</v>
      </c>
      <c r="H1870" t="s">
        <v>18</v>
      </c>
      <c r="I1870" t="s">
        <v>61</v>
      </c>
      <c r="J1870" t="s">
        <v>26</v>
      </c>
      <c r="K1870" t="s">
        <v>62</v>
      </c>
      <c r="L1870" t="s">
        <v>22</v>
      </c>
      <c r="M1870">
        <v>16333.693333333335</v>
      </c>
      <c r="N1870">
        <v>2020</v>
      </c>
      <c r="O1870">
        <v>6</v>
      </c>
    </row>
    <row r="1871" spans="1:15" x14ac:dyDescent="0.3">
      <c r="A1871" s="1">
        <v>43986</v>
      </c>
      <c r="B1871">
        <v>1000006869</v>
      </c>
      <c r="C1871" t="s">
        <v>23</v>
      </c>
      <c r="D1871">
        <v>1</v>
      </c>
      <c r="E1871">
        <v>14000.1</v>
      </c>
      <c r="F1871" t="s">
        <v>16</v>
      </c>
      <c r="G1871" t="s">
        <v>24</v>
      </c>
      <c r="H1871" t="s">
        <v>18</v>
      </c>
      <c r="I1871" t="s">
        <v>61</v>
      </c>
      <c r="J1871" t="s">
        <v>26</v>
      </c>
      <c r="K1871" t="s">
        <v>62</v>
      </c>
      <c r="L1871" t="s">
        <v>22</v>
      </c>
      <c r="M1871">
        <v>14000.1</v>
      </c>
      <c r="N1871">
        <v>2020</v>
      </c>
      <c r="O1871">
        <v>6</v>
      </c>
    </row>
    <row r="1872" spans="1:15" x14ac:dyDescent="0.3">
      <c r="A1872" s="1">
        <v>43986</v>
      </c>
      <c r="B1872">
        <v>1000007197</v>
      </c>
      <c r="C1872" t="s">
        <v>15</v>
      </c>
      <c r="D1872">
        <v>1</v>
      </c>
      <c r="E1872">
        <v>13000.72</v>
      </c>
      <c r="F1872" t="s">
        <v>16</v>
      </c>
      <c r="G1872" t="s">
        <v>17</v>
      </c>
      <c r="H1872" t="s">
        <v>18</v>
      </c>
      <c r="I1872" t="s">
        <v>40</v>
      </c>
      <c r="J1872" t="s">
        <v>26</v>
      </c>
      <c r="K1872" t="s">
        <v>41</v>
      </c>
      <c r="L1872" t="s">
        <v>22</v>
      </c>
      <c r="M1872">
        <v>13000.72</v>
      </c>
      <c r="N1872">
        <v>2020</v>
      </c>
      <c r="O1872">
        <v>6</v>
      </c>
    </row>
    <row r="1873" spans="1:15" x14ac:dyDescent="0.3">
      <c r="A1873" s="1">
        <v>43986</v>
      </c>
      <c r="B1873">
        <v>1000007320</v>
      </c>
      <c r="C1873" t="s">
        <v>15</v>
      </c>
      <c r="D1873">
        <v>1</v>
      </c>
      <c r="E1873">
        <v>16000.74</v>
      </c>
      <c r="F1873" t="s">
        <v>16</v>
      </c>
      <c r="G1873" t="s">
        <v>17</v>
      </c>
      <c r="H1873" t="s">
        <v>18</v>
      </c>
      <c r="I1873" t="s">
        <v>34</v>
      </c>
      <c r="J1873" t="s">
        <v>26</v>
      </c>
      <c r="K1873" t="s">
        <v>35</v>
      </c>
      <c r="L1873" t="s">
        <v>22</v>
      </c>
      <c r="M1873">
        <v>16000.74</v>
      </c>
      <c r="N1873">
        <v>2020</v>
      </c>
      <c r="O1873">
        <v>6</v>
      </c>
    </row>
    <row r="1874" spans="1:15" x14ac:dyDescent="0.3">
      <c r="A1874" s="1">
        <v>43986</v>
      </c>
      <c r="B1874">
        <v>1000007320</v>
      </c>
      <c r="C1874" t="s">
        <v>42</v>
      </c>
      <c r="D1874">
        <v>1</v>
      </c>
      <c r="E1874">
        <v>9000.06</v>
      </c>
      <c r="F1874" t="s">
        <v>16</v>
      </c>
      <c r="G1874" t="s">
        <v>43</v>
      </c>
      <c r="H1874" t="s">
        <v>18</v>
      </c>
      <c r="I1874" t="s">
        <v>34</v>
      </c>
      <c r="J1874" t="s">
        <v>26</v>
      </c>
      <c r="K1874" t="s">
        <v>35</v>
      </c>
      <c r="L1874" t="s">
        <v>22</v>
      </c>
      <c r="M1874">
        <v>9000.06</v>
      </c>
      <c r="N1874">
        <v>2020</v>
      </c>
      <c r="O1874">
        <v>6</v>
      </c>
    </row>
    <row r="1875" spans="1:15" x14ac:dyDescent="0.3">
      <c r="A1875" s="1">
        <v>43986</v>
      </c>
      <c r="B1875">
        <v>1000008239</v>
      </c>
      <c r="C1875" t="s">
        <v>15</v>
      </c>
      <c r="D1875">
        <v>1</v>
      </c>
      <c r="E1875">
        <v>20000.169999999998</v>
      </c>
      <c r="F1875" t="s">
        <v>16</v>
      </c>
      <c r="G1875" t="s">
        <v>17</v>
      </c>
      <c r="H1875" t="s">
        <v>18</v>
      </c>
      <c r="I1875" t="s">
        <v>61</v>
      </c>
      <c r="J1875" t="s">
        <v>26</v>
      </c>
      <c r="K1875" t="s">
        <v>62</v>
      </c>
      <c r="L1875" t="s">
        <v>28</v>
      </c>
      <c r="M1875">
        <v>20000.169999999998</v>
      </c>
      <c r="N1875">
        <v>2020</v>
      </c>
      <c r="O1875">
        <v>6</v>
      </c>
    </row>
    <row r="1876" spans="1:15" x14ac:dyDescent="0.3">
      <c r="A1876" s="1">
        <v>43986</v>
      </c>
      <c r="B1876">
        <v>1000008239</v>
      </c>
      <c r="C1876" t="s">
        <v>42</v>
      </c>
      <c r="D1876">
        <v>1</v>
      </c>
      <c r="E1876">
        <v>5000.3999999999996</v>
      </c>
      <c r="F1876" t="s">
        <v>16</v>
      </c>
      <c r="G1876" t="s">
        <v>43</v>
      </c>
      <c r="H1876" t="s">
        <v>18</v>
      </c>
      <c r="I1876" t="s">
        <v>61</v>
      </c>
      <c r="J1876" t="s">
        <v>26</v>
      </c>
      <c r="K1876" t="s">
        <v>62</v>
      </c>
      <c r="L1876" t="s">
        <v>28</v>
      </c>
      <c r="M1876">
        <v>5000.3999999999996</v>
      </c>
      <c r="N1876">
        <v>2020</v>
      </c>
      <c r="O1876">
        <v>6</v>
      </c>
    </row>
    <row r="1877" spans="1:15" x14ac:dyDescent="0.3">
      <c r="A1877" s="1">
        <v>43986</v>
      </c>
      <c r="B1877">
        <v>1000008542</v>
      </c>
      <c r="C1877" t="s">
        <v>23</v>
      </c>
      <c r="D1877">
        <v>1</v>
      </c>
      <c r="E1877">
        <v>16000.61</v>
      </c>
      <c r="F1877" t="s">
        <v>16</v>
      </c>
      <c r="G1877" t="s">
        <v>24</v>
      </c>
      <c r="H1877" t="s">
        <v>18</v>
      </c>
      <c r="I1877" t="s">
        <v>40</v>
      </c>
      <c r="J1877" t="s">
        <v>26</v>
      </c>
      <c r="K1877" t="s">
        <v>41</v>
      </c>
      <c r="L1877" t="s">
        <v>22</v>
      </c>
      <c r="M1877">
        <v>16000.61</v>
      </c>
      <c r="N1877">
        <v>2020</v>
      </c>
      <c r="O1877">
        <v>6</v>
      </c>
    </row>
    <row r="1878" spans="1:15" x14ac:dyDescent="0.3">
      <c r="A1878" s="1">
        <v>43986</v>
      </c>
      <c r="B1878">
        <v>1000008957</v>
      </c>
      <c r="C1878" t="s">
        <v>15</v>
      </c>
      <c r="D1878">
        <v>1</v>
      </c>
      <c r="E1878">
        <v>4000.31</v>
      </c>
      <c r="F1878" t="s">
        <v>16</v>
      </c>
      <c r="G1878" t="s">
        <v>17</v>
      </c>
      <c r="H1878" t="s">
        <v>18</v>
      </c>
      <c r="I1878" t="s">
        <v>34</v>
      </c>
      <c r="J1878" t="s">
        <v>20</v>
      </c>
      <c r="K1878" t="s">
        <v>44</v>
      </c>
      <c r="L1878" t="s">
        <v>22</v>
      </c>
      <c r="M1878">
        <v>4000.31</v>
      </c>
      <c r="N1878">
        <v>2020</v>
      </c>
      <c r="O1878">
        <v>6</v>
      </c>
    </row>
    <row r="1879" spans="1:15" x14ac:dyDescent="0.3">
      <c r="A1879" s="1">
        <v>43986</v>
      </c>
      <c r="B1879">
        <v>1000009288</v>
      </c>
      <c r="C1879" t="s">
        <v>15</v>
      </c>
      <c r="D1879">
        <v>2</v>
      </c>
      <c r="E1879">
        <v>12500.16</v>
      </c>
      <c r="F1879" t="s">
        <v>16</v>
      </c>
      <c r="G1879" t="s">
        <v>17</v>
      </c>
      <c r="H1879" t="s">
        <v>18</v>
      </c>
      <c r="I1879" t="s">
        <v>25</v>
      </c>
      <c r="J1879" t="s">
        <v>20</v>
      </c>
      <c r="K1879" t="s">
        <v>51</v>
      </c>
      <c r="L1879" t="s">
        <v>22</v>
      </c>
      <c r="M1879">
        <v>6250.08</v>
      </c>
      <c r="N1879">
        <v>2020</v>
      </c>
      <c r="O1879">
        <v>6</v>
      </c>
    </row>
    <row r="1880" spans="1:15" x14ac:dyDescent="0.3">
      <c r="A1880" s="1">
        <v>43986</v>
      </c>
      <c r="B1880">
        <v>1000010815</v>
      </c>
      <c r="C1880" t="s">
        <v>42</v>
      </c>
      <c r="D1880">
        <v>1</v>
      </c>
      <c r="E1880">
        <v>6000.56</v>
      </c>
      <c r="F1880" t="s">
        <v>16</v>
      </c>
      <c r="G1880" t="s">
        <v>43</v>
      </c>
      <c r="H1880" t="s">
        <v>18</v>
      </c>
      <c r="I1880" t="s">
        <v>61</v>
      </c>
      <c r="J1880" t="s">
        <v>26</v>
      </c>
      <c r="K1880" t="s">
        <v>62</v>
      </c>
      <c r="L1880" t="s">
        <v>22</v>
      </c>
      <c r="M1880">
        <v>6000.56</v>
      </c>
      <c r="N1880">
        <v>2020</v>
      </c>
      <c r="O1880">
        <v>6</v>
      </c>
    </row>
    <row r="1881" spans="1:15" x14ac:dyDescent="0.3">
      <c r="A1881" s="1">
        <v>43987</v>
      </c>
      <c r="B1881">
        <v>1000000028</v>
      </c>
      <c r="C1881" t="s">
        <v>23</v>
      </c>
      <c r="D1881">
        <v>1</v>
      </c>
      <c r="E1881">
        <v>650.47</v>
      </c>
      <c r="F1881" t="s">
        <v>16</v>
      </c>
      <c r="G1881" t="s">
        <v>24</v>
      </c>
      <c r="H1881" t="s">
        <v>18</v>
      </c>
      <c r="I1881" t="s">
        <v>19</v>
      </c>
      <c r="J1881" t="s">
        <v>20</v>
      </c>
      <c r="K1881" t="s">
        <v>21</v>
      </c>
      <c r="L1881" t="s">
        <v>22</v>
      </c>
      <c r="M1881">
        <v>650.47</v>
      </c>
      <c r="N1881">
        <v>2020</v>
      </c>
      <c r="O1881">
        <v>6</v>
      </c>
    </row>
    <row r="1882" spans="1:15" x14ac:dyDescent="0.3">
      <c r="A1882" s="1">
        <v>43987</v>
      </c>
      <c r="B1882">
        <v>1000000029</v>
      </c>
      <c r="C1882" t="s">
        <v>23</v>
      </c>
      <c r="D1882">
        <v>1</v>
      </c>
      <c r="E1882">
        <v>1672.74</v>
      </c>
      <c r="F1882" t="s">
        <v>16</v>
      </c>
      <c r="G1882" t="s">
        <v>24</v>
      </c>
      <c r="H1882" t="s">
        <v>18</v>
      </c>
      <c r="I1882" t="s">
        <v>19</v>
      </c>
      <c r="J1882" t="s">
        <v>20</v>
      </c>
      <c r="K1882" t="s">
        <v>21</v>
      </c>
      <c r="L1882" t="s">
        <v>22</v>
      </c>
      <c r="M1882">
        <v>1672.74</v>
      </c>
      <c r="N1882">
        <v>2020</v>
      </c>
      <c r="O1882">
        <v>6</v>
      </c>
    </row>
    <row r="1883" spans="1:15" x14ac:dyDescent="0.3">
      <c r="A1883" s="1">
        <v>43987</v>
      </c>
      <c r="B1883">
        <v>1000000029</v>
      </c>
      <c r="C1883" t="s">
        <v>15</v>
      </c>
      <c r="D1883">
        <v>3</v>
      </c>
      <c r="E1883">
        <v>37501.339999999997</v>
      </c>
      <c r="F1883" t="s">
        <v>16</v>
      </c>
      <c r="G1883" t="s">
        <v>17</v>
      </c>
      <c r="H1883" t="s">
        <v>18</v>
      </c>
      <c r="I1883" t="s">
        <v>19</v>
      </c>
      <c r="J1883" t="s">
        <v>20</v>
      </c>
      <c r="K1883" t="s">
        <v>21</v>
      </c>
      <c r="L1883" t="s">
        <v>22</v>
      </c>
      <c r="M1883">
        <v>12500.446666666665</v>
      </c>
      <c r="N1883">
        <v>2020</v>
      </c>
      <c r="O1883">
        <v>6</v>
      </c>
    </row>
    <row r="1884" spans="1:15" x14ac:dyDescent="0.3">
      <c r="A1884" s="1">
        <v>43987</v>
      </c>
      <c r="B1884">
        <v>1000000030</v>
      </c>
      <c r="C1884" t="s">
        <v>23</v>
      </c>
      <c r="D1884">
        <v>2</v>
      </c>
      <c r="E1884">
        <v>6500.38</v>
      </c>
      <c r="F1884" t="s">
        <v>16</v>
      </c>
      <c r="G1884" t="s">
        <v>24</v>
      </c>
      <c r="H1884" t="s">
        <v>47</v>
      </c>
      <c r="I1884" t="s">
        <v>48</v>
      </c>
      <c r="J1884" t="s">
        <v>36</v>
      </c>
      <c r="K1884" t="s">
        <v>49</v>
      </c>
      <c r="L1884" t="s">
        <v>22</v>
      </c>
      <c r="M1884">
        <v>3250.19</v>
      </c>
      <c r="N1884">
        <v>2020</v>
      </c>
      <c r="O1884">
        <v>6</v>
      </c>
    </row>
    <row r="1885" spans="1:15" x14ac:dyDescent="0.3">
      <c r="A1885" s="1">
        <v>43987</v>
      </c>
      <c r="B1885">
        <v>1000000031</v>
      </c>
      <c r="C1885" t="s">
        <v>23</v>
      </c>
      <c r="D1885">
        <v>2</v>
      </c>
      <c r="E1885">
        <v>26001.18</v>
      </c>
      <c r="F1885" t="s">
        <v>16</v>
      </c>
      <c r="G1885" t="s">
        <v>24</v>
      </c>
      <c r="H1885" t="s">
        <v>18</v>
      </c>
      <c r="I1885" t="s">
        <v>19</v>
      </c>
      <c r="J1885" t="s">
        <v>26</v>
      </c>
      <c r="K1885" t="s">
        <v>29</v>
      </c>
      <c r="L1885" t="s">
        <v>28</v>
      </c>
      <c r="M1885">
        <v>13000.59</v>
      </c>
      <c r="N1885">
        <v>2020</v>
      </c>
      <c r="O1885">
        <v>6</v>
      </c>
    </row>
    <row r="1886" spans="1:15" x14ac:dyDescent="0.3">
      <c r="A1886" s="1">
        <v>43987</v>
      </c>
      <c r="B1886">
        <v>1000000031</v>
      </c>
      <c r="C1886" t="s">
        <v>15</v>
      </c>
      <c r="D1886">
        <v>4</v>
      </c>
      <c r="E1886">
        <v>51001.760000000002</v>
      </c>
      <c r="F1886" t="s">
        <v>16</v>
      </c>
      <c r="G1886" t="s">
        <v>17</v>
      </c>
      <c r="H1886" t="s">
        <v>18</v>
      </c>
      <c r="I1886" t="s">
        <v>19</v>
      </c>
      <c r="J1886" t="s">
        <v>26</v>
      </c>
      <c r="K1886" t="s">
        <v>29</v>
      </c>
      <c r="L1886" t="s">
        <v>28</v>
      </c>
      <c r="M1886">
        <v>12750.44</v>
      </c>
      <c r="N1886">
        <v>2020</v>
      </c>
      <c r="O1886">
        <v>6</v>
      </c>
    </row>
    <row r="1887" spans="1:15" x14ac:dyDescent="0.3">
      <c r="A1887" s="1">
        <v>43987</v>
      </c>
      <c r="B1887">
        <v>1000000032</v>
      </c>
      <c r="C1887" t="s">
        <v>23</v>
      </c>
      <c r="D1887">
        <v>1</v>
      </c>
      <c r="E1887">
        <v>13000.64</v>
      </c>
      <c r="F1887" t="s">
        <v>16</v>
      </c>
      <c r="G1887" t="s">
        <v>24</v>
      </c>
      <c r="H1887" t="s">
        <v>18</v>
      </c>
      <c r="I1887" t="s">
        <v>25</v>
      </c>
      <c r="J1887" t="s">
        <v>26</v>
      </c>
      <c r="K1887" t="s">
        <v>27</v>
      </c>
      <c r="L1887" t="s">
        <v>28</v>
      </c>
      <c r="M1887">
        <v>13000.64</v>
      </c>
      <c r="N1887">
        <v>2020</v>
      </c>
      <c r="O1887">
        <v>6</v>
      </c>
    </row>
    <row r="1888" spans="1:15" x14ac:dyDescent="0.3">
      <c r="A1888" s="1">
        <v>43987</v>
      </c>
      <c r="B1888">
        <v>1000000032</v>
      </c>
      <c r="C1888" t="s">
        <v>15</v>
      </c>
      <c r="D1888">
        <v>1</v>
      </c>
      <c r="E1888">
        <v>702.05</v>
      </c>
      <c r="F1888" t="s">
        <v>16</v>
      </c>
      <c r="G1888" t="s">
        <v>17</v>
      </c>
      <c r="H1888" t="s">
        <v>18</v>
      </c>
      <c r="I1888" t="s">
        <v>25</v>
      </c>
      <c r="J1888" t="s">
        <v>26</v>
      </c>
      <c r="K1888" t="s">
        <v>27</v>
      </c>
      <c r="L1888" t="s">
        <v>28</v>
      </c>
      <c r="M1888">
        <v>702.05</v>
      </c>
      <c r="N1888">
        <v>2020</v>
      </c>
      <c r="O1888">
        <v>6</v>
      </c>
    </row>
    <row r="1889" spans="1:15" x14ac:dyDescent="0.3">
      <c r="A1889" s="1">
        <v>43987</v>
      </c>
      <c r="B1889">
        <v>1000000033</v>
      </c>
      <c r="C1889" t="s">
        <v>23</v>
      </c>
      <c r="D1889">
        <v>2</v>
      </c>
      <c r="E1889">
        <v>5000.96</v>
      </c>
      <c r="F1889" t="s">
        <v>16</v>
      </c>
      <c r="G1889" t="s">
        <v>24</v>
      </c>
      <c r="H1889" t="s">
        <v>18</v>
      </c>
      <c r="I1889" t="s">
        <v>25</v>
      </c>
      <c r="J1889" t="s">
        <v>26</v>
      </c>
      <c r="K1889" t="s">
        <v>27</v>
      </c>
      <c r="L1889" t="s">
        <v>22</v>
      </c>
      <c r="M1889">
        <v>2500.48</v>
      </c>
      <c r="N1889">
        <v>2020</v>
      </c>
      <c r="O1889">
        <v>6</v>
      </c>
    </row>
    <row r="1890" spans="1:15" x14ac:dyDescent="0.3">
      <c r="A1890" s="1">
        <v>43987</v>
      </c>
      <c r="B1890">
        <v>1000000033</v>
      </c>
      <c r="C1890" t="s">
        <v>15</v>
      </c>
      <c r="D1890">
        <v>2</v>
      </c>
      <c r="E1890">
        <v>18000.78</v>
      </c>
      <c r="F1890" t="s">
        <v>16</v>
      </c>
      <c r="G1890" t="s">
        <v>17</v>
      </c>
      <c r="H1890" t="s">
        <v>18</v>
      </c>
      <c r="I1890" t="s">
        <v>25</v>
      </c>
      <c r="J1890" t="s">
        <v>26</v>
      </c>
      <c r="K1890" t="s">
        <v>27</v>
      </c>
      <c r="L1890" t="s">
        <v>22</v>
      </c>
      <c r="M1890">
        <v>9000.39</v>
      </c>
      <c r="N1890">
        <v>2020</v>
      </c>
      <c r="O1890">
        <v>6</v>
      </c>
    </row>
    <row r="1891" spans="1:15" x14ac:dyDescent="0.3">
      <c r="A1891" s="1">
        <v>43987</v>
      </c>
      <c r="B1891">
        <v>1000000034</v>
      </c>
      <c r="C1891" t="s">
        <v>15</v>
      </c>
      <c r="D1891">
        <v>2</v>
      </c>
      <c r="E1891">
        <v>13000.97</v>
      </c>
      <c r="F1891" t="s">
        <v>16</v>
      </c>
      <c r="G1891" t="s">
        <v>17</v>
      </c>
      <c r="H1891" t="s">
        <v>18</v>
      </c>
      <c r="I1891" t="s">
        <v>25</v>
      </c>
      <c r="J1891" t="s">
        <v>26</v>
      </c>
      <c r="K1891" t="s">
        <v>27</v>
      </c>
      <c r="L1891" t="s">
        <v>22</v>
      </c>
      <c r="M1891">
        <v>6500.4849999999997</v>
      </c>
      <c r="N1891">
        <v>2020</v>
      </c>
      <c r="O1891">
        <v>6</v>
      </c>
    </row>
    <row r="1892" spans="1:15" x14ac:dyDescent="0.3">
      <c r="A1892" s="1">
        <v>43987</v>
      </c>
      <c r="B1892">
        <v>1000000034</v>
      </c>
      <c r="C1892" t="s">
        <v>42</v>
      </c>
      <c r="D1892">
        <v>1</v>
      </c>
      <c r="E1892">
        <v>15000.72</v>
      </c>
      <c r="F1892" t="s">
        <v>16</v>
      </c>
      <c r="G1892" t="s">
        <v>43</v>
      </c>
      <c r="H1892" t="s">
        <v>18</v>
      </c>
      <c r="I1892" t="s">
        <v>25</v>
      </c>
      <c r="J1892" t="s">
        <v>26</v>
      </c>
      <c r="K1892" t="s">
        <v>27</v>
      </c>
      <c r="L1892" t="s">
        <v>22</v>
      </c>
      <c r="M1892">
        <v>15000.72</v>
      </c>
      <c r="N1892">
        <v>2020</v>
      </c>
      <c r="O1892">
        <v>6</v>
      </c>
    </row>
    <row r="1893" spans="1:15" x14ac:dyDescent="0.3">
      <c r="A1893" s="1">
        <v>43987</v>
      </c>
      <c r="B1893">
        <v>1000000035</v>
      </c>
      <c r="C1893" t="s">
        <v>23</v>
      </c>
      <c r="D1893">
        <v>1</v>
      </c>
      <c r="E1893">
        <v>1520.75</v>
      </c>
      <c r="F1893" t="s">
        <v>16</v>
      </c>
      <c r="G1893" t="s">
        <v>24</v>
      </c>
      <c r="H1893" t="s">
        <v>18</v>
      </c>
      <c r="I1893" t="s">
        <v>25</v>
      </c>
      <c r="J1893" t="s">
        <v>36</v>
      </c>
      <c r="K1893" t="s">
        <v>37</v>
      </c>
      <c r="L1893" t="s">
        <v>22</v>
      </c>
      <c r="M1893">
        <v>1520.75</v>
      </c>
      <c r="N1893">
        <v>2020</v>
      </c>
      <c r="O1893">
        <v>6</v>
      </c>
    </row>
    <row r="1894" spans="1:15" x14ac:dyDescent="0.3">
      <c r="A1894" s="1">
        <v>43987</v>
      </c>
      <c r="B1894">
        <v>1000000036</v>
      </c>
      <c r="C1894" t="s">
        <v>23</v>
      </c>
      <c r="D1894">
        <v>2</v>
      </c>
      <c r="E1894">
        <v>2901.25</v>
      </c>
      <c r="F1894" t="s">
        <v>16</v>
      </c>
      <c r="G1894" t="s">
        <v>24</v>
      </c>
      <c r="H1894" t="s">
        <v>47</v>
      </c>
      <c r="I1894" t="s">
        <v>48</v>
      </c>
      <c r="J1894" t="s">
        <v>36</v>
      </c>
      <c r="K1894" t="s">
        <v>49</v>
      </c>
      <c r="L1894" t="s">
        <v>28</v>
      </c>
      <c r="M1894">
        <v>1450.625</v>
      </c>
      <c r="N1894">
        <v>2020</v>
      </c>
      <c r="O1894">
        <v>6</v>
      </c>
    </row>
    <row r="1895" spans="1:15" x14ac:dyDescent="0.3">
      <c r="A1895" s="1">
        <v>43987</v>
      </c>
      <c r="B1895">
        <v>1000000036</v>
      </c>
      <c r="C1895" t="s">
        <v>15</v>
      </c>
      <c r="D1895">
        <v>3</v>
      </c>
      <c r="E1895">
        <v>48000.539999999994</v>
      </c>
      <c r="F1895" t="s">
        <v>16</v>
      </c>
      <c r="G1895" t="s">
        <v>17</v>
      </c>
      <c r="H1895" t="s">
        <v>47</v>
      </c>
      <c r="I1895" t="s">
        <v>48</v>
      </c>
      <c r="J1895" t="s">
        <v>36</v>
      </c>
      <c r="K1895" t="s">
        <v>49</v>
      </c>
      <c r="L1895" t="s">
        <v>28</v>
      </c>
      <c r="M1895">
        <v>16000.179999999998</v>
      </c>
      <c r="N1895">
        <v>2020</v>
      </c>
      <c r="O1895">
        <v>6</v>
      </c>
    </row>
    <row r="1896" spans="1:15" x14ac:dyDescent="0.3">
      <c r="A1896" s="1">
        <v>43987</v>
      </c>
      <c r="B1896">
        <v>1000000037</v>
      </c>
      <c r="C1896" t="s">
        <v>23</v>
      </c>
      <c r="D1896">
        <v>2</v>
      </c>
      <c r="E1896">
        <v>18000.57</v>
      </c>
      <c r="F1896" t="s">
        <v>16</v>
      </c>
      <c r="G1896" t="s">
        <v>24</v>
      </c>
      <c r="H1896" t="s">
        <v>18</v>
      </c>
      <c r="I1896" t="s">
        <v>19</v>
      </c>
      <c r="J1896" t="s">
        <v>20</v>
      </c>
      <c r="K1896" t="s">
        <v>21</v>
      </c>
      <c r="L1896" t="s">
        <v>22</v>
      </c>
      <c r="M1896">
        <v>9000.2849999999999</v>
      </c>
      <c r="N1896">
        <v>2020</v>
      </c>
      <c r="O1896">
        <v>6</v>
      </c>
    </row>
    <row r="1897" spans="1:15" x14ac:dyDescent="0.3">
      <c r="A1897" s="1">
        <v>43987</v>
      </c>
      <c r="B1897">
        <v>1000000037</v>
      </c>
      <c r="C1897" t="s">
        <v>15</v>
      </c>
      <c r="D1897">
        <v>1</v>
      </c>
      <c r="E1897">
        <v>10000.16</v>
      </c>
      <c r="F1897" t="s">
        <v>16</v>
      </c>
      <c r="G1897" t="s">
        <v>17</v>
      </c>
      <c r="H1897" t="s">
        <v>18</v>
      </c>
      <c r="I1897" t="s">
        <v>19</v>
      </c>
      <c r="J1897" t="s">
        <v>20</v>
      </c>
      <c r="K1897" t="s">
        <v>21</v>
      </c>
      <c r="L1897" t="s">
        <v>22</v>
      </c>
      <c r="M1897">
        <v>10000.16</v>
      </c>
      <c r="N1897">
        <v>2020</v>
      </c>
      <c r="O1897">
        <v>6</v>
      </c>
    </row>
    <row r="1898" spans="1:15" x14ac:dyDescent="0.3">
      <c r="A1898" s="1">
        <v>43987</v>
      </c>
      <c r="B1898">
        <v>1000000039</v>
      </c>
      <c r="C1898" t="s">
        <v>15</v>
      </c>
      <c r="D1898">
        <v>1</v>
      </c>
      <c r="E1898">
        <v>9000.3700000000008</v>
      </c>
      <c r="F1898" t="s">
        <v>16</v>
      </c>
      <c r="G1898" t="s">
        <v>17</v>
      </c>
      <c r="H1898" t="s">
        <v>18</v>
      </c>
      <c r="I1898" t="s">
        <v>25</v>
      </c>
      <c r="J1898" t="s">
        <v>20</v>
      </c>
      <c r="K1898" t="s">
        <v>51</v>
      </c>
      <c r="L1898" t="s">
        <v>28</v>
      </c>
      <c r="M1898">
        <v>9000.3700000000008</v>
      </c>
      <c r="N1898">
        <v>2020</v>
      </c>
      <c r="O1898">
        <v>6</v>
      </c>
    </row>
    <row r="1899" spans="1:15" x14ac:dyDescent="0.3">
      <c r="A1899" s="1">
        <v>43987</v>
      </c>
      <c r="B1899">
        <v>1000000039</v>
      </c>
      <c r="C1899" t="s">
        <v>42</v>
      </c>
      <c r="D1899">
        <v>1</v>
      </c>
      <c r="E1899">
        <v>16000.41</v>
      </c>
      <c r="F1899" t="s">
        <v>16</v>
      </c>
      <c r="G1899" t="s">
        <v>43</v>
      </c>
      <c r="H1899" t="s">
        <v>18</v>
      </c>
      <c r="I1899" t="s">
        <v>25</v>
      </c>
      <c r="J1899" t="s">
        <v>20</v>
      </c>
      <c r="K1899" t="s">
        <v>51</v>
      </c>
      <c r="L1899" t="s">
        <v>28</v>
      </c>
      <c r="M1899">
        <v>16000.41</v>
      </c>
      <c r="N1899">
        <v>2020</v>
      </c>
      <c r="O1899">
        <v>6</v>
      </c>
    </row>
    <row r="1900" spans="1:15" x14ac:dyDescent="0.3">
      <c r="A1900" s="1">
        <v>43987</v>
      </c>
      <c r="B1900">
        <v>1000000040</v>
      </c>
      <c r="C1900" t="s">
        <v>15</v>
      </c>
      <c r="D1900">
        <v>4</v>
      </c>
      <c r="E1900">
        <v>31501.379999999997</v>
      </c>
      <c r="F1900" t="s">
        <v>16</v>
      </c>
      <c r="G1900" t="s">
        <v>17</v>
      </c>
      <c r="H1900" t="s">
        <v>30</v>
      </c>
      <c r="I1900" t="s">
        <v>31</v>
      </c>
      <c r="J1900" t="s">
        <v>32</v>
      </c>
      <c r="K1900" t="s">
        <v>33</v>
      </c>
      <c r="L1900" t="s">
        <v>28</v>
      </c>
      <c r="M1900">
        <v>7875.3449999999993</v>
      </c>
      <c r="N1900">
        <v>2020</v>
      </c>
      <c r="O1900">
        <v>6</v>
      </c>
    </row>
    <row r="1901" spans="1:15" x14ac:dyDescent="0.3">
      <c r="A1901" s="1">
        <v>43987</v>
      </c>
      <c r="B1901">
        <v>1000000041</v>
      </c>
      <c r="C1901" t="s">
        <v>15</v>
      </c>
      <c r="D1901">
        <v>2</v>
      </c>
      <c r="E1901">
        <v>35000.75</v>
      </c>
      <c r="F1901" t="s">
        <v>16</v>
      </c>
      <c r="G1901" t="s">
        <v>17</v>
      </c>
      <c r="H1901" t="s">
        <v>30</v>
      </c>
      <c r="I1901" t="s">
        <v>31</v>
      </c>
      <c r="J1901" t="s">
        <v>32</v>
      </c>
      <c r="K1901" t="s">
        <v>33</v>
      </c>
      <c r="L1901" t="s">
        <v>22</v>
      </c>
      <c r="M1901">
        <v>17500.375</v>
      </c>
      <c r="N1901">
        <v>2020</v>
      </c>
      <c r="O1901">
        <v>6</v>
      </c>
    </row>
    <row r="1902" spans="1:15" x14ac:dyDescent="0.3">
      <c r="A1902" s="1">
        <v>43987</v>
      </c>
      <c r="B1902">
        <v>1000000043</v>
      </c>
      <c r="C1902" t="s">
        <v>42</v>
      </c>
      <c r="D1902">
        <v>1</v>
      </c>
      <c r="E1902">
        <v>758.48</v>
      </c>
      <c r="F1902" t="s">
        <v>16</v>
      </c>
      <c r="G1902" t="s">
        <v>43</v>
      </c>
      <c r="H1902" t="s">
        <v>30</v>
      </c>
      <c r="I1902" t="s">
        <v>38</v>
      </c>
      <c r="J1902" t="s">
        <v>26</v>
      </c>
      <c r="K1902" t="s">
        <v>39</v>
      </c>
      <c r="L1902" t="s">
        <v>22</v>
      </c>
      <c r="M1902">
        <v>758.48</v>
      </c>
      <c r="N1902">
        <v>2020</v>
      </c>
      <c r="O1902">
        <v>6</v>
      </c>
    </row>
    <row r="1903" spans="1:15" x14ac:dyDescent="0.3">
      <c r="A1903" s="1">
        <v>43987</v>
      </c>
      <c r="B1903">
        <v>1000000044</v>
      </c>
      <c r="C1903" t="s">
        <v>23</v>
      </c>
      <c r="D1903">
        <v>3</v>
      </c>
      <c r="E1903">
        <v>7027.59</v>
      </c>
      <c r="F1903" t="s">
        <v>16</v>
      </c>
      <c r="G1903" t="s">
        <v>24</v>
      </c>
      <c r="H1903" t="s">
        <v>30</v>
      </c>
      <c r="I1903" t="s">
        <v>31</v>
      </c>
      <c r="J1903" t="s">
        <v>36</v>
      </c>
      <c r="K1903" t="s">
        <v>52</v>
      </c>
      <c r="L1903" t="s">
        <v>28</v>
      </c>
      <c r="M1903">
        <v>2342.5300000000002</v>
      </c>
      <c r="N1903">
        <v>2020</v>
      </c>
      <c r="O1903">
        <v>6</v>
      </c>
    </row>
    <row r="1904" spans="1:15" x14ac:dyDescent="0.3">
      <c r="A1904" s="1">
        <v>43987</v>
      </c>
      <c r="B1904">
        <v>1000000045</v>
      </c>
      <c r="C1904" t="s">
        <v>23</v>
      </c>
      <c r="D1904">
        <v>1</v>
      </c>
      <c r="E1904">
        <v>15000.24</v>
      </c>
      <c r="F1904" t="s">
        <v>16</v>
      </c>
      <c r="G1904" t="s">
        <v>24</v>
      </c>
      <c r="H1904" t="s">
        <v>47</v>
      </c>
      <c r="I1904" t="s">
        <v>59</v>
      </c>
      <c r="J1904" t="s">
        <v>26</v>
      </c>
      <c r="K1904" t="s">
        <v>60</v>
      </c>
      <c r="L1904" t="s">
        <v>22</v>
      </c>
      <c r="M1904">
        <v>15000.24</v>
      </c>
      <c r="N1904">
        <v>2020</v>
      </c>
      <c r="O1904">
        <v>6</v>
      </c>
    </row>
    <row r="1905" spans="1:15" x14ac:dyDescent="0.3">
      <c r="A1905" s="1">
        <v>43987</v>
      </c>
      <c r="B1905">
        <v>1000000045</v>
      </c>
      <c r="C1905" t="s">
        <v>42</v>
      </c>
      <c r="D1905">
        <v>1</v>
      </c>
      <c r="E1905">
        <v>5000.59</v>
      </c>
      <c r="F1905" t="s">
        <v>16</v>
      </c>
      <c r="G1905" t="s">
        <v>43</v>
      </c>
      <c r="H1905" t="s">
        <v>47</v>
      </c>
      <c r="I1905" t="s">
        <v>59</v>
      </c>
      <c r="J1905" t="s">
        <v>26</v>
      </c>
      <c r="K1905" t="s">
        <v>60</v>
      </c>
      <c r="L1905" t="s">
        <v>22</v>
      </c>
      <c r="M1905">
        <v>5000.59</v>
      </c>
      <c r="N1905">
        <v>2020</v>
      </c>
      <c r="O1905">
        <v>6</v>
      </c>
    </row>
    <row r="1906" spans="1:15" x14ac:dyDescent="0.3">
      <c r="A1906" s="1">
        <v>43987</v>
      </c>
      <c r="B1906">
        <v>1000000049</v>
      </c>
      <c r="C1906" t="s">
        <v>42</v>
      </c>
      <c r="D1906">
        <v>1</v>
      </c>
      <c r="E1906">
        <v>3492.66</v>
      </c>
      <c r="F1906" t="s">
        <v>16</v>
      </c>
      <c r="G1906" t="s">
        <v>43</v>
      </c>
      <c r="H1906" t="s">
        <v>18</v>
      </c>
      <c r="I1906" t="s">
        <v>40</v>
      </c>
      <c r="J1906" t="s">
        <v>26</v>
      </c>
      <c r="K1906" t="s">
        <v>41</v>
      </c>
      <c r="L1906" t="s">
        <v>22</v>
      </c>
      <c r="M1906">
        <v>3492.66</v>
      </c>
      <c r="N1906">
        <v>2020</v>
      </c>
      <c r="O1906">
        <v>6</v>
      </c>
    </row>
    <row r="1907" spans="1:15" x14ac:dyDescent="0.3">
      <c r="A1907" s="1">
        <v>43987</v>
      </c>
      <c r="B1907">
        <v>1000000050</v>
      </c>
      <c r="C1907" t="s">
        <v>23</v>
      </c>
      <c r="D1907">
        <v>1</v>
      </c>
      <c r="E1907">
        <v>1100.71</v>
      </c>
      <c r="F1907" t="s">
        <v>16</v>
      </c>
      <c r="G1907" t="s">
        <v>24</v>
      </c>
      <c r="H1907" t="s">
        <v>18</v>
      </c>
      <c r="I1907" t="s">
        <v>40</v>
      </c>
      <c r="J1907" t="s">
        <v>26</v>
      </c>
      <c r="K1907" t="s">
        <v>41</v>
      </c>
      <c r="L1907" t="s">
        <v>22</v>
      </c>
      <c r="M1907">
        <v>1100.71</v>
      </c>
      <c r="N1907">
        <v>2020</v>
      </c>
      <c r="O1907">
        <v>6</v>
      </c>
    </row>
    <row r="1908" spans="1:15" x14ac:dyDescent="0.3">
      <c r="A1908" s="1">
        <v>43987</v>
      </c>
      <c r="B1908">
        <v>1000000050</v>
      </c>
      <c r="C1908" t="s">
        <v>42</v>
      </c>
      <c r="D1908">
        <v>1</v>
      </c>
      <c r="E1908">
        <v>13000.15</v>
      </c>
      <c r="F1908" t="s">
        <v>16</v>
      </c>
      <c r="G1908" t="s">
        <v>43</v>
      </c>
      <c r="H1908" t="s">
        <v>18</v>
      </c>
      <c r="I1908" t="s">
        <v>40</v>
      </c>
      <c r="J1908" t="s">
        <v>26</v>
      </c>
      <c r="K1908" t="s">
        <v>41</v>
      </c>
      <c r="L1908" t="s">
        <v>22</v>
      </c>
      <c r="M1908">
        <v>13000.15</v>
      </c>
      <c r="N1908">
        <v>2020</v>
      </c>
      <c r="O1908">
        <v>6</v>
      </c>
    </row>
    <row r="1909" spans="1:15" x14ac:dyDescent="0.3">
      <c r="A1909" s="1">
        <v>43987</v>
      </c>
      <c r="B1909">
        <v>1000000056</v>
      </c>
      <c r="C1909" t="s">
        <v>23</v>
      </c>
      <c r="D1909">
        <v>4</v>
      </c>
      <c r="E1909">
        <v>27941.309999999998</v>
      </c>
      <c r="F1909" t="s">
        <v>16</v>
      </c>
      <c r="G1909" t="s">
        <v>24</v>
      </c>
      <c r="H1909" t="s">
        <v>18</v>
      </c>
      <c r="I1909" t="s">
        <v>34</v>
      </c>
      <c r="J1909" t="s">
        <v>26</v>
      </c>
      <c r="K1909" t="s">
        <v>35</v>
      </c>
      <c r="L1909" t="s">
        <v>28</v>
      </c>
      <c r="M1909">
        <v>6985.3274999999994</v>
      </c>
      <c r="N1909">
        <v>2020</v>
      </c>
      <c r="O1909">
        <v>6</v>
      </c>
    </row>
    <row r="1910" spans="1:15" x14ac:dyDescent="0.3">
      <c r="A1910" s="1">
        <v>43987</v>
      </c>
      <c r="B1910">
        <v>1000000056</v>
      </c>
      <c r="C1910" t="s">
        <v>15</v>
      </c>
      <c r="D1910">
        <v>1</v>
      </c>
      <c r="E1910">
        <v>17000.54</v>
      </c>
      <c r="F1910" t="s">
        <v>16</v>
      </c>
      <c r="G1910" t="s">
        <v>17</v>
      </c>
      <c r="H1910" t="s">
        <v>18</v>
      </c>
      <c r="I1910" t="s">
        <v>34</v>
      </c>
      <c r="J1910" t="s">
        <v>26</v>
      </c>
      <c r="K1910" t="s">
        <v>35</v>
      </c>
      <c r="L1910" t="s">
        <v>28</v>
      </c>
      <c r="M1910">
        <v>17000.54</v>
      </c>
      <c r="N1910">
        <v>2020</v>
      </c>
      <c r="O1910">
        <v>6</v>
      </c>
    </row>
    <row r="1911" spans="1:15" x14ac:dyDescent="0.3">
      <c r="A1911" s="1">
        <v>43987</v>
      </c>
      <c r="B1911">
        <v>1000000057</v>
      </c>
      <c r="C1911" t="s">
        <v>42</v>
      </c>
      <c r="D1911">
        <v>1</v>
      </c>
      <c r="E1911">
        <v>526.44000000000005</v>
      </c>
      <c r="F1911" t="s">
        <v>16</v>
      </c>
      <c r="G1911" t="s">
        <v>43</v>
      </c>
      <c r="H1911" t="s">
        <v>18</v>
      </c>
      <c r="I1911" t="s">
        <v>34</v>
      </c>
      <c r="J1911" t="s">
        <v>20</v>
      </c>
      <c r="K1911" t="s">
        <v>44</v>
      </c>
      <c r="L1911" t="s">
        <v>22</v>
      </c>
      <c r="M1911">
        <v>526.44000000000005</v>
      </c>
      <c r="N1911">
        <v>2020</v>
      </c>
      <c r="O1911">
        <v>6</v>
      </c>
    </row>
    <row r="1912" spans="1:15" x14ac:dyDescent="0.3">
      <c r="A1912" s="1">
        <v>43987</v>
      </c>
      <c r="B1912">
        <v>1000000067</v>
      </c>
      <c r="C1912" t="s">
        <v>15</v>
      </c>
      <c r="D1912">
        <v>3</v>
      </c>
      <c r="E1912">
        <v>40001.589999999997</v>
      </c>
      <c r="F1912" t="s">
        <v>16</v>
      </c>
      <c r="G1912" t="s">
        <v>17</v>
      </c>
      <c r="H1912" t="s">
        <v>18</v>
      </c>
      <c r="I1912" t="s">
        <v>25</v>
      </c>
      <c r="J1912" t="s">
        <v>20</v>
      </c>
      <c r="K1912" t="s">
        <v>51</v>
      </c>
      <c r="L1912" t="s">
        <v>22</v>
      </c>
      <c r="M1912">
        <v>13333.863333333333</v>
      </c>
      <c r="N1912">
        <v>2020</v>
      </c>
      <c r="O1912">
        <v>6</v>
      </c>
    </row>
    <row r="1913" spans="1:15" x14ac:dyDescent="0.3">
      <c r="A1913" s="1">
        <v>43987</v>
      </c>
      <c r="B1913">
        <v>1000000067</v>
      </c>
      <c r="C1913" t="s">
        <v>42</v>
      </c>
      <c r="D1913">
        <v>1</v>
      </c>
      <c r="E1913">
        <v>1400.54</v>
      </c>
      <c r="F1913" t="s">
        <v>16</v>
      </c>
      <c r="G1913" t="s">
        <v>43</v>
      </c>
      <c r="H1913" t="s">
        <v>18</v>
      </c>
      <c r="I1913" t="s">
        <v>25</v>
      </c>
      <c r="J1913" t="s">
        <v>20</v>
      </c>
      <c r="K1913" t="s">
        <v>51</v>
      </c>
      <c r="L1913" t="s">
        <v>22</v>
      </c>
      <c r="M1913">
        <v>1400.54</v>
      </c>
      <c r="N1913">
        <v>2020</v>
      </c>
      <c r="O1913">
        <v>6</v>
      </c>
    </row>
    <row r="1914" spans="1:15" x14ac:dyDescent="0.3">
      <c r="A1914" s="1">
        <v>43987</v>
      </c>
      <c r="B1914">
        <v>1000000068</v>
      </c>
      <c r="C1914" t="s">
        <v>42</v>
      </c>
      <c r="D1914">
        <v>2</v>
      </c>
      <c r="E1914">
        <v>19750.689999999999</v>
      </c>
      <c r="F1914" t="s">
        <v>16</v>
      </c>
      <c r="G1914" t="s">
        <v>43</v>
      </c>
      <c r="H1914" t="s">
        <v>30</v>
      </c>
      <c r="I1914" t="s">
        <v>55</v>
      </c>
      <c r="J1914" t="s">
        <v>26</v>
      </c>
      <c r="K1914" t="s">
        <v>56</v>
      </c>
      <c r="L1914" t="s">
        <v>28</v>
      </c>
      <c r="M1914">
        <v>9875.3449999999993</v>
      </c>
      <c r="N1914">
        <v>2020</v>
      </c>
      <c r="O1914">
        <v>6</v>
      </c>
    </row>
    <row r="1915" spans="1:15" x14ac:dyDescent="0.3">
      <c r="A1915" s="1">
        <v>43987</v>
      </c>
      <c r="B1915">
        <v>1000000237</v>
      </c>
      <c r="C1915" t="s">
        <v>42</v>
      </c>
      <c r="D1915">
        <v>2</v>
      </c>
      <c r="E1915">
        <v>1298.19</v>
      </c>
      <c r="F1915" t="s">
        <v>16</v>
      </c>
      <c r="G1915" t="s">
        <v>43</v>
      </c>
      <c r="H1915" t="s">
        <v>18</v>
      </c>
      <c r="I1915" t="s">
        <v>40</v>
      </c>
      <c r="J1915" t="s">
        <v>26</v>
      </c>
      <c r="K1915" t="s">
        <v>41</v>
      </c>
      <c r="L1915" t="s">
        <v>22</v>
      </c>
      <c r="M1915">
        <v>649.09500000000003</v>
      </c>
      <c r="N1915">
        <v>2020</v>
      </c>
      <c r="O1915">
        <v>6</v>
      </c>
    </row>
    <row r="1916" spans="1:15" x14ac:dyDescent="0.3">
      <c r="A1916" s="1">
        <v>43987</v>
      </c>
      <c r="B1916">
        <v>1000000566</v>
      </c>
      <c r="C1916" t="s">
        <v>23</v>
      </c>
      <c r="D1916">
        <v>1</v>
      </c>
      <c r="E1916">
        <v>11000.1</v>
      </c>
      <c r="F1916" t="s">
        <v>16</v>
      </c>
      <c r="G1916" t="s">
        <v>24</v>
      </c>
      <c r="H1916" t="s">
        <v>47</v>
      </c>
      <c r="I1916" t="s">
        <v>48</v>
      </c>
      <c r="J1916" t="s">
        <v>36</v>
      </c>
      <c r="K1916" t="s">
        <v>49</v>
      </c>
      <c r="L1916" t="s">
        <v>22</v>
      </c>
      <c r="M1916">
        <v>11000.1</v>
      </c>
      <c r="N1916">
        <v>2020</v>
      </c>
      <c r="O1916">
        <v>6</v>
      </c>
    </row>
    <row r="1917" spans="1:15" x14ac:dyDescent="0.3">
      <c r="A1917" s="1">
        <v>43987</v>
      </c>
      <c r="B1917">
        <v>1000000566</v>
      </c>
      <c r="C1917" t="s">
        <v>42</v>
      </c>
      <c r="D1917">
        <v>1</v>
      </c>
      <c r="E1917">
        <v>10000.35</v>
      </c>
      <c r="F1917" t="s">
        <v>16</v>
      </c>
      <c r="G1917" t="s">
        <v>43</v>
      </c>
      <c r="H1917" t="s">
        <v>47</v>
      </c>
      <c r="I1917" t="s">
        <v>48</v>
      </c>
      <c r="J1917" t="s">
        <v>36</v>
      </c>
      <c r="K1917" t="s">
        <v>49</v>
      </c>
      <c r="L1917" t="s">
        <v>22</v>
      </c>
      <c r="M1917">
        <v>10000.35</v>
      </c>
      <c r="N1917">
        <v>2020</v>
      </c>
      <c r="O1917">
        <v>6</v>
      </c>
    </row>
    <row r="1918" spans="1:15" x14ac:dyDescent="0.3">
      <c r="A1918" s="1">
        <v>43987</v>
      </c>
      <c r="B1918">
        <v>1000000576</v>
      </c>
      <c r="C1918" t="s">
        <v>23</v>
      </c>
      <c r="D1918">
        <v>1</v>
      </c>
      <c r="E1918">
        <v>3198.94</v>
      </c>
      <c r="F1918" t="s">
        <v>16</v>
      </c>
      <c r="G1918" t="s">
        <v>24</v>
      </c>
      <c r="H1918" t="s">
        <v>18</v>
      </c>
      <c r="I1918" t="s">
        <v>25</v>
      </c>
      <c r="J1918" t="s">
        <v>36</v>
      </c>
      <c r="K1918" t="s">
        <v>37</v>
      </c>
      <c r="L1918" t="s">
        <v>22</v>
      </c>
      <c r="M1918">
        <v>3198.94</v>
      </c>
      <c r="N1918">
        <v>2020</v>
      </c>
      <c r="O1918">
        <v>6</v>
      </c>
    </row>
    <row r="1919" spans="1:15" x14ac:dyDescent="0.3">
      <c r="A1919" s="1">
        <v>43987</v>
      </c>
      <c r="B1919">
        <v>1000000576</v>
      </c>
      <c r="C1919" t="s">
        <v>15</v>
      </c>
      <c r="D1919">
        <v>1</v>
      </c>
      <c r="E1919">
        <v>20000.66</v>
      </c>
      <c r="F1919" t="s">
        <v>16</v>
      </c>
      <c r="G1919" t="s">
        <v>17</v>
      </c>
      <c r="H1919" t="s">
        <v>18</v>
      </c>
      <c r="I1919" t="s">
        <v>25</v>
      </c>
      <c r="J1919" t="s">
        <v>36</v>
      </c>
      <c r="K1919" t="s">
        <v>37</v>
      </c>
      <c r="L1919" t="s">
        <v>22</v>
      </c>
      <c r="M1919">
        <v>20000.66</v>
      </c>
      <c r="N1919">
        <v>2020</v>
      </c>
      <c r="O1919">
        <v>6</v>
      </c>
    </row>
    <row r="1920" spans="1:15" x14ac:dyDescent="0.3">
      <c r="A1920" s="1">
        <v>43987</v>
      </c>
      <c r="B1920">
        <v>1000000576</v>
      </c>
      <c r="C1920" t="s">
        <v>42</v>
      </c>
      <c r="D1920">
        <v>1</v>
      </c>
      <c r="E1920">
        <v>2867.35</v>
      </c>
      <c r="F1920" t="s">
        <v>16</v>
      </c>
      <c r="G1920" t="s">
        <v>43</v>
      </c>
      <c r="H1920" t="s">
        <v>18</v>
      </c>
      <c r="I1920" t="s">
        <v>25</v>
      </c>
      <c r="J1920" t="s">
        <v>36</v>
      </c>
      <c r="K1920" t="s">
        <v>37</v>
      </c>
      <c r="L1920" t="s">
        <v>22</v>
      </c>
      <c r="M1920">
        <v>2867.35</v>
      </c>
      <c r="N1920">
        <v>2020</v>
      </c>
      <c r="O1920">
        <v>6</v>
      </c>
    </row>
    <row r="1921" spans="1:15" x14ac:dyDescent="0.3">
      <c r="A1921" s="1">
        <v>43987</v>
      </c>
      <c r="B1921">
        <v>1000000928</v>
      </c>
      <c r="C1921" t="s">
        <v>15</v>
      </c>
      <c r="D1921">
        <v>1</v>
      </c>
      <c r="E1921">
        <v>7000.31</v>
      </c>
      <c r="F1921" t="s">
        <v>16</v>
      </c>
      <c r="G1921" t="s">
        <v>17</v>
      </c>
      <c r="H1921" t="s">
        <v>30</v>
      </c>
      <c r="I1921" t="s">
        <v>57</v>
      </c>
      <c r="J1921" t="s">
        <v>26</v>
      </c>
      <c r="K1921" t="s">
        <v>58</v>
      </c>
      <c r="L1921" t="s">
        <v>22</v>
      </c>
      <c r="M1921">
        <v>7000.31</v>
      </c>
      <c r="N1921">
        <v>2020</v>
      </c>
      <c r="O1921">
        <v>6</v>
      </c>
    </row>
    <row r="1922" spans="1:15" x14ac:dyDescent="0.3">
      <c r="A1922" s="1">
        <v>43987</v>
      </c>
      <c r="B1922">
        <v>1000003926</v>
      </c>
      <c r="C1922" t="s">
        <v>23</v>
      </c>
      <c r="D1922">
        <v>2</v>
      </c>
      <c r="E1922">
        <v>30000.73</v>
      </c>
      <c r="F1922" t="s">
        <v>16</v>
      </c>
      <c r="G1922" t="s">
        <v>24</v>
      </c>
      <c r="H1922" t="s">
        <v>47</v>
      </c>
      <c r="I1922" t="s">
        <v>48</v>
      </c>
      <c r="J1922" t="s">
        <v>26</v>
      </c>
      <c r="K1922" t="s">
        <v>50</v>
      </c>
      <c r="L1922" t="s">
        <v>28</v>
      </c>
      <c r="M1922">
        <v>15000.365</v>
      </c>
      <c r="N1922">
        <v>2020</v>
      </c>
      <c r="O1922">
        <v>6</v>
      </c>
    </row>
    <row r="1923" spans="1:15" x14ac:dyDescent="0.3">
      <c r="A1923" s="1">
        <v>43987</v>
      </c>
      <c r="B1923">
        <v>1000003926</v>
      </c>
      <c r="C1923" t="s">
        <v>15</v>
      </c>
      <c r="D1923">
        <v>6</v>
      </c>
      <c r="E1923">
        <v>86002.26999999999</v>
      </c>
      <c r="F1923" t="s">
        <v>16</v>
      </c>
      <c r="G1923" t="s">
        <v>17</v>
      </c>
      <c r="H1923" t="s">
        <v>47</v>
      </c>
      <c r="I1923" t="s">
        <v>48</v>
      </c>
      <c r="J1923" t="s">
        <v>26</v>
      </c>
      <c r="K1923" t="s">
        <v>50</v>
      </c>
      <c r="L1923" t="s">
        <v>28</v>
      </c>
      <c r="M1923">
        <v>14333.711666666664</v>
      </c>
      <c r="N1923">
        <v>2020</v>
      </c>
      <c r="O1923">
        <v>6</v>
      </c>
    </row>
    <row r="1924" spans="1:15" x14ac:dyDescent="0.3">
      <c r="A1924" s="1">
        <v>43987</v>
      </c>
      <c r="B1924">
        <v>1000004170</v>
      </c>
      <c r="C1924" t="s">
        <v>23</v>
      </c>
      <c r="D1924">
        <v>5</v>
      </c>
      <c r="E1924">
        <v>74001.239999999991</v>
      </c>
      <c r="F1924" t="s">
        <v>16</v>
      </c>
      <c r="G1924" t="s">
        <v>24</v>
      </c>
      <c r="H1924" t="s">
        <v>18</v>
      </c>
      <c r="I1924" t="s">
        <v>34</v>
      </c>
      <c r="J1924" t="s">
        <v>20</v>
      </c>
      <c r="K1924" t="s">
        <v>44</v>
      </c>
      <c r="L1924" t="s">
        <v>28</v>
      </c>
      <c r="M1924">
        <v>14800.247999999998</v>
      </c>
      <c r="N1924">
        <v>2020</v>
      </c>
      <c r="O1924">
        <v>6</v>
      </c>
    </row>
    <row r="1925" spans="1:15" x14ac:dyDescent="0.3">
      <c r="A1925" s="1">
        <v>43987</v>
      </c>
      <c r="B1925">
        <v>1000004256</v>
      </c>
      <c r="C1925" t="s">
        <v>23</v>
      </c>
      <c r="D1925">
        <v>1</v>
      </c>
      <c r="E1925">
        <v>30000.3</v>
      </c>
      <c r="F1925" t="s">
        <v>16</v>
      </c>
      <c r="G1925" t="s">
        <v>24</v>
      </c>
      <c r="H1925" t="s">
        <v>18</v>
      </c>
      <c r="I1925" t="s">
        <v>40</v>
      </c>
      <c r="J1925" t="s">
        <v>26</v>
      </c>
      <c r="K1925" t="s">
        <v>41</v>
      </c>
      <c r="L1925" t="s">
        <v>22</v>
      </c>
      <c r="M1925">
        <v>30000.3</v>
      </c>
      <c r="N1925">
        <v>2020</v>
      </c>
      <c r="O1925">
        <v>6</v>
      </c>
    </row>
    <row r="1926" spans="1:15" x14ac:dyDescent="0.3">
      <c r="A1926" s="1">
        <v>43987</v>
      </c>
      <c r="B1926">
        <v>1000004256</v>
      </c>
      <c r="C1926" t="s">
        <v>42</v>
      </c>
      <c r="D1926">
        <v>2</v>
      </c>
      <c r="E1926">
        <v>22907.120000000003</v>
      </c>
      <c r="F1926" t="s">
        <v>16</v>
      </c>
      <c r="G1926" t="s">
        <v>43</v>
      </c>
      <c r="H1926" t="s">
        <v>18</v>
      </c>
      <c r="I1926" t="s">
        <v>40</v>
      </c>
      <c r="J1926" t="s">
        <v>26</v>
      </c>
      <c r="K1926" t="s">
        <v>41</v>
      </c>
      <c r="L1926" t="s">
        <v>22</v>
      </c>
      <c r="M1926">
        <v>11453.560000000001</v>
      </c>
      <c r="N1926">
        <v>2020</v>
      </c>
      <c r="O1926">
        <v>6</v>
      </c>
    </row>
    <row r="1927" spans="1:15" x14ac:dyDescent="0.3">
      <c r="A1927" s="1">
        <v>43987</v>
      </c>
      <c r="B1927">
        <v>1000006064</v>
      </c>
      <c r="C1927" t="s">
        <v>15</v>
      </c>
      <c r="D1927">
        <v>1</v>
      </c>
      <c r="E1927">
        <v>1500.21</v>
      </c>
      <c r="F1927" t="s">
        <v>16</v>
      </c>
      <c r="G1927" t="s">
        <v>17</v>
      </c>
      <c r="H1927" t="s">
        <v>18</v>
      </c>
      <c r="I1927" t="s">
        <v>40</v>
      </c>
      <c r="J1927" t="s">
        <v>26</v>
      </c>
      <c r="K1927" t="s">
        <v>41</v>
      </c>
      <c r="L1927" t="s">
        <v>22</v>
      </c>
      <c r="M1927">
        <v>1500.21</v>
      </c>
      <c r="N1927">
        <v>2020</v>
      </c>
      <c r="O1927">
        <v>6</v>
      </c>
    </row>
    <row r="1928" spans="1:15" x14ac:dyDescent="0.3">
      <c r="A1928" s="1">
        <v>43987</v>
      </c>
      <c r="B1928">
        <v>1000006064</v>
      </c>
      <c r="C1928" t="s">
        <v>42</v>
      </c>
      <c r="D1928">
        <v>1</v>
      </c>
      <c r="E1928">
        <v>700.57</v>
      </c>
      <c r="F1928" t="s">
        <v>16</v>
      </c>
      <c r="G1928" t="s">
        <v>43</v>
      </c>
      <c r="H1928" t="s">
        <v>18</v>
      </c>
      <c r="I1928" t="s">
        <v>40</v>
      </c>
      <c r="J1928" t="s">
        <v>26</v>
      </c>
      <c r="K1928" t="s">
        <v>41</v>
      </c>
      <c r="L1928" t="s">
        <v>22</v>
      </c>
      <c r="M1928">
        <v>700.57</v>
      </c>
      <c r="N1928">
        <v>2020</v>
      </c>
      <c r="O1928">
        <v>6</v>
      </c>
    </row>
    <row r="1929" spans="1:15" x14ac:dyDescent="0.3">
      <c r="A1929" s="1">
        <v>43987</v>
      </c>
      <c r="B1929">
        <v>1000006698</v>
      </c>
      <c r="C1929" t="s">
        <v>15</v>
      </c>
      <c r="D1929">
        <v>1</v>
      </c>
      <c r="E1929">
        <v>13000.27</v>
      </c>
      <c r="F1929" t="s">
        <v>16</v>
      </c>
      <c r="G1929" t="s">
        <v>17</v>
      </c>
      <c r="H1929" t="s">
        <v>30</v>
      </c>
      <c r="I1929" t="s">
        <v>38</v>
      </c>
      <c r="J1929" t="s">
        <v>26</v>
      </c>
      <c r="K1929" t="s">
        <v>39</v>
      </c>
      <c r="L1929" t="s">
        <v>28</v>
      </c>
      <c r="M1929">
        <v>13000.27</v>
      </c>
      <c r="N1929">
        <v>2020</v>
      </c>
      <c r="O1929">
        <v>6</v>
      </c>
    </row>
    <row r="1930" spans="1:15" x14ac:dyDescent="0.3">
      <c r="A1930" s="1">
        <v>43987</v>
      </c>
      <c r="B1930">
        <v>1000006859</v>
      </c>
      <c r="C1930" t="s">
        <v>42</v>
      </c>
      <c r="D1930">
        <v>1</v>
      </c>
      <c r="E1930">
        <v>8000.7</v>
      </c>
      <c r="F1930" t="s">
        <v>16</v>
      </c>
      <c r="G1930" t="s">
        <v>43</v>
      </c>
      <c r="H1930" t="s">
        <v>18</v>
      </c>
      <c r="I1930" t="s">
        <v>61</v>
      </c>
      <c r="J1930" t="s">
        <v>26</v>
      </c>
      <c r="K1930" t="s">
        <v>62</v>
      </c>
      <c r="L1930" t="s">
        <v>22</v>
      </c>
      <c r="M1930">
        <v>8000.7</v>
      </c>
      <c r="N1930">
        <v>2020</v>
      </c>
      <c r="O1930">
        <v>6</v>
      </c>
    </row>
    <row r="1931" spans="1:15" x14ac:dyDescent="0.3">
      <c r="A1931" s="1">
        <v>43987</v>
      </c>
      <c r="B1931">
        <v>1000006869</v>
      </c>
      <c r="C1931" t="s">
        <v>15</v>
      </c>
      <c r="D1931">
        <v>1</v>
      </c>
      <c r="E1931">
        <v>20000.39</v>
      </c>
      <c r="F1931" t="s">
        <v>16</v>
      </c>
      <c r="G1931" t="s">
        <v>17</v>
      </c>
      <c r="H1931" t="s">
        <v>18</v>
      </c>
      <c r="I1931" t="s">
        <v>61</v>
      </c>
      <c r="J1931" t="s">
        <v>26</v>
      </c>
      <c r="K1931" t="s">
        <v>62</v>
      </c>
      <c r="L1931" t="s">
        <v>22</v>
      </c>
      <c r="M1931">
        <v>20000.39</v>
      </c>
      <c r="N1931">
        <v>2020</v>
      </c>
      <c r="O1931">
        <v>6</v>
      </c>
    </row>
    <row r="1932" spans="1:15" x14ac:dyDescent="0.3">
      <c r="A1932" s="1">
        <v>43987</v>
      </c>
      <c r="B1932">
        <v>1000006869</v>
      </c>
      <c r="C1932" t="s">
        <v>42</v>
      </c>
      <c r="D1932">
        <v>1</v>
      </c>
      <c r="E1932">
        <v>15000.36</v>
      </c>
      <c r="F1932" t="s">
        <v>16</v>
      </c>
      <c r="G1932" t="s">
        <v>43</v>
      </c>
      <c r="H1932" t="s">
        <v>18</v>
      </c>
      <c r="I1932" t="s">
        <v>61</v>
      </c>
      <c r="J1932" t="s">
        <v>26</v>
      </c>
      <c r="K1932" t="s">
        <v>62</v>
      </c>
      <c r="L1932" t="s">
        <v>22</v>
      </c>
      <c r="M1932">
        <v>15000.36</v>
      </c>
      <c r="N1932">
        <v>2020</v>
      </c>
      <c r="O1932">
        <v>6</v>
      </c>
    </row>
    <row r="1933" spans="1:15" x14ac:dyDescent="0.3">
      <c r="A1933" s="1">
        <v>43987</v>
      </c>
      <c r="B1933">
        <v>1000007320</v>
      </c>
      <c r="C1933" t="s">
        <v>15</v>
      </c>
      <c r="D1933">
        <v>2</v>
      </c>
      <c r="E1933">
        <v>21000.57</v>
      </c>
      <c r="F1933" t="s">
        <v>16</v>
      </c>
      <c r="G1933" t="s">
        <v>17</v>
      </c>
      <c r="H1933" t="s">
        <v>18</v>
      </c>
      <c r="I1933" t="s">
        <v>34</v>
      </c>
      <c r="J1933" t="s">
        <v>26</v>
      </c>
      <c r="K1933" t="s">
        <v>35</v>
      </c>
      <c r="L1933" t="s">
        <v>22</v>
      </c>
      <c r="M1933">
        <v>10500.285</v>
      </c>
      <c r="N1933">
        <v>2020</v>
      </c>
      <c r="O1933">
        <v>6</v>
      </c>
    </row>
    <row r="1934" spans="1:15" x14ac:dyDescent="0.3">
      <c r="A1934" s="1">
        <v>43987</v>
      </c>
      <c r="B1934">
        <v>1000008239</v>
      </c>
      <c r="C1934" t="s">
        <v>23</v>
      </c>
      <c r="D1934">
        <v>2</v>
      </c>
      <c r="E1934">
        <v>12500.16</v>
      </c>
      <c r="F1934" t="s">
        <v>16</v>
      </c>
      <c r="G1934" t="s">
        <v>24</v>
      </c>
      <c r="H1934" t="s">
        <v>18</v>
      </c>
      <c r="I1934" t="s">
        <v>61</v>
      </c>
      <c r="J1934" t="s">
        <v>26</v>
      </c>
      <c r="K1934" t="s">
        <v>62</v>
      </c>
      <c r="L1934" t="s">
        <v>28</v>
      </c>
      <c r="M1934">
        <v>6250.08</v>
      </c>
      <c r="N1934">
        <v>2020</v>
      </c>
      <c r="O1934">
        <v>6</v>
      </c>
    </row>
    <row r="1935" spans="1:15" x14ac:dyDescent="0.3">
      <c r="A1935" s="1">
        <v>43987</v>
      </c>
      <c r="B1935">
        <v>1000008239</v>
      </c>
      <c r="C1935" t="s">
        <v>15</v>
      </c>
      <c r="D1935">
        <v>3</v>
      </c>
      <c r="E1935">
        <v>27000.79</v>
      </c>
      <c r="F1935" t="s">
        <v>16</v>
      </c>
      <c r="G1935" t="s">
        <v>17</v>
      </c>
      <c r="H1935" t="s">
        <v>18</v>
      </c>
      <c r="I1935" t="s">
        <v>61</v>
      </c>
      <c r="J1935" t="s">
        <v>26</v>
      </c>
      <c r="K1935" t="s">
        <v>62</v>
      </c>
      <c r="L1935" t="s">
        <v>28</v>
      </c>
      <c r="M1935">
        <v>9000.2633333333342</v>
      </c>
      <c r="N1935">
        <v>2020</v>
      </c>
      <c r="O1935">
        <v>6</v>
      </c>
    </row>
    <row r="1936" spans="1:15" x14ac:dyDescent="0.3">
      <c r="A1936" s="1">
        <v>43987</v>
      </c>
      <c r="B1936">
        <v>1000010815</v>
      </c>
      <c r="C1936" t="s">
        <v>23</v>
      </c>
      <c r="D1936">
        <v>1</v>
      </c>
      <c r="E1936">
        <v>16000.43</v>
      </c>
      <c r="F1936" t="s">
        <v>16</v>
      </c>
      <c r="G1936" t="s">
        <v>24</v>
      </c>
      <c r="H1936" t="s">
        <v>18</v>
      </c>
      <c r="I1936" t="s">
        <v>61</v>
      </c>
      <c r="J1936" t="s">
        <v>26</v>
      </c>
      <c r="K1936" t="s">
        <v>62</v>
      </c>
      <c r="L1936" t="s">
        <v>22</v>
      </c>
      <c r="M1936">
        <v>16000.43</v>
      </c>
      <c r="N1936">
        <v>2020</v>
      </c>
      <c r="O1936">
        <v>6</v>
      </c>
    </row>
    <row r="1937" spans="1:15" x14ac:dyDescent="0.3">
      <c r="A1937" s="1">
        <v>43987</v>
      </c>
      <c r="B1937">
        <v>1000010815</v>
      </c>
      <c r="C1937" t="s">
        <v>15</v>
      </c>
      <c r="D1937">
        <v>1</v>
      </c>
      <c r="E1937">
        <v>7000.02</v>
      </c>
      <c r="F1937" t="s">
        <v>16</v>
      </c>
      <c r="G1937" t="s">
        <v>17</v>
      </c>
      <c r="H1937" t="s">
        <v>18</v>
      </c>
      <c r="I1937" t="s">
        <v>61</v>
      </c>
      <c r="J1937" t="s">
        <v>26</v>
      </c>
      <c r="K1937" t="s">
        <v>62</v>
      </c>
      <c r="L1937" t="s">
        <v>22</v>
      </c>
      <c r="M1937">
        <v>7000.02</v>
      </c>
      <c r="N1937">
        <v>2020</v>
      </c>
      <c r="O1937">
        <v>6</v>
      </c>
    </row>
    <row r="1938" spans="1:15" x14ac:dyDescent="0.3">
      <c r="A1938" s="1">
        <v>43987</v>
      </c>
      <c r="B1938">
        <v>1000010837</v>
      </c>
      <c r="C1938" t="s">
        <v>15</v>
      </c>
      <c r="D1938">
        <v>1</v>
      </c>
      <c r="E1938">
        <v>15999.96</v>
      </c>
      <c r="F1938" t="s">
        <v>16</v>
      </c>
      <c r="G1938" t="s">
        <v>17</v>
      </c>
      <c r="H1938" t="s">
        <v>18</v>
      </c>
      <c r="I1938" t="s">
        <v>61</v>
      </c>
      <c r="J1938" t="s">
        <v>26</v>
      </c>
      <c r="K1938" t="s">
        <v>62</v>
      </c>
      <c r="L1938" t="s">
        <v>22</v>
      </c>
      <c r="M1938">
        <v>15999.96</v>
      </c>
      <c r="N1938">
        <v>2020</v>
      </c>
      <c r="O1938">
        <v>6</v>
      </c>
    </row>
    <row r="1939" spans="1:15" x14ac:dyDescent="0.3">
      <c r="A1939" s="1">
        <v>43987</v>
      </c>
      <c r="B1939">
        <v>1000010881</v>
      </c>
      <c r="C1939" t="s">
        <v>23</v>
      </c>
      <c r="D1939">
        <v>1</v>
      </c>
      <c r="E1939">
        <v>15000.16</v>
      </c>
      <c r="F1939" t="s">
        <v>16</v>
      </c>
      <c r="G1939" t="s">
        <v>24</v>
      </c>
      <c r="H1939" t="s">
        <v>47</v>
      </c>
      <c r="I1939" t="s">
        <v>48</v>
      </c>
      <c r="J1939" t="s">
        <v>26</v>
      </c>
      <c r="K1939" t="s">
        <v>50</v>
      </c>
      <c r="L1939" t="s">
        <v>22</v>
      </c>
      <c r="M1939">
        <v>15000.16</v>
      </c>
      <c r="N1939">
        <v>2020</v>
      </c>
      <c r="O1939">
        <v>6</v>
      </c>
    </row>
    <row r="1940" spans="1:15" x14ac:dyDescent="0.3">
      <c r="A1940" s="1">
        <v>43987</v>
      </c>
      <c r="B1940">
        <v>1000011698</v>
      </c>
      <c r="C1940" t="s">
        <v>15</v>
      </c>
      <c r="D1940">
        <v>1</v>
      </c>
      <c r="E1940">
        <v>18000.740000000002</v>
      </c>
      <c r="F1940" t="s">
        <v>16</v>
      </c>
      <c r="G1940" t="s">
        <v>17</v>
      </c>
      <c r="H1940" t="s">
        <v>18</v>
      </c>
      <c r="I1940" t="s">
        <v>34</v>
      </c>
      <c r="J1940" t="s">
        <v>20</v>
      </c>
      <c r="K1940" t="s">
        <v>44</v>
      </c>
      <c r="L1940" t="s">
        <v>22</v>
      </c>
      <c r="M1940">
        <v>18000.740000000002</v>
      </c>
      <c r="N1940">
        <v>2020</v>
      </c>
      <c r="O1940">
        <v>6</v>
      </c>
    </row>
    <row r="1941" spans="1:15" x14ac:dyDescent="0.3">
      <c r="A1941" s="1">
        <v>43987</v>
      </c>
      <c r="B1941">
        <v>1000011731</v>
      </c>
      <c r="C1941" t="s">
        <v>15</v>
      </c>
      <c r="D1941">
        <v>1</v>
      </c>
      <c r="E1941">
        <v>7499.94</v>
      </c>
      <c r="F1941" t="s">
        <v>16</v>
      </c>
      <c r="G1941" t="s">
        <v>17</v>
      </c>
      <c r="H1941" t="s">
        <v>47</v>
      </c>
      <c r="I1941" t="s">
        <v>48</v>
      </c>
      <c r="J1941" t="s">
        <v>36</v>
      </c>
      <c r="K1941" t="s">
        <v>49</v>
      </c>
      <c r="L1941" t="s">
        <v>22</v>
      </c>
      <c r="M1941">
        <v>7499.94</v>
      </c>
      <c r="N1941">
        <v>2020</v>
      </c>
      <c r="O1941">
        <v>6</v>
      </c>
    </row>
    <row r="1942" spans="1:15" x14ac:dyDescent="0.3">
      <c r="A1942" s="1">
        <v>43987</v>
      </c>
      <c r="B1942">
        <v>1000012096</v>
      </c>
      <c r="C1942" t="s">
        <v>23</v>
      </c>
      <c r="D1942">
        <v>1</v>
      </c>
      <c r="E1942">
        <v>5500.23</v>
      </c>
      <c r="F1942" t="s">
        <v>16</v>
      </c>
      <c r="G1942" t="s">
        <v>24</v>
      </c>
      <c r="H1942" t="s">
        <v>18</v>
      </c>
      <c r="I1942" t="s">
        <v>19</v>
      </c>
      <c r="J1942" t="s">
        <v>26</v>
      </c>
      <c r="K1942" t="s">
        <v>29</v>
      </c>
      <c r="L1942" t="s">
        <v>22</v>
      </c>
      <c r="M1942">
        <v>5500.23</v>
      </c>
      <c r="N1942">
        <v>2020</v>
      </c>
      <c r="O1942">
        <v>6</v>
      </c>
    </row>
    <row r="1943" spans="1:15" x14ac:dyDescent="0.3">
      <c r="A1943" s="1">
        <v>43987</v>
      </c>
      <c r="B1943">
        <v>1000012096</v>
      </c>
      <c r="C1943" t="s">
        <v>15</v>
      </c>
      <c r="D1943">
        <v>1</v>
      </c>
      <c r="E1943">
        <v>16000.46</v>
      </c>
      <c r="F1943" t="s">
        <v>16</v>
      </c>
      <c r="G1943" t="s">
        <v>17</v>
      </c>
      <c r="H1943" t="s">
        <v>18</v>
      </c>
      <c r="I1943" t="s">
        <v>19</v>
      </c>
      <c r="J1943" t="s">
        <v>26</v>
      </c>
      <c r="K1943" t="s">
        <v>29</v>
      </c>
      <c r="L1943" t="s">
        <v>22</v>
      </c>
      <c r="M1943">
        <v>16000.46</v>
      </c>
      <c r="N1943">
        <v>2020</v>
      </c>
      <c r="O1943">
        <v>6</v>
      </c>
    </row>
    <row r="1944" spans="1:15" x14ac:dyDescent="0.3">
      <c r="A1944" s="1">
        <v>43987</v>
      </c>
      <c r="B1944">
        <v>1000012099</v>
      </c>
      <c r="C1944" t="s">
        <v>15</v>
      </c>
      <c r="D1944">
        <v>1</v>
      </c>
      <c r="E1944">
        <v>16000.1</v>
      </c>
      <c r="F1944" t="s">
        <v>16</v>
      </c>
      <c r="G1944" t="s">
        <v>17</v>
      </c>
      <c r="H1944" t="s">
        <v>18</v>
      </c>
      <c r="I1944" t="s">
        <v>19</v>
      </c>
      <c r="J1944" t="s">
        <v>20</v>
      </c>
      <c r="K1944" t="s">
        <v>21</v>
      </c>
      <c r="L1944" t="s">
        <v>22</v>
      </c>
      <c r="M1944">
        <v>16000.1</v>
      </c>
      <c r="N1944">
        <v>2020</v>
      </c>
      <c r="O1944">
        <v>6</v>
      </c>
    </row>
    <row r="1945" spans="1:15" x14ac:dyDescent="0.3">
      <c r="A1945" s="1">
        <v>43987</v>
      </c>
      <c r="B1945">
        <v>1000012112</v>
      </c>
      <c r="C1945" t="s">
        <v>23</v>
      </c>
      <c r="D1945">
        <v>2</v>
      </c>
      <c r="E1945">
        <v>15000.599999999999</v>
      </c>
      <c r="F1945" t="s">
        <v>16</v>
      </c>
      <c r="G1945" t="s">
        <v>24</v>
      </c>
      <c r="H1945" t="s">
        <v>18</v>
      </c>
      <c r="I1945" t="s">
        <v>19</v>
      </c>
      <c r="J1945" t="s">
        <v>36</v>
      </c>
      <c r="K1945" t="s">
        <v>64</v>
      </c>
      <c r="L1945" t="s">
        <v>28</v>
      </c>
      <c r="M1945">
        <v>7500.2999999999993</v>
      </c>
      <c r="N1945">
        <v>2020</v>
      </c>
      <c r="O1945">
        <v>6</v>
      </c>
    </row>
    <row r="1946" spans="1:15" x14ac:dyDescent="0.3">
      <c r="A1946" s="1">
        <v>43987</v>
      </c>
      <c r="B1946">
        <v>1000012112</v>
      </c>
      <c r="C1946" t="s">
        <v>15</v>
      </c>
      <c r="D1946">
        <v>3</v>
      </c>
      <c r="E1946">
        <v>48001.520000000004</v>
      </c>
      <c r="F1946" t="s">
        <v>16</v>
      </c>
      <c r="G1946" t="s">
        <v>17</v>
      </c>
      <c r="H1946" t="s">
        <v>18</v>
      </c>
      <c r="I1946" t="s">
        <v>19</v>
      </c>
      <c r="J1946" t="s">
        <v>36</v>
      </c>
      <c r="K1946" t="s">
        <v>64</v>
      </c>
      <c r="L1946" t="s">
        <v>28</v>
      </c>
      <c r="M1946">
        <v>16000.506666666668</v>
      </c>
      <c r="N1946">
        <v>2020</v>
      </c>
      <c r="O1946">
        <v>6</v>
      </c>
    </row>
    <row r="1947" spans="1:15" x14ac:dyDescent="0.3">
      <c r="A1947" s="1">
        <v>43987</v>
      </c>
      <c r="B1947">
        <v>1000012124</v>
      </c>
      <c r="C1947" t="s">
        <v>23</v>
      </c>
      <c r="D1947">
        <v>1</v>
      </c>
      <c r="E1947">
        <v>17000.650000000001</v>
      </c>
      <c r="F1947" t="s">
        <v>16</v>
      </c>
      <c r="G1947" t="s">
        <v>24</v>
      </c>
      <c r="H1947" t="s">
        <v>18</v>
      </c>
      <c r="I1947" t="s">
        <v>19</v>
      </c>
      <c r="J1947" t="s">
        <v>26</v>
      </c>
      <c r="K1947" t="s">
        <v>29</v>
      </c>
      <c r="L1947" t="s">
        <v>22</v>
      </c>
      <c r="M1947">
        <v>17000.650000000001</v>
      </c>
      <c r="N1947">
        <v>2020</v>
      </c>
      <c r="O1947">
        <v>6</v>
      </c>
    </row>
    <row r="1948" spans="1:15" x14ac:dyDescent="0.3">
      <c r="A1948" s="1">
        <v>43988</v>
      </c>
      <c r="B1948">
        <v>1000000029</v>
      </c>
      <c r="C1948" t="s">
        <v>23</v>
      </c>
      <c r="D1948">
        <v>1</v>
      </c>
      <c r="E1948">
        <v>520.54999999999995</v>
      </c>
      <c r="F1948" t="s">
        <v>16</v>
      </c>
      <c r="G1948" t="s">
        <v>24</v>
      </c>
      <c r="H1948" t="s">
        <v>18</v>
      </c>
      <c r="I1948" t="s">
        <v>19</v>
      </c>
      <c r="J1948" t="s">
        <v>20</v>
      </c>
      <c r="K1948" t="s">
        <v>21</v>
      </c>
      <c r="L1948" t="s">
        <v>22</v>
      </c>
      <c r="M1948">
        <v>520.54999999999995</v>
      </c>
      <c r="N1948">
        <v>2020</v>
      </c>
      <c r="O1948">
        <v>6</v>
      </c>
    </row>
    <row r="1949" spans="1:15" x14ac:dyDescent="0.3">
      <c r="A1949" s="1">
        <v>43988</v>
      </c>
      <c r="B1949">
        <v>1000000029</v>
      </c>
      <c r="C1949" t="s">
        <v>42</v>
      </c>
      <c r="D1949">
        <v>1</v>
      </c>
      <c r="E1949">
        <v>7000.28</v>
      </c>
      <c r="F1949" t="s">
        <v>16</v>
      </c>
      <c r="G1949" t="s">
        <v>43</v>
      </c>
      <c r="H1949" t="s">
        <v>18</v>
      </c>
      <c r="I1949" t="s">
        <v>19</v>
      </c>
      <c r="J1949" t="s">
        <v>20</v>
      </c>
      <c r="K1949" t="s">
        <v>21</v>
      </c>
      <c r="L1949" t="s">
        <v>22</v>
      </c>
      <c r="M1949">
        <v>7000.28</v>
      </c>
      <c r="N1949">
        <v>2020</v>
      </c>
      <c r="O1949">
        <v>6</v>
      </c>
    </row>
    <row r="1950" spans="1:15" x14ac:dyDescent="0.3">
      <c r="A1950" s="1">
        <v>43988</v>
      </c>
      <c r="B1950">
        <v>1000000030</v>
      </c>
      <c r="C1950" t="s">
        <v>23</v>
      </c>
      <c r="D1950">
        <v>2</v>
      </c>
      <c r="E1950">
        <v>21000.73</v>
      </c>
      <c r="F1950" t="s">
        <v>16</v>
      </c>
      <c r="G1950" t="s">
        <v>24</v>
      </c>
      <c r="H1950" t="s">
        <v>47</v>
      </c>
      <c r="I1950" t="s">
        <v>48</v>
      </c>
      <c r="J1950" t="s">
        <v>36</v>
      </c>
      <c r="K1950" t="s">
        <v>49</v>
      </c>
      <c r="L1950" t="s">
        <v>22</v>
      </c>
      <c r="M1950">
        <v>10500.365</v>
      </c>
      <c r="N1950">
        <v>2020</v>
      </c>
      <c r="O1950">
        <v>6</v>
      </c>
    </row>
    <row r="1951" spans="1:15" x14ac:dyDescent="0.3">
      <c r="A1951" s="1">
        <v>43988</v>
      </c>
      <c r="B1951">
        <v>1000000030</v>
      </c>
      <c r="C1951" t="s">
        <v>15</v>
      </c>
      <c r="D1951">
        <v>1</v>
      </c>
      <c r="E1951">
        <v>3732.39</v>
      </c>
      <c r="F1951" t="s">
        <v>16</v>
      </c>
      <c r="G1951" t="s">
        <v>17</v>
      </c>
      <c r="H1951" t="s">
        <v>47</v>
      </c>
      <c r="I1951" t="s">
        <v>48</v>
      </c>
      <c r="J1951" t="s">
        <v>36</v>
      </c>
      <c r="K1951" t="s">
        <v>49</v>
      </c>
      <c r="L1951" t="s">
        <v>22</v>
      </c>
      <c r="M1951">
        <v>3732.39</v>
      </c>
      <c r="N1951">
        <v>2020</v>
      </c>
      <c r="O1951">
        <v>6</v>
      </c>
    </row>
    <row r="1952" spans="1:15" x14ac:dyDescent="0.3">
      <c r="A1952" s="1">
        <v>43988</v>
      </c>
      <c r="B1952">
        <v>1000000030</v>
      </c>
      <c r="C1952" t="s">
        <v>42</v>
      </c>
      <c r="D1952">
        <v>1</v>
      </c>
      <c r="E1952">
        <v>5000.1000000000004</v>
      </c>
      <c r="F1952" t="s">
        <v>16</v>
      </c>
      <c r="G1952" t="s">
        <v>43</v>
      </c>
      <c r="H1952" t="s">
        <v>47</v>
      </c>
      <c r="I1952" t="s">
        <v>48</v>
      </c>
      <c r="J1952" t="s">
        <v>36</v>
      </c>
      <c r="K1952" t="s">
        <v>49</v>
      </c>
      <c r="L1952" t="s">
        <v>22</v>
      </c>
      <c r="M1952">
        <v>5000.1000000000004</v>
      </c>
      <c r="N1952">
        <v>2020</v>
      </c>
      <c r="O1952">
        <v>6</v>
      </c>
    </row>
    <row r="1953" spans="1:15" x14ac:dyDescent="0.3">
      <c r="A1953" s="1">
        <v>43988</v>
      </c>
      <c r="B1953">
        <v>1000000031</v>
      </c>
      <c r="C1953" t="s">
        <v>23</v>
      </c>
      <c r="D1953">
        <v>2</v>
      </c>
      <c r="E1953">
        <v>19000.53</v>
      </c>
      <c r="F1953" t="s">
        <v>16</v>
      </c>
      <c r="G1953" t="s">
        <v>24</v>
      </c>
      <c r="H1953" t="s">
        <v>18</v>
      </c>
      <c r="I1953" t="s">
        <v>19</v>
      </c>
      <c r="J1953" t="s">
        <v>26</v>
      </c>
      <c r="K1953" t="s">
        <v>29</v>
      </c>
      <c r="L1953" t="s">
        <v>28</v>
      </c>
      <c r="M1953">
        <v>9500.2649999999994</v>
      </c>
      <c r="N1953">
        <v>2020</v>
      </c>
      <c r="O1953">
        <v>6</v>
      </c>
    </row>
    <row r="1954" spans="1:15" x14ac:dyDescent="0.3">
      <c r="A1954" s="1">
        <v>43988</v>
      </c>
      <c r="B1954">
        <v>1000000031</v>
      </c>
      <c r="C1954" t="s">
        <v>15</v>
      </c>
      <c r="D1954">
        <v>1</v>
      </c>
      <c r="E1954">
        <v>15000.49</v>
      </c>
      <c r="F1954" t="s">
        <v>16</v>
      </c>
      <c r="G1954" t="s">
        <v>17</v>
      </c>
      <c r="H1954" t="s">
        <v>18</v>
      </c>
      <c r="I1954" t="s">
        <v>19</v>
      </c>
      <c r="J1954" t="s">
        <v>26</v>
      </c>
      <c r="K1954" t="s">
        <v>29</v>
      </c>
      <c r="L1954" t="s">
        <v>28</v>
      </c>
      <c r="M1954">
        <v>15000.49</v>
      </c>
      <c r="N1954">
        <v>2020</v>
      </c>
      <c r="O1954">
        <v>6</v>
      </c>
    </row>
    <row r="1955" spans="1:15" x14ac:dyDescent="0.3">
      <c r="A1955" s="1">
        <v>43988</v>
      </c>
      <c r="B1955">
        <v>1000000032</v>
      </c>
      <c r="C1955" t="s">
        <v>23</v>
      </c>
      <c r="D1955">
        <v>1</v>
      </c>
      <c r="E1955">
        <v>1848.11</v>
      </c>
      <c r="F1955" t="s">
        <v>16</v>
      </c>
      <c r="G1955" t="s">
        <v>24</v>
      </c>
      <c r="H1955" t="s">
        <v>18</v>
      </c>
      <c r="I1955" t="s">
        <v>25</v>
      </c>
      <c r="J1955" t="s">
        <v>26</v>
      </c>
      <c r="K1955" t="s">
        <v>27</v>
      </c>
      <c r="L1955" t="s">
        <v>28</v>
      </c>
      <c r="M1955">
        <v>1848.11</v>
      </c>
      <c r="N1955">
        <v>2020</v>
      </c>
      <c r="O1955">
        <v>6</v>
      </c>
    </row>
    <row r="1956" spans="1:15" x14ac:dyDescent="0.3">
      <c r="A1956" s="1">
        <v>43988</v>
      </c>
      <c r="B1956">
        <v>1000000032</v>
      </c>
      <c r="C1956" t="s">
        <v>15</v>
      </c>
      <c r="D1956">
        <v>1</v>
      </c>
      <c r="E1956">
        <v>14999.99</v>
      </c>
      <c r="F1956" t="s">
        <v>16</v>
      </c>
      <c r="G1956" t="s">
        <v>17</v>
      </c>
      <c r="H1956" t="s">
        <v>18</v>
      </c>
      <c r="I1956" t="s">
        <v>25</v>
      </c>
      <c r="J1956" t="s">
        <v>26</v>
      </c>
      <c r="K1956" t="s">
        <v>27</v>
      </c>
      <c r="L1956" t="s">
        <v>28</v>
      </c>
      <c r="M1956">
        <v>14999.99</v>
      </c>
      <c r="N1956">
        <v>2020</v>
      </c>
      <c r="O1956">
        <v>6</v>
      </c>
    </row>
    <row r="1957" spans="1:15" x14ac:dyDescent="0.3">
      <c r="A1957" s="1">
        <v>43988</v>
      </c>
      <c r="B1957">
        <v>1000000033</v>
      </c>
      <c r="C1957" t="s">
        <v>23</v>
      </c>
      <c r="D1957">
        <v>1</v>
      </c>
      <c r="E1957">
        <v>1000.59</v>
      </c>
      <c r="F1957" t="s">
        <v>16</v>
      </c>
      <c r="G1957" t="s">
        <v>24</v>
      </c>
      <c r="H1957" t="s">
        <v>18</v>
      </c>
      <c r="I1957" t="s">
        <v>25</v>
      </c>
      <c r="J1957" t="s">
        <v>26</v>
      </c>
      <c r="K1957" t="s">
        <v>27</v>
      </c>
      <c r="L1957" t="s">
        <v>22</v>
      </c>
      <c r="M1957">
        <v>1000.59</v>
      </c>
      <c r="N1957">
        <v>2020</v>
      </c>
      <c r="O1957">
        <v>6</v>
      </c>
    </row>
    <row r="1958" spans="1:15" x14ac:dyDescent="0.3">
      <c r="A1958" s="1">
        <v>43988</v>
      </c>
      <c r="B1958">
        <v>1000000033</v>
      </c>
      <c r="C1958" t="s">
        <v>15</v>
      </c>
      <c r="D1958">
        <v>1</v>
      </c>
      <c r="E1958">
        <v>5000.6899999999996</v>
      </c>
      <c r="F1958" t="s">
        <v>16</v>
      </c>
      <c r="G1958" t="s">
        <v>17</v>
      </c>
      <c r="H1958" t="s">
        <v>18</v>
      </c>
      <c r="I1958" t="s">
        <v>25</v>
      </c>
      <c r="J1958" t="s">
        <v>26</v>
      </c>
      <c r="K1958" t="s">
        <v>27</v>
      </c>
      <c r="L1958" t="s">
        <v>22</v>
      </c>
      <c r="M1958">
        <v>5000.6899999999996</v>
      </c>
      <c r="N1958">
        <v>2020</v>
      </c>
      <c r="O1958">
        <v>6</v>
      </c>
    </row>
    <row r="1959" spans="1:15" x14ac:dyDescent="0.3">
      <c r="A1959" s="1">
        <v>43988</v>
      </c>
      <c r="B1959">
        <v>1000000033</v>
      </c>
      <c r="C1959" t="s">
        <v>42</v>
      </c>
      <c r="D1959">
        <v>1</v>
      </c>
      <c r="E1959">
        <v>1000.42</v>
      </c>
      <c r="F1959" t="s">
        <v>16</v>
      </c>
      <c r="G1959" t="s">
        <v>43</v>
      </c>
      <c r="H1959" t="s">
        <v>18</v>
      </c>
      <c r="I1959" t="s">
        <v>25</v>
      </c>
      <c r="J1959" t="s">
        <v>26</v>
      </c>
      <c r="K1959" t="s">
        <v>27</v>
      </c>
      <c r="L1959" t="s">
        <v>22</v>
      </c>
      <c r="M1959">
        <v>1000.42</v>
      </c>
      <c r="N1959">
        <v>2020</v>
      </c>
      <c r="O1959">
        <v>6</v>
      </c>
    </row>
    <row r="1960" spans="1:15" x14ac:dyDescent="0.3">
      <c r="A1960" s="1">
        <v>43988</v>
      </c>
      <c r="B1960">
        <v>1000000036</v>
      </c>
      <c r="C1960" t="s">
        <v>23</v>
      </c>
      <c r="D1960">
        <v>1</v>
      </c>
      <c r="E1960">
        <v>6000.04</v>
      </c>
      <c r="F1960" t="s">
        <v>16</v>
      </c>
      <c r="G1960" t="s">
        <v>24</v>
      </c>
      <c r="H1960" t="s">
        <v>47</v>
      </c>
      <c r="I1960" t="s">
        <v>48</v>
      </c>
      <c r="J1960" t="s">
        <v>36</v>
      </c>
      <c r="K1960" t="s">
        <v>49</v>
      </c>
      <c r="L1960" t="s">
        <v>28</v>
      </c>
      <c r="M1960">
        <v>6000.04</v>
      </c>
      <c r="N1960">
        <v>2020</v>
      </c>
      <c r="O1960">
        <v>6</v>
      </c>
    </row>
    <row r="1961" spans="1:15" x14ac:dyDescent="0.3">
      <c r="A1961" s="1">
        <v>43988</v>
      </c>
      <c r="B1961">
        <v>1000000036</v>
      </c>
      <c r="C1961" t="s">
        <v>15</v>
      </c>
      <c r="D1961">
        <v>1</v>
      </c>
      <c r="E1961">
        <v>17000.13</v>
      </c>
      <c r="F1961" t="s">
        <v>16</v>
      </c>
      <c r="G1961" t="s">
        <v>17</v>
      </c>
      <c r="H1961" t="s">
        <v>47</v>
      </c>
      <c r="I1961" t="s">
        <v>48</v>
      </c>
      <c r="J1961" t="s">
        <v>36</v>
      </c>
      <c r="K1961" t="s">
        <v>49</v>
      </c>
      <c r="L1961" t="s">
        <v>28</v>
      </c>
      <c r="M1961">
        <v>17000.13</v>
      </c>
      <c r="N1961">
        <v>2020</v>
      </c>
      <c r="O1961">
        <v>6</v>
      </c>
    </row>
    <row r="1962" spans="1:15" x14ac:dyDescent="0.3">
      <c r="A1962" s="1">
        <v>43988</v>
      </c>
      <c r="B1962">
        <v>1000000037</v>
      </c>
      <c r="C1962" t="s">
        <v>42</v>
      </c>
      <c r="D1962">
        <v>1</v>
      </c>
      <c r="E1962">
        <v>2400.63</v>
      </c>
      <c r="F1962" t="s">
        <v>16</v>
      </c>
      <c r="G1962" t="s">
        <v>43</v>
      </c>
      <c r="H1962" t="s">
        <v>18</v>
      </c>
      <c r="I1962" t="s">
        <v>19</v>
      </c>
      <c r="J1962" t="s">
        <v>20</v>
      </c>
      <c r="K1962" t="s">
        <v>21</v>
      </c>
      <c r="L1962" t="s">
        <v>22</v>
      </c>
      <c r="M1962">
        <v>2400.63</v>
      </c>
      <c r="N1962">
        <v>2020</v>
      </c>
      <c r="O1962">
        <v>6</v>
      </c>
    </row>
    <row r="1963" spans="1:15" x14ac:dyDescent="0.3">
      <c r="A1963" s="1">
        <v>43988</v>
      </c>
      <c r="B1963">
        <v>1000000039</v>
      </c>
      <c r="C1963" t="s">
        <v>23</v>
      </c>
      <c r="D1963">
        <v>1</v>
      </c>
      <c r="E1963">
        <v>3000.16</v>
      </c>
      <c r="F1963" t="s">
        <v>16</v>
      </c>
      <c r="G1963" t="s">
        <v>24</v>
      </c>
      <c r="H1963" t="s">
        <v>18</v>
      </c>
      <c r="I1963" t="s">
        <v>25</v>
      </c>
      <c r="J1963" t="s">
        <v>20</v>
      </c>
      <c r="K1963" t="s">
        <v>51</v>
      </c>
      <c r="L1963" t="s">
        <v>28</v>
      </c>
      <c r="M1963">
        <v>3000.16</v>
      </c>
      <c r="N1963">
        <v>2020</v>
      </c>
      <c r="O1963">
        <v>6</v>
      </c>
    </row>
    <row r="1964" spans="1:15" x14ac:dyDescent="0.3">
      <c r="A1964" s="1">
        <v>43988</v>
      </c>
      <c r="B1964">
        <v>1000000039</v>
      </c>
      <c r="C1964" t="s">
        <v>15</v>
      </c>
      <c r="D1964">
        <v>1</v>
      </c>
      <c r="E1964">
        <v>12999.93</v>
      </c>
      <c r="F1964" t="s">
        <v>16</v>
      </c>
      <c r="G1964" t="s">
        <v>17</v>
      </c>
      <c r="H1964" t="s">
        <v>18</v>
      </c>
      <c r="I1964" t="s">
        <v>25</v>
      </c>
      <c r="J1964" t="s">
        <v>20</v>
      </c>
      <c r="K1964" t="s">
        <v>51</v>
      </c>
      <c r="L1964" t="s">
        <v>28</v>
      </c>
      <c r="M1964">
        <v>12999.93</v>
      </c>
      <c r="N1964">
        <v>2020</v>
      </c>
      <c r="O1964">
        <v>6</v>
      </c>
    </row>
    <row r="1965" spans="1:15" x14ac:dyDescent="0.3">
      <c r="A1965" s="1">
        <v>43988</v>
      </c>
      <c r="B1965">
        <v>1000000041</v>
      </c>
      <c r="C1965" t="s">
        <v>23</v>
      </c>
      <c r="D1965">
        <v>4</v>
      </c>
      <c r="E1965">
        <v>60001.2</v>
      </c>
      <c r="F1965" t="s">
        <v>16</v>
      </c>
      <c r="G1965" t="s">
        <v>24</v>
      </c>
      <c r="H1965" t="s">
        <v>30</v>
      </c>
      <c r="I1965" t="s">
        <v>31</v>
      </c>
      <c r="J1965" t="s">
        <v>32</v>
      </c>
      <c r="K1965" t="s">
        <v>33</v>
      </c>
      <c r="L1965" t="s">
        <v>22</v>
      </c>
      <c r="M1965">
        <v>15000.3</v>
      </c>
      <c r="N1965">
        <v>2020</v>
      </c>
      <c r="O1965">
        <v>6</v>
      </c>
    </row>
    <row r="1966" spans="1:15" x14ac:dyDescent="0.3">
      <c r="A1966" s="1">
        <v>43988</v>
      </c>
      <c r="B1966">
        <v>1000000041</v>
      </c>
      <c r="C1966" t="s">
        <v>15</v>
      </c>
      <c r="D1966">
        <v>1</v>
      </c>
      <c r="E1966">
        <v>17000.38</v>
      </c>
      <c r="F1966" t="s">
        <v>16</v>
      </c>
      <c r="G1966" t="s">
        <v>17</v>
      </c>
      <c r="H1966" t="s">
        <v>30</v>
      </c>
      <c r="I1966" t="s">
        <v>31</v>
      </c>
      <c r="J1966" t="s">
        <v>32</v>
      </c>
      <c r="K1966" t="s">
        <v>33</v>
      </c>
      <c r="L1966" t="s">
        <v>22</v>
      </c>
      <c r="M1966">
        <v>17000.38</v>
      </c>
      <c r="N1966">
        <v>2020</v>
      </c>
      <c r="O1966">
        <v>6</v>
      </c>
    </row>
    <row r="1967" spans="1:15" x14ac:dyDescent="0.3">
      <c r="A1967" s="1">
        <v>43988</v>
      </c>
      <c r="B1967">
        <v>1000000045</v>
      </c>
      <c r="C1967" t="s">
        <v>23</v>
      </c>
      <c r="D1967">
        <v>2</v>
      </c>
      <c r="E1967">
        <v>31000.73</v>
      </c>
      <c r="F1967" t="s">
        <v>16</v>
      </c>
      <c r="G1967" t="s">
        <v>24</v>
      </c>
      <c r="H1967" t="s">
        <v>47</v>
      </c>
      <c r="I1967" t="s">
        <v>59</v>
      </c>
      <c r="J1967" t="s">
        <v>26</v>
      </c>
      <c r="K1967" t="s">
        <v>60</v>
      </c>
      <c r="L1967" t="s">
        <v>22</v>
      </c>
      <c r="M1967">
        <v>15500.365</v>
      </c>
      <c r="N1967">
        <v>2020</v>
      </c>
      <c r="O1967">
        <v>6</v>
      </c>
    </row>
    <row r="1968" spans="1:15" x14ac:dyDescent="0.3">
      <c r="A1968" s="1">
        <v>43988</v>
      </c>
      <c r="B1968">
        <v>1000000045</v>
      </c>
      <c r="C1968" t="s">
        <v>15</v>
      </c>
      <c r="D1968">
        <v>1</v>
      </c>
      <c r="E1968">
        <v>1031.04</v>
      </c>
      <c r="F1968" t="s">
        <v>16</v>
      </c>
      <c r="G1968" t="s">
        <v>17</v>
      </c>
      <c r="H1968" t="s">
        <v>47</v>
      </c>
      <c r="I1968" t="s">
        <v>59</v>
      </c>
      <c r="J1968" t="s">
        <v>26</v>
      </c>
      <c r="K1968" t="s">
        <v>60</v>
      </c>
      <c r="L1968" t="s">
        <v>22</v>
      </c>
      <c r="M1968">
        <v>1031.04</v>
      </c>
      <c r="N1968">
        <v>2020</v>
      </c>
      <c r="O1968">
        <v>6</v>
      </c>
    </row>
    <row r="1969" spans="1:15" x14ac:dyDescent="0.3">
      <c r="A1969" s="1">
        <v>43988</v>
      </c>
      <c r="B1969">
        <v>1000000046</v>
      </c>
      <c r="C1969" t="s">
        <v>15</v>
      </c>
      <c r="D1969">
        <v>1</v>
      </c>
      <c r="E1969">
        <v>14000.33</v>
      </c>
      <c r="F1969" t="s">
        <v>16</v>
      </c>
      <c r="G1969" t="s">
        <v>17</v>
      </c>
      <c r="H1969" t="s">
        <v>30</v>
      </c>
      <c r="I1969" t="s">
        <v>38</v>
      </c>
      <c r="J1969" t="s">
        <v>26</v>
      </c>
      <c r="K1969" t="s">
        <v>39</v>
      </c>
      <c r="L1969" t="s">
        <v>22</v>
      </c>
      <c r="M1969">
        <v>14000.33</v>
      </c>
      <c r="N1969">
        <v>2020</v>
      </c>
      <c r="O1969">
        <v>6</v>
      </c>
    </row>
    <row r="1970" spans="1:15" x14ac:dyDescent="0.3">
      <c r="A1970" s="1">
        <v>43988</v>
      </c>
      <c r="B1970">
        <v>1000000046</v>
      </c>
      <c r="C1970" t="s">
        <v>42</v>
      </c>
      <c r="D1970">
        <v>1</v>
      </c>
      <c r="E1970">
        <v>1499.96</v>
      </c>
      <c r="F1970" t="s">
        <v>16</v>
      </c>
      <c r="G1970" t="s">
        <v>43</v>
      </c>
      <c r="H1970" t="s">
        <v>30</v>
      </c>
      <c r="I1970" t="s">
        <v>38</v>
      </c>
      <c r="J1970" t="s">
        <v>26</v>
      </c>
      <c r="K1970" t="s">
        <v>39</v>
      </c>
      <c r="L1970" t="s">
        <v>22</v>
      </c>
      <c r="M1970">
        <v>1499.96</v>
      </c>
      <c r="N1970">
        <v>2020</v>
      </c>
      <c r="O1970">
        <v>6</v>
      </c>
    </row>
    <row r="1971" spans="1:15" x14ac:dyDescent="0.3">
      <c r="A1971" s="1">
        <v>43988</v>
      </c>
      <c r="B1971">
        <v>1000000047</v>
      </c>
      <c r="C1971" t="s">
        <v>42</v>
      </c>
      <c r="D1971">
        <v>1</v>
      </c>
      <c r="E1971">
        <v>2268</v>
      </c>
      <c r="F1971" t="s">
        <v>16</v>
      </c>
      <c r="G1971" t="s">
        <v>43</v>
      </c>
      <c r="H1971" t="s">
        <v>47</v>
      </c>
      <c r="I1971" t="s">
        <v>48</v>
      </c>
      <c r="J1971" t="s">
        <v>26</v>
      </c>
      <c r="K1971" t="s">
        <v>50</v>
      </c>
      <c r="L1971" t="s">
        <v>22</v>
      </c>
      <c r="M1971">
        <v>2268</v>
      </c>
      <c r="N1971">
        <v>2020</v>
      </c>
      <c r="O1971">
        <v>6</v>
      </c>
    </row>
    <row r="1972" spans="1:15" x14ac:dyDescent="0.3">
      <c r="A1972" s="1">
        <v>43988</v>
      </c>
      <c r="B1972">
        <v>1000000050</v>
      </c>
      <c r="C1972" t="s">
        <v>23</v>
      </c>
      <c r="D1972">
        <v>1</v>
      </c>
      <c r="E1972">
        <v>8444.68</v>
      </c>
      <c r="F1972" t="s">
        <v>16</v>
      </c>
      <c r="G1972" t="s">
        <v>24</v>
      </c>
      <c r="H1972" t="s">
        <v>18</v>
      </c>
      <c r="I1972" t="s">
        <v>40</v>
      </c>
      <c r="J1972" t="s">
        <v>26</v>
      </c>
      <c r="K1972" t="s">
        <v>41</v>
      </c>
      <c r="L1972" t="s">
        <v>22</v>
      </c>
      <c r="M1972">
        <v>8444.68</v>
      </c>
      <c r="N1972">
        <v>2020</v>
      </c>
      <c r="O1972">
        <v>6</v>
      </c>
    </row>
    <row r="1973" spans="1:15" x14ac:dyDescent="0.3">
      <c r="A1973" s="1">
        <v>43988</v>
      </c>
      <c r="B1973">
        <v>1000000050</v>
      </c>
      <c r="C1973" t="s">
        <v>42</v>
      </c>
      <c r="D1973">
        <v>2</v>
      </c>
      <c r="E1973">
        <v>30000.899999999998</v>
      </c>
      <c r="F1973" t="s">
        <v>16</v>
      </c>
      <c r="G1973" t="s">
        <v>43</v>
      </c>
      <c r="H1973" t="s">
        <v>18</v>
      </c>
      <c r="I1973" t="s">
        <v>40</v>
      </c>
      <c r="J1973" t="s">
        <v>26</v>
      </c>
      <c r="K1973" t="s">
        <v>41</v>
      </c>
      <c r="L1973" t="s">
        <v>22</v>
      </c>
      <c r="M1973">
        <v>15000.449999999999</v>
      </c>
      <c r="N1973">
        <v>2020</v>
      </c>
      <c r="O1973">
        <v>6</v>
      </c>
    </row>
    <row r="1974" spans="1:15" x14ac:dyDescent="0.3">
      <c r="A1974" s="1">
        <v>43988</v>
      </c>
      <c r="B1974">
        <v>1000000054</v>
      </c>
      <c r="C1974" t="s">
        <v>23</v>
      </c>
      <c r="D1974">
        <v>1</v>
      </c>
      <c r="E1974">
        <v>5000.6499999999996</v>
      </c>
      <c r="F1974" t="s">
        <v>16</v>
      </c>
      <c r="G1974" t="s">
        <v>24</v>
      </c>
      <c r="H1974" t="s">
        <v>18</v>
      </c>
      <c r="I1974" t="s">
        <v>34</v>
      </c>
      <c r="J1974" t="s">
        <v>26</v>
      </c>
      <c r="K1974" t="s">
        <v>35</v>
      </c>
      <c r="L1974" t="s">
        <v>22</v>
      </c>
      <c r="M1974">
        <v>5000.6499999999996</v>
      </c>
      <c r="N1974">
        <v>2020</v>
      </c>
      <c r="O1974">
        <v>6</v>
      </c>
    </row>
    <row r="1975" spans="1:15" x14ac:dyDescent="0.3">
      <c r="A1975" s="1">
        <v>43988</v>
      </c>
      <c r="B1975">
        <v>1000000054</v>
      </c>
      <c r="C1975" t="s">
        <v>15</v>
      </c>
      <c r="D1975">
        <v>1</v>
      </c>
      <c r="E1975">
        <v>16000.42</v>
      </c>
      <c r="F1975" t="s">
        <v>16</v>
      </c>
      <c r="G1975" t="s">
        <v>17</v>
      </c>
      <c r="H1975" t="s">
        <v>18</v>
      </c>
      <c r="I1975" t="s">
        <v>34</v>
      </c>
      <c r="J1975" t="s">
        <v>26</v>
      </c>
      <c r="K1975" t="s">
        <v>35</v>
      </c>
      <c r="L1975" t="s">
        <v>22</v>
      </c>
      <c r="M1975">
        <v>16000.42</v>
      </c>
      <c r="N1975">
        <v>2020</v>
      </c>
      <c r="O1975">
        <v>6</v>
      </c>
    </row>
    <row r="1976" spans="1:15" x14ac:dyDescent="0.3">
      <c r="A1976" s="1">
        <v>43988</v>
      </c>
      <c r="B1976">
        <v>1000000056</v>
      </c>
      <c r="C1976" t="s">
        <v>23</v>
      </c>
      <c r="D1976">
        <v>3</v>
      </c>
      <c r="E1976">
        <v>37001.19</v>
      </c>
      <c r="F1976" t="s">
        <v>16</v>
      </c>
      <c r="G1976" t="s">
        <v>24</v>
      </c>
      <c r="H1976" t="s">
        <v>18</v>
      </c>
      <c r="I1976" t="s">
        <v>34</v>
      </c>
      <c r="J1976" t="s">
        <v>26</v>
      </c>
      <c r="K1976" t="s">
        <v>35</v>
      </c>
      <c r="L1976" t="s">
        <v>28</v>
      </c>
      <c r="M1976">
        <v>12333.730000000001</v>
      </c>
      <c r="N1976">
        <v>2020</v>
      </c>
      <c r="O1976">
        <v>6</v>
      </c>
    </row>
    <row r="1977" spans="1:15" x14ac:dyDescent="0.3">
      <c r="A1977" s="1">
        <v>43988</v>
      </c>
      <c r="B1977">
        <v>1000000056</v>
      </c>
      <c r="C1977" t="s">
        <v>15</v>
      </c>
      <c r="D1977">
        <v>1</v>
      </c>
      <c r="E1977">
        <v>6000.4</v>
      </c>
      <c r="F1977" t="s">
        <v>16</v>
      </c>
      <c r="G1977" t="s">
        <v>17</v>
      </c>
      <c r="H1977" t="s">
        <v>18</v>
      </c>
      <c r="I1977" t="s">
        <v>34</v>
      </c>
      <c r="J1977" t="s">
        <v>26</v>
      </c>
      <c r="K1977" t="s">
        <v>35</v>
      </c>
      <c r="L1977" t="s">
        <v>28</v>
      </c>
      <c r="M1977">
        <v>6000.4</v>
      </c>
      <c r="N1977">
        <v>2020</v>
      </c>
      <c r="O1977">
        <v>6</v>
      </c>
    </row>
    <row r="1978" spans="1:15" x14ac:dyDescent="0.3">
      <c r="A1978" s="1">
        <v>43988</v>
      </c>
      <c r="B1978">
        <v>1000000067</v>
      </c>
      <c r="C1978" t="s">
        <v>23</v>
      </c>
      <c r="D1978">
        <v>1</v>
      </c>
      <c r="E1978">
        <v>5000.75</v>
      </c>
      <c r="F1978" t="s">
        <v>16</v>
      </c>
      <c r="G1978" t="s">
        <v>24</v>
      </c>
      <c r="H1978" t="s">
        <v>18</v>
      </c>
      <c r="I1978" t="s">
        <v>25</v>
      </c>
      <c r="J1978" t="s">
        <v>20</v>
      </c>
      <c r="K1978" t="s">
        <v>51</v>
      </c>
      <c r="L1978" t="s">
        <v>22</v>
      </c>
      <c r="M1978">
        <v>5000.75</v>
      </c>
      <c r="N1978">
        <v>2020</v>
      </c>
      <c r="O1978">
        <v>6</v>
      </c>
    </row>
    <row r="1979" spans="1:15" x14ac:dyDescent="0.3">
      <c r="A1979" s="1">
        <v>43988</v>
      </c>
      <c r="B1979">
        <v>1000000067</v>
      </c>
      <c r="C1979" t="s">
        <v>42</v>
      </c>
      <c r="D1979">
        <v>2</v>
      </c>
      <c r="E1979">
        <v>10191.99</v>
      </c>
      <c r="F1979" t="s">
        <v>16</v>
      </c>
      <c r="G1979" t="s">
        <v>43</v>
      </c>
      <c r="H1979" t="s">
        <v>18</v>
      </c>
      <c r="I1979" t="s">
        <v>25</v>
      </c>
      <c r="J1979" t="s">
        <v>20</v>
      </c>
      <c r="K1979" t="s">
        <v>51</v>
      </c>
      <c r="L1979" t="s">
        <v>22</v>
      </c>
      <c r="M1979">
        <v>5095.9949999999999</v>
      </c>
      <c r="N1979">
        <v>2020</v>
      </c>
      <c r="O1979">
        <v>6</v>
      </c>
    </row>
    <row r="1980" spans="1:15" x14ac:dyDescent="0.3">
      <c r="A1980" s="1">
        <v>43988</v>
      </c>
      <c r="B1980">
        <v>1000000068</v>
      </c>
      <c r="C1980" t="s">
        <v>23</v>
      </c>
      <c r="D1980">
        <v>1</v>
      </c>
      <c r="E1980">
        <v>17999.95</v>
      </c>
      <c r="F1980" t="s">
        <v>16</v>
      </c>
      <c r="G1980" t="s">
        <v>24</v>
      </c>
      <c r="H1980" t="s">
        <v>30</v>
      </c>
      <c r="I1980" t="s">
        <v>55</v>
      </c>
      <c r="J1980" t="s">
        <v>26</v>
      </c>
      <c r="K1980" t="s">
        <v>56</v>
      </c>
      <c r="L1980" t="s">
        <v>28</v>
      </c>
      <c r="M1980">
        <v>17999.95</v>
      </c>
      <c r="N1980">
        <v>2020</v>
      </c>
      <c r="O1980">
        <v>6</v>
      </c>
    </row>
    <row r="1981" spans="1:15" x14ac:dyDescent="0.3">
      <c r="A1981" s="1">
        <v>43988</v>
      </c>
      <c r="B1981">
        <v>1000000104</v>
      </c>
      <c r="C1981" t="s">
        <v>23</v>
      </c>
      <c r="D1981">
        <v>1</v>
      </c>
      <c r="E1981">
        <v>5500.73</v>
      </c>
      <c r="F1981" t="s">
        <v>16</v>
      </c>
      <c r="G1981" t="s">
        <v>24</v>
      </c>
      <c r="H1981" t="s">
        <v>18</v>
      </c>
      <c r="I1981" t="s">
        <v>40</v>
      </c>
      <c r="J1981" t="s">
        <v>26</v>
      </c>
      <c r="K1981" t="s">
        <v>41</v>
      </c>
      <c r="L1981" t="s">
        <v>22</v>
      </c>
      <c r="M1981">
        <v>5500.73</v>
      </c>
      <c r="N1981">
        <v>2020</v>
      </c>
      <c r="O1981">
        <v>6</v>
      </c>
    </row>
    <row r="1982" spans="1:15" x14ac:dyDescent="0.3">
      <c r="A1982" s="1">
        <v>43988</v>
      </c>
      <c r="B1982">
        <v>1000000237</v>
      </c>
      <c r="C1982" t="s">
        <v>23</v>
      </c>
      <c r="D1982">
        <v>1</v>
      </c>
      <c r="E1982">
        <v>950.6</v>
      </c>
      <c r="F1982" t="s">
        <v>16</v>
      </c>
      <c r="G1982" t="s">
        <v>24</v>
      </c>
      <c r="H1982" t="s">
        <v>18</v>
      </c>
      <c r="I1982" t="s">
        <v>40</v>
      </c>
      <c r="J1982" t="s">
        <v>26</v>
      </c>
      <c r="K1982" t="s">
        <v>41</v>
      </c>
      <c r="L1982" t="s">
        <v>22</v>
      </c>
      <c r="M1982">
        <v>950.6</v>
      </c>
      <c r="N1982">
        <v>2020</v>
      </c>
      <c r="O1982">
        <v>6</v>
      </c>
    </row>
    <row r="1983" spans="1:15" x14ac:dyDescent="0.3">
      <c r="A1983" s="1">
        <v>43988</v>
      </c>
      <c r="B1983">
        <v>1000000237</v>
      </c>
      <c r="C1983" t="s">
        <v>15</v>
      </c>
      <c r="D1983">
        <v>1</v>
      </c>
      <c r="E1983">
        <v>10000.56</v>
      </c>
      <c r="F1983" t="s">
        <v>16</v>
      </c>
      <c r="G1983" t="s">
        <v>17</v>
      </c>
      <c r="H1983" t="s">
        <v>18</v>
      </c>
      <c r="I1983" t="s">
        <v>40</v>
      </c>
      <c r="J1983" t="s">
        <v>26</v>
      </c>
      <c r="K1983" t="s">
        <v>41</v>
      </c>
      <c r="L1983" t="s">
        <v>22</v>
      </c>
      <c r="M1983">
        <v>10000.56</v>
      </c>
      <c r="N1983">
        <v>2020</v>
      </c>
      <c r="O1983">
        <v>6</v>
      </c>
    </row>
    <row r="1984" spans="1:15" x14ac:dyDescent="0.3">
      <c r="A1984" s="1">
        <v>43988</v>
      </c>
      <c r="B1984">
        <v>1000000566</v>
      </c>
      <c r="C1984" t="s">
        <v>15</v>
      </c>
      <c r="D1984">
        <v>1</v>
      </c>
      <c r="E1984">
        <v>6000.3</v>
      </c>
      <c r="F1984" t="s">
        <v>16</v>
      </c>
      <c r="G1984" t="s">
        <v>17</v>
      </c>
      <c r="H1984" t="s">
        <v>47</v>
      </c>
      <c r="I1984" t="s">
        <v>48</v>
      </c>
      <c r="J1984" t="s">
        <v>36</v>
      </c>
      <c r="K1984" t="s">
        <v>49</v>
      </c>
      <c r="L1984" t="s">
        <v>22</v>
      </c>
      <c r="M1984">
        <v>6000.3</v>
      </c>
      <c r="N1984">
        <v>2020</v>
      </c>
      <c r="O1984">
        <v>6</v>
      </c>
    </row>
    <row r="1985" spans="1:15" x14ac:dyDescent="0.3">
      <c r="A1985" s="1">
        <v>43988</v>
      </c>
      <c r="B1985">
        <v>1000000594</v>
      </c>
      <c r="C1985" t="s">
        <v>15</v>
      </c>
      <c r="D1985">
        <v>1</v>
      </c>
      <c r="E1985">
        <v>22000.5</v>
      </c>
      <c r="F1985" t="s">
        <v>16</v>
      </c>
      <c r="G1985" t="s">
        <v>17</v>
      </c>
      <c r="H1985" t="s">
        <v>18</v>
      </c>
      <c r="I1985" t="s">
        <v>25</v>
      </c>
      <c r="J1985" t="s">
        <v>20</v>
      </c>
      <c r="K1985" t="s">
        <v>51</v>
      </c>
      <c r="L1985" t="s">
        <v>22</v>
      </c>
      <c r="M1985">
        <v>22000.5</v>
      </c>
      <c r="N1985">
        <v>2020</v>
      </c>
      <c r="O1985">
        <v>6</v>
      </c>
    </row>
    <row r="1986" spans="1:15" x14ac:dyDescent="0.3">
      <c r="A1986" s="1">
        <v>43988</v>
      </c>
      <c r="B1986">
        <v>1000000928</v>
      </c>
      <c r="C1986" t="s">
        <v>23</v>
      </c>
      <c r="D1986">
        <v>1</v>
      </c>
      <c r="E1986">
        <v>25000.44</v>
      </c>
      <c r="F1986" t="s">
        <v>16</v>
      </c>
      <c r="G1986" t="s">
        <v>24</v>
      </c>
      <c r="H1986" t="s">
        <v>30</v>
      </c>
      <c r="I1986" t="s">
        <v>57</v>
      </c>
      <c r="J1986" t="s">
        <v>26</v>
      </c>
      <c r="K1986" t="s">
        <v>58</v>
      </c>
      <c r="L1986" t="s">
        <v>22</v>
      </c>
      <c r="M1986">
        <v>25000.44</v>
      </c>
      <c r="N1986">
        <v>2020</v>
      </c>
      <c r="O1986">
        <v>6</v>
      </c>
    </row>
    <row r="1987" spans="1:15" x14ac:dyDescent="0.3">
      <c r="A1987" s="1">
        <v>43988</v>
      </c>
      <c r="B1987">
        <v>1000001513</v>
      </c>
      <c r="C1987" t="s">
        <v>23</v>
      </c>
      <c r="D1987">
        <v>2</v>
      </c>
      <c r="E1987">
        <v>9500.41</v>
      </c>
      <c r="F1987" t="s">
        <v>16</v>
      </c>
      <c r="G1987" t="s">
        <v>24</v>
      </c>
      <c r="H1987" t="s">
        <v>18</v>
      </c>
      <c r="I1987" t="s">
        <v>34</v>
      </c>
      <c r="J1987" t="s">
        <v>20</v>
      </c>
      <c r="K1987" t="s">
        <v>44</v>
      </c>
      <c r="L1987" t="s">
        <v>22</v>
      </c>
      <c r="M1987">
        <v>4750.2049999999999</v>
      </c>
      <c r="N1987">
        <v>2020</v>
      </c>
      <c r="O1987">
        <v>6</v>
      </c>
    </row>
    <row r="1988" spans="1:15" x14ac:dyDescent="0.3">
      <c r="A1988" s="1">
        <v>43988</v>
      </c>
      <c r="B1988">
        <v>1000003489</v>
      </c>
      <c r="C1988" t="s">
        <v>23</v>
      </c>
      <c r="D1988">
        <v>1</v>
      </c>
      <c r="E1988">
        <v>7500.09</v>
      </c>
      <c r="F1988" t="s">
        <v>16</v>
      </c>
      <c r="G1988" t="s">
        <v>24</v>
      </c>
      <c r="H1988" t="s">
        <v>47</v>
      </c>
      <c r="I1988" t="s">
        <v>48</v>
      </c>
      <c r="J1988" t="s">
        <v>26</v>
      </c>
      <c r="K1988" t="s">
        <v>50</v>
      </c>
      <c r="L1988" t="s">
        <v>22</v>
      </c>
      <c r="M1988">
        <v>7500.09</v>
      </c>
      <c r="N1988">
        <v>2020</v>
      </c>
      <c r="O1988">
        <v>6</v>
      </c>
    </row>
    <row r="1989" spans="1:15" x14ac:dyDescent="0.3">
      <c r="A1989" s="1">
        <v>43988</v>
      </c>
      <c r="B1989">
        <v>1000003803</v>
      </c>
      <c r="C1989" t="s">
        <v>15</v>
      </c>
      <c r="D1989">
        <v>1</v>
      </c>
      <c r="E1989">
        <v>4999.9799999999996</v>
      </c>
      <c r="F1989" t="s">
        <v>16</v>
      </c>
      <c r="G1989" t="s">
        <v>17</v>
      </c>
      <c r="H1989" t="s">
        <v>30</v>
      </c>
      <c r="I1989" t="s">
        <v>31</v>
      </c>
      <c r="J1989" t="s">
        <v>36</v>
      </c>
      <c r="K1989" t="s">
        <v>52</v>
      </c>
      <c r="L1989" t="s">
        <v>22</v>
      </c>
      <c r="M1989">
        <v>4999.9799999999996</v>
      </c>
      <c r="N1989">
        <v>2020</v>
      </c>
      <c r="O1989">
        <v>6</v>
      </c>
    </row>
    <row r="1990" spans="1:15" x14ac:dyDescent="0.3">
      <c r="A1990" s="1">
        <v>43988</v>
      </c>
      <c r="B1990">
        <v>1000003926</v>
      </c>
      <c r="C1990" t="s">
        <v>15</v>
      </c>
      <c r="D1990">
        <v>5</v>
      </c>
      <c r="E1990">
        <v>34501.230000000003</v>
      </c>
      <c r="F1990" t="s">
        <v>16</v>
      </c>
      <c r="G1990" t="s">
        <v>17</v>
      </c>
      <c r="H1990" t="s">
        <v>47</v>
      </c>
      <c r="I1990" t="s">
        <v>48</v>
      </c>
      <c r="J1990" t="s">
        <v>26</v>
      </c>
      <c r="K1990" t="s">
        <v>50</v>
      </c>
      <c r="L1990" t="s">
        <v>28</v>
      </c>
      <c r="M1990">
        <v>6900.246000000001</v>
      </c>
      <c r="N1990">
        <v>2020</v>
      </c>
      <c r="O1990">
        <v>6</v>
      </c>
    </row>
    <row r="1991" spans="1:15" x14ac:dyDescent="0.3">
      <c r="A1991" s="1">
        <v>43988</v>
      </c>
      <c r="B1991">
        <v>1000004170</v>
      </c>
      <c r="C1991" t="s">
        <v>23</v>
      </c>
      <c r="D1991">
        <v>3</v>
      </c>
      <c r="E1991">
        <v>39000.81</v>
      </c>
      <c r="F1991" t="s">
        <v>16</v>
      </c>
      <c r="G1991" t="s">
        <v>24</v>
      </c>
      <c r="H1991" t="s">
        <v>18</v>
      </c>
      <c r="I1991" t="s">
        <v>34</v>
      </c>
      <c r="J1991" t="s">
        <v>20</v>
      </c>
      <c r="K1991" t="s">
        <v>44</v>
      </c>
      <c r="L1991" t="s">
        <v>28</v>
      </c>
      <c r="M1991">
        <v>13000.269999999999</v>
      </c>
      <c r="N1991">
        <v>2020</v>
      </c>
      <c r="O1991">
        <v>6</v>
      </c>
    </row>
    <row r="1992" spans="1:15" x14ac:dyDescent="0.3">
      <c r="A1992" s="1">
        <v>43988</v>
      </c>
      <c r="B1992">
        <v>1000004256</v>
      </c>
      <c r="C1992" t="s">
        <v>42</v>
      </c>
      <c r="D1992">
        <v>1</v>
      </c>
      <c r="E1992">
        <v>25000.34</v>
      </c>
      <c r="F1992" t="s">
        <v>16</v>
      </c>
      <c r="G1992" t="s">
        <v>43</v>
      </c>
      <c r="H1992" t="s">
        <v>18</v>
      </c>
      <c r="I1992" t="s">
        <v>40</v>
      </c>
      <c r="J1992" t="s">
        <v>26</v>
      </c>
      <c r="K1992" t="s">
        <v>41</v>
      </c>
      <c r="L1992" t="s">
        <v>22</v>
      </c>
      <c r="M1992">
        <v>25000.34</v>
      </c>
      <c r="N1992">
        <v>2020</v>
      </c>
      <c r="O1992">
        <v>6</v>
      </c>
    </row>
    <row r="1993" spans="1:15" x14ac:dyDescent="0.3">
      <c r="A1993" s="1">
        <v>43988</v>
      </c>
      <c r="B1993">
        <v>1000006064</v>
      </c>
      <c r="C1993" t="s">
        <v>23</v>
      </c>
      <c r="D1993">
        <v>1</v>
      </c>
      <c r="E1993">
        <v>6000.41</v>
      </c>
      <c r="F1993" t="s">
        <v>16</v>
      </c>
      <c r="G1993" t="s">
        <v>24</v>
      </c>
      <c r="H1993" t="s">
        <v>18</v>
      </c>
      <c r="I1993" t="s">
        <v>40</v>
      </c>
      <c r="J1993" t="s">
        <v>26</v>
      </c>
      <c r="K1993" t="s">
        <v>41</v>
      </c>
      <c r="L1993" t="s">
        <v>22</v>
      </c>
      <c r="M1993">
        <v>6000.41</v>
      </c>
      <c r="N1993">
        <v>2020</v>
      </c>
      <c r="O1993">
        <v>6</v>
      </c>
    </row>
    <row r="1994" spans="1:15" x14ac:dyDescent="0.3">
      <c r="A1994" s="1">
        <v>43988</v>
      </c>
      <c r="B1994">
        <v>1000006064</v>
      </c>
      <c r="C1994" t="s">
        <v>42</v>
      </c>
      <c r="D1994">
        <v>1</v>
      </c>
      <c r="E1994">
        <v>5500.15</v>
      </c>
      <c r="F1994" t="s">
        <v>16</v>
      </c>
      <c r="G1994" t="s">
        <v>43</v>
      </c>
      <c r="H1994" t="s">
        <v>18</v>
      </c>
      <c r="I1994" t="s">
        <v>40</v>
      </c>
      <c r="J1994" t="s">
        <v>26</v>
      </c>
      <c r="K1994" t="s">
        <v>41</v>
      </c>
      <c r="L1994" t="s">
        <v>22</v>
      </c>
      <c r="M1994">
        <v>5500.15</v>
      </c>
      <c r="N1994">
        <v>2020</v>
      </c>
      <c r="O1994">
        <v>6</v>
      </c>
    </row>
    <row r="1995" spans="1:15" x14ac:dyDescent="0.3">
      <c r="A1995" s="1">
        <v>43988</v>
      </c>
      <c r="B1995">
        <v>1000006869</v>
      </c>
      <c r="C1995" t="s">
        <v>23</v>
      </c>
      <c r="D1995">
        <v>1</v>
      </c>
      <c r="E1995">
        <v>6500.66</v>
      </c>
      <c r="F1995" t="s">
        <v>16</v>
      </c>
      <c r="G1995" t="s">
        <v>24</v>
      </c>
      <c r="H1995" t="s">
        <v>18</v>
      </c>
      <c r="I1995" t="s">
        <v>61</v>
      </c>
      <c r="J1995" t="s">
        <v>26</v>
      </c>
      <c r="K1995" t="s">
        <v>62</v>
      </c>
      <c r="L1995" t="s">
        <v>22</v>
      </c>
      <c r="M1995">
        <v>6500.66</v>
      </c>
      <c r="N1995">
        <v>2020</v>
      </c>
      <c r="O1995">
        <v>6</v>
      </c>
    </row>
    <row r="1996" spans="1:15" x14ac:dyDescent="0.3">
      <c r="A1996" s="1">
        <v>43988</v>
      </c>
      <c r="B1996">
        <v>1000007197</v>
      </c>
      <c r="C1996" t="s">
        <v>15</v>
      </c>
      <c r="D1996">
        <v>1</v>
      </c>
      <c r="E1996">
        <v>7500.52</v>
      </c>
      <c r="F1996" t="s">
        <v>16</v>
      </c>
      <c r="G1996" t="s">
        <v>17</v>
      </c>
      <c r="H1996" t="s">
        <v>18</v>
      </c>
      <c r="I1996" t="s">
        <v>40</v>
      </c>
      <c r="J1996" t="s">
        <v>26</v>
      </c>
      <c r="K1996" t="s">
        <v>41</v>
      </c>
      <c r="L1996" t="s">
        <v>22</v>
      </c>
      <c r="M1996">
        <v>7500.52</v>
      </c>
      <c r="N1996">
        <v>2020</v>
      </c>
      <c r="O1996">
        <v>6</v>
      </c>
    </row>
    <row r="1997" spans="1:15" x14ac:dyDescent="0.3">
      <c r="A1997" s="1">
        <v>43988</v>
      </c>
      <c r="B1997">
        <v>1000007197</v>
      </c>
      <c r="C1997" t="s">
        <v>42</v>
      </c>
      <c r="D1997">
        <v>1</v>
      </c>
      <c r="E1997">
        <v>12000.54</v>
      </c>
      <c r="F1997" t="s">
        <v>16</v>
      </c>
      <c r="G1997" t="s">
        <v>43</v>
      </c>
      <c r="H1997" t="s">
        <v>18</v>
      </c>
      <c r="I1997" t="s">
        <v>40</v>
      </c>
      <c r="J1997" t="s">
        <v>26</v>
      </c>
      <c r="K1997" t="s">
        <v>41</v>
      </c>
      <c r="L1997" t="s">
        <v>22</v>
      </c>
      <c r="M1997">
        <v>12000.54</v>
      </c>
      <c r="N1997">
        <v>2020</v>
      </c>
      <c r="O1997">
        <v>6</v>
      </c>
    </row>
    <row r="1998" spans="1:15" x14ac:dyDescent="0.3">
      <c r="A1998" s="1">
        <v>43988</v>
      </c>
      <c r="B1998">
        <v>1000008239</v>
      </c>
      <c r="C1998" t="s">
        <v>42</v>
      </c>
      <c r="D1998">
        <v>1</v>
      </c>
      <c r="E1998">
        <v>1000.46</v>
      </c>
      <c r="F1998" t="s">
        <v>16</v>
      </c>
      <c r="G1998" t="s">
        <v>43</v>
      </c>
      <c r="H1998" t="s">
        <v>18</v>
      </c>
      <c r="I1998" t="s">
        <v>61</v>
      </c>
      <c r="J1998" t="s">
        <v>26</v>
      </c>
      <c r="K1998" t="s">
        <v>62</v>
      </c>
      <c r="L1998" t="s">
        <v>28</v>
      </c>
      <c r="M1998">
        <v>1000.46</v>
      </c>
      <c r="N1998">
        <v>2020</v>
      </c>
      <c r="O1998">
        <v>6</v>
      </c>
    </row>
    <row r="1999" spans="1:15" x14ac:dyDescent="0.3">
      <c r="A1999" s="1">
        <v>43988</v>
      </c>
      <c r="B1999">
        <v>1000010881</v>
      </c>
      <c r="C1999" t="s">
        <v>23</v>
      </c>
      <c r="D1999">
        <v>1</v>
      </c>
      <c r="E1999">
        <v>2500.62</v>
      </c>
      <c r="F1999" t="s">
        <v>16</v>
      </c>
      <c r="G1999" t="s">
        <v>24</v>
      </c>
      <c r="H1999" t="s">
        <v>47</v>
      </c>
      <c r="I1999" t="s">
        <v>48</v>
      </c>
      <c r="J1999" t="s">
        <v>26</v>
      </c>
      <c r="K1999" t="s">
        <v>50</v>
      </c>
      <c r="L1999" t="s">
        <v>22</v>
      </c>
      <c r="M1999">
        <v>2500.62</v>
      </c>
      <c r="N1999">
        <v>2020</v>
      </c>
      <c r="O1999">
        <v>6</v>
      </c>
    </row>
    <row r="2000" spans="1:15" x14ac:dyDescent="0.3">
      <c r="A2000" s="1">
        <v>43988</v>
      </c>
      <c r="B2000">
        <v>1000011697</v>
      </c>
      <c r="C2000" t="s">
        <v>15</v>
      </c>
      <c r="D2000">
        <v>1</v>
      </c>
      <c r="E2000">
        <v>6000.56</v>
      </c>
      <c r="F2000" t="s">
        <v>16</v>
      </c>
      <c r="G2000" t="s">
        <v>17</v>
      </c>
      <c r="H2000" t="s">
        <v>18</v>
      </c>
      <c r="I2000" t="s">
        <v>34</v>
      </c>
      <c r="J2000" t="s">
        <v>20</v>
      </c>
      <c r="K2000" t="s">
        <v>44</v>
      </c>
      <c r="L2000" t="s">
        <v>22</v>
      </c>
      <c r="M2000">
        <v>6000.56</v>
      </c>
      <c r="N2000">
        <v>2020</v>
      </c>
      <c r="O2000">
        <v>6</v>
      </c>
    </row>
    <row r="2001" spans="1:15" x14ac:dyDescent="0.3">
      <c r="A2001" s="1">
        <v>43988</v>
      </c>
      <c r="B2001">
        <v>1000011698</v>
      </c>
      <c r="C2001" t="s">
        <v>23</v>
      </c>
      <c r="D2001">
        <v>2</v>
      </c>
      <c r="E2001">
        <v>38000.35</v>
      </c>
      <c r="F2001" t="s">
        <v>16</v>
      </c>
      <c r="G2001" t="s">
        <v>24</v>
      </c>
      <c r="H2001" t="s">
        <v>18</v>
      </c>
      <c r="I2001" t="s">
        <v>34</v>
      </c>
      <c r="J2001" t="s">
        <v>20</v>
      </c>
      <c r="K2001" t="s">
        <v>44</v>
      </c>
      <c r="L2001" t="s">
        <v>22</v>
      </c>
      <c r="M2001">
        <v>19000.174999999999</v>
      </c>
      <c r="N2001">
        <v>2020</v>
      </c>
      <c r="O2001">
        <v>6</v>
      </c>
    </row>
    <row r="2002" spans="1:15" x14ac:dyDescent="0.3">
      <c r="A2002" s="1">
        <v>43988</v>
      </c>
      <c r="B2002">
        <v>1000012096</v>
      </c>
      <c r="C2002" t="s">
        <v>23</v>
      </c>
      <c r="D2002">
        <v>1</v>
      </c>
      <c r="E2002">
        <v>24999.99</v>
      </c>
      <c r="F2002" t="s">
        <v>16</v>
      </c>
      <c r="G2002" t="s">
        <v>24</v>
      </c>
      <c r="H2002" t="s">
        <v>18</v>
      </c>
      <c r="I2002" t="s">
        <v>19</v>
      </c>
      <c r="J2002" t="s">
        <v>26</v>
      </c>
      <c r="K2002" t="s">
        <v>29</v>
      </c>
      <c r="L2002" t="s">
        <v>22</v>
      </c>
      <c r="M2002">
        <v>24999.99</v>
      </c>
      <c r="N2002">
        <v>2020</v>
      </c>
      <c r="O2002">
        <v>6</v>
      </c>
    </row>
    <row r="2003" spans="1:15" x14ac:dyDescent="0.3">
      <c r="A2003" s="1">
        <v>43988</v>
      </c>
      <c r="B2003">
        <v>1000012099</v>
      </c>
      <c r="C2003" t="s">
        <v>15</v>
      </c>
      <c r="D2003">
        <v>2</v>
      </c>
      <c r="E2003">
        <v>39000.380000000005</v>
      </c>
      <c r="F2003" t="s">
        <v>16</v>
      </c>
      <c r="G2003" t="s">
        <v>17</v>
      </c>
      <c r="H2003" t="s">
        <v>18</v>
      </c>
      <c r="I2003" t="s">
        <v>19</v>
      </c>
      <c r="J2003" t="s">
        <v>20</v>
      </c>
      <c r="K2003" t="s">
        <v>21</v>
      </c>
      <c r="L2003" t="s">
        <v>22</v>
      </c>
      <c r="M2003">
        <v>19500.190000000002</v>
      </c>
      <c r="N2003">
        <v>2020</v>
      </c>
      <c r="O2003">
        <v>6</v>
      </c>
    </row>
    <row r="2004" spans="1:15" x14ac:dyDescent="0.3">
      <c r="A2004" s="1">
        <v>43988</v>
      </c>
      <c r="B2004">
        <v>1000012112</v>
      </c>
      <c r="C2004" t="s">
        <v>23</v>
      </c>
      <c r="D2004">
        <v>1</v>
      </c>
      <c r="E2004">
        <v>19999.990000000002</v>
      </c>
      <c r="F2004" t="s">
        <v>16</v>
      </c>
      <c r="G2004" t="s">
        <v>24</v>
      </c>
      <c r="H2004" t="s">
        <v>18</v>
      </c>
      <c r="I2004" t="s">
        <v>19</v>
      </c>
      <c r="J2004" t="s">
        <v>36</v>
      </c>
      <c r="K2004" t="s">
        <v>64</v>
      </c>
      <c r="L2004" t="s">
        <v>28</v>
      </c>
      <c r="M2004">
        <v>19999.990000000002</v>
      </c>
      <c r="N2004">
        <v>2020</v>
      </c>
      <c r="O2004">
        <v>6</v>
      </c>
    </row>
    <row r="2005" spans="1:15" x14ac:dyDescent="0.3">
      <c r="A2005" s="1">
        <v>43988</v>
      </c>
      <c r="B2005">
        <v>1000012112</v>
      </c>
      <c r="C2005" t="s">
        <v>15</v>
      </c>
      <c r="D2005">
        <v>1</v>
      </c>
      <c r="E2005">
        <v>20000.13</v>
      </c>
      <c r="F2005" t="s">
        <v>16</v>
      </c>
      <c r="G2005" t="s">
        <v>17</v>
      </c>
      <c r="H2005" t="s">
        <v>18</v>
      </c>
      <c r="I2005" t="s">
        <v>19</v>
      </c>
      <c r="J2005" t="s">
        <v>36</v>
      </c>
      <c r="K2005" t="s">
        <v>64</v>
      </c>
      <c r="L2005" t="s">
        <v>28</v>
      </c>
      <c r="M2005">
        <v>20000.13</v>
      </c>
      <c r="N2005">
        <v>2020</v>
      </c>
      <c r="O2005">
        <v>6</v>
      </c>
    </row>
    <row r="2006" spans="1:15" x14ac:dyDescent="0.3">
      <c r="A2006" s="1">
        <v>43988</v>
      </c>
      <c r="B2006">
        <v>1000012124</v>
      </c>
      <c r="C2006" t="s">
        <v>23</v>
      </c>
      <c r="D2006">
        <v>2</v>
      </c>
      <c r="E2006">
        <v>12000.52</v>
      </c>
      <c r="F2006" t="s">
        <v>16</v>
      </c>
      <c r="G2006" t="s">
        <v>24</v>
      </c>
      <c r="H2006" t="s">
        <v>18</v>
      </c>
      <c r="I2006" t="s">
        <v>19</v>
      </c>
      <c r="J2006" t="s">
        <v>26</v>
      </c>
      <c r="K2006" t="s">
        <v>29</v>
      </c>
      <c r="L2006" t="s">
        <v>22</v>
      </c>
      <c r="M2006">
        <v>6000.26</v>
      </c>
      <c r="N2006">
        <v>2020</v>
      </c>
      <c r="O2006">
        <v>6</v>
      </c>
    </row>
    <row r="2007" spans="1:15" x14ac:dyDescent="0.3">
      <c r="A2007" s="1">
        <v>43988</v>
      </c>
      <c r="B2007">
        <v>1000012313</v>
      </c>
      <c r="C2007" t="s">
        <v>15</v>
      </c>
      <c r="D2007">
        <v>1</v>
      </c>
      <c r="E2007">
        <v>20000.61</v>
      </c>
      <c r="F2007" t="s">
        <v>16</v>
      </c>
      <c r="G2007" t="s">
        <v>17</v>
      </c>
      <c r="H2007" t="s">
        <v>47</v>
      </c>
      <c r="I2007" t="s">
        <v>65</v>
      </c>
      <c r="J2007" t="s">
        <v>26</v>
      </c>
      <c r="K2007" t="s">
        <v>66</v>
      </c>
      <c r="L2007" t="s">
        <v>22</v>
      </c>
      <c r="M2007">
        <v>20000.61</v>
      </c>
      <c r="N2007">
        <v>2020</v>
      </c>
      <c r="O2007">
        <v>6</v>
      </c>
    </row>
    <row r="2008" spans="1:15" x14ac:dyDescent="0.3">
      <c r="A2008" s="1">
        <v>43988</v>
      </c>
      <c r="B2008">
        <v>1000012446</v>
      </c>
      <c r="C2008" t="s">
        <v>42</v>
      </c>
      <c r="D2008">
        <v>1</v>
      </c>
      <c r="E2008">
        <v>25000.240000000002</v>
      </c>
      <c r="F2008" t="s">
        <v>16</v>
      </c>
      <c r="G2008" t="s">
        <v>43</v>
      </c>
      <c r="H2008" t="s">
        <v>30</v>
      </c>
      <c r="I2008" t="s">
        <v>31</v>
      </c>
      <c r="J2008" t="s">
        <v>36</v>
      </c>
      <c r="K2008" t="s">
        <v>52</v>
      </c>
      <c r="L2008" t="s">
        <v>22</v>
      </c>
      <c r="M2008">
        <v>25000.240000000002</v>
      </c>
      <c r="N2008">
        <v>2020</v>
      </c>
      <c r="O2008">
        <v>6</v>
      </c>
    </row>
    <row r="2009" spans="1:15" x14ac:dyDescent="0.3">
      <c r="A2009" s="1">
        <v>43989</v>
      </c>
      <c r="B2009">
        <v>1000000029</v>
      </c>
      <c r="C2009" t="s">
        <v>23</v>
      </c>
      <c r="D2009">
        <v>2</v>
      </c>
      <c r="E2009">
        <v>8162.01</v>
      </c>
      <c r="F2009" t="s">
        <v>16</v>
      </c>
      <c r="G2009" t="s">
        <v>24</v>
      </c>
      <c r="H2009" t="s">
        <v>18</v>
      </c>
      <c r="I2009" t="s">
        <v>19</v>
      </c>
      <c r="J2009" t="s">
        <v>20</v>
      </c>
      <c r="K2009" t="s">
        <v>21</v>
      </c>
      <c r="L2009" t="s">
        <v>22</v>
      </c>
      <c r="M2009">
        <v>4081.0050000000001</v>
      </c>
      <c r="N2009">
        <v>2020</v>
      </c>
      <c r="O2009">
        <v>6</v>
      </c>
    </row>
    <row r="2010" spans="1:15" x14ac:dyDescent="0.3">
      <c r="A2010" s="1">
        <v>43989</v>
      </c>
      <c r="B2010">
        <v>1000000029</v>
      </c>
      <c r="C2010" t="s">
        <v>15</v>
      </c>
      <c r="D2010">
        <v>2</v>
      </c>
      <c r="E2010">
        <v>15500.75</v>
      </c>
      <c r="F2010" t="s">
        <v>16</v>
      </c>
      <c r="G2010" t="s">
        <v>17</v>
      </c>
      <c r="H2010" t="s">
        <v>18</v>
      </c>
      <c r="I2010" t="s">
        <v>19</v>
      </c>
      <c r="J2010" t="s">
        <v>20</v>
      </c>
      <c r="K2010" t="s">
        <v>21</v>
      </c>
      <c r="L2010" t="s">
        <v>22</v>
      </c>
      <c r="M2010">
        <v>7750.375</v>
      </c>
      <c r="N2010">
        <v>2020</v>
      </c>
      <c r="O2010">
        <v>6</v>
      </c>
    </row>
    <row r="2011" spans="1:15" x14ac:dyDescent="0.3">
      <c r="A2011" s="1">
        <v>43989</v>
      </c>
      <c r="B2011">
        <v>1000000031</v>
      </c>
      <c r="C2011" t="s">
        <v>15</v>
      </c>
      <c r="D2011">
        <v>2</v>
      </c>
      <c r="E2011">
        <v>18500.25</v>
      </c>
      <c r="F2011" t="s">
        <v>16</v>
      </c>
      <c r="G2011" t="s">
        <v>17</v>
      </c>
      <c r="H2011" t="s">
        <v>18</v>
      </c>
      <c r="I2011" t="s">
        <v>19</v>
      </c>
      <c r="J2011" t="s">
        <v>26</v>
      </c>
      <c r="K2011" t="s">
        <v>29</v>
      </c>
      <c r="L2011" t="s">
        <v>28</v>
      </c>
      <c r="M2011">
        <v>9250.125</v>
      </c>
      <c r="N2011">
        <v>2020</v>
      </c>
      <c r="O2011">
        <v>6</v>
      </c>
    </row>
    <row r="2012" spans="1:15" x14ac:dyDescent="0.3">
      <c r="A2012" s="1">
        <v>43989</v>
      </c>
      <c r="B2012">
        <v>1000000035</v>
      </c>
      <c r="C2012" t="s">
        <v>42</v>
      </c>
      <c r="D2012">
        <v>1</v>
      </c>
      <c r="E2012">
        <v>1400.53</v>
      </c>
      <c r="F2012" t="s">
        <v>16</v>
      </c>
      <c r="G2012" t="s">
        <v>43</v>
      </c>
      <c r="H2012" t="s">
        <v>18</v>
      </c>
      <c r="I2012" t="s">
        <v>25</v>
      </c>
      <c r="J2012" t="s">
        <v>36</v>
      </c>
      <c r="K2012" t="s">
        <v>37</v>
      </c>
      <c r="L2012" t="s">
        <v>22</v>
      </c>
      <c r="M2012">
        <v>1400.53</v>
      </c>
      <c r="N2012">
        <v>2020</v>
      </c>
      <c r="O2012">
        <v>6</v>
      </c>
    </row>
    <row r="2013" spans="1:15" x14ac:dyDescent="0.3">
      <c r="A2013" s="1">
        <v>43989</v>
      </c>
      <c r="B2013">
        <v>1000000036</v>
      </c>
      <c r="C2013" t="s">
        <v>23</v>
      </c>
      <c r="D2013">
        <v>3</v>
      </c>
      <c r="E2013">
        <v>4202.26</v>
      </c>
      <c r="F2013" t="s">
        <v>16</v>
      </c>
      <c r="G2013" t="s">
        <v>24</v>
      </c>
      <c r="H2013" t="s">
        <v>47</v>
      </c>
      <c r="I2013" t="s">
        <v>48</v>
      </c>
      <c r="J2013" t="s">
        <v>36</v>
      </c>
      <c r="K2013" t="s">
        <v>49</v>
      </c>
      <c r="L2013" t="s">
        <v>28</v>
      </c>
      <c r="M2013">
        <v>1400.7533333333333</v>
      </c>
      <c r="N2013">
        <v>2020</v>
      </c>
      <c r="O2013">
        <v>6</v>
      </c>
    </row>
    <row r="2014" spans="1:15" x14ac:dyDescent="0.3">
      <c r="A2014" s="1">
        <v>43989</v>
      </c>
      <c r="B2014">
        <v>1000000037</v>
      </c>
      <c r="C2014" t="s">
        <v>23</v>
      </c>
      <c r="D2014">
        <v>1</v>
      </c>
      <c r="E2014">
        <v>3064.18</v>
      </c>
      <c r="F2014" t="s">
        <v>16</v>
      </c>
      <c r="G2014" t="s">
        <v>24</v>
      </c>
      <c r="H2014" t="s">
        <v>18</v>
      </c>
      <c r="I2014" t="s">
        <v>19</v>
      </c>
      <c r="J2014" t="s">
        <v>20</v>
      </c>
      <c r="K2014" t="s">
        <v>21</v>
      </c>
      <c r="L2014" t="s">
        <v>22</v>
      </c>
      <c r="M2014">
        <v>3064.18</v>
      </c>
      <c r="N2014">
        <v>2020</v>
      </c>
      <c r="O2014">
        <v>6</v>
      </c>
    </row>
    <row r="2015" spans="1:15" x14ac:dyDescent="0.3">
      <c r="A2015" s="1">
        <v>43989</v>
      </c>
      <c r="B2015">
        <v>1000000037</v>
      </c>
      <c r="C2015" t="s">
        <v>15</v>
      </c>
      <c r="D2015">
        <v>1</v>
      </c>
      <c r="E2015">
        <v>10000.4</v>
      </c>
      <c r="F2015" t="s">
        <v>16</v>
      </c>
      <c r="G2015" t="s">
        <v>17</v>
      </c>
      <c r="H2015" t="s">
        <v>18</v>
      </c>
      <c r="I2015" t="s">
        <v>19</v>
      </c>
      <c r="J2015" t="s">
        <v>20</v>
      </c>
      <c r="K2015" t="s">
        <v>21</v>
      </c>
      <c r="L2015" t="s">
        <v>22</v>
      </c>
      <c r="M2015">
        <v>10000.4</v>
      </c>
      <c r="N2015">
        <v>2020</v>
      </c>
      <c r="O2015">
        <v>6</v>
      </c>
    </row>
    <row r="2016" spans="1:15" x14ac:dyDescent="0.3">
      <c r="A2016" s="1">
        <v>43989</v>
      </c>
      <c r="B2016">
        <v>1000000039</v>
      </c>
      <c r="C2016" t="s">
        <v>23</v>
      </c>
      <c r="D2016">
        <v>1</v>
      </c>
      <c r="E2016">
        <v>17000.32</v>
      </c>
      <c r="F2016" t="s">
        <v>16</v>
      </c>
      <c r="G2016" t="s">
        <v>24</v>
      </c>
      <c r="H2016" t="s">
        <v>18</v>
      </c>
      <c r="I2016" t="s">
        <v>25</v>
      </c>
      <c r="J2016" t="s">
        <v>20</v>
      </c>
      <c r="K2016" t="s">
        <v>51</v>
      </c>
      <c r="L2016" t="s">
        <v>28</v>
      </c>
      <c r="M2016">
        <v>17000.32</v>
      </c>
      <c r="N2016">
        <v>2020</v>
      </c>
      <c r="O2016">
        <v>6</v>
      </c>
    </row>
    <row r="2017" spans="1:15" x14ac:dyDescent="0.3">
      <c r="A2017" s="1">
        <v>43989</v>
      </c>
      <c r="B2017">
        <v>1000000040</v>
      </c>
      <c r="C2017" t="s">
        <v>15</v>
      </c>
      <c r="D2017">
        <v>1</v>
      </c>
      <c r="E2017">
        <v>15000.44</v>
      </c>
      <c r="F2017" t="s">
        <v>16</v>
      </c>
      <c r="G2017" t="s">
        <v>17</v>
      </c>
      <c r="H2017" t="s">
        <v>30</v>
      </c>
      <c r="I2017" t="s">
        <v>31</v>
      </c>
      <c r="J2017" t="s">
        <v>32</v>
      </c>
      <c r="K2017" t="s">
        <v>33</v>
      </c>
      <c r="L2017" t="s">
        <v>28</v>
      </c>
      <c r="M2017">
        <v>15000.44</v>
      </c>
      <c r="N2017">
        <v>2020</v>
      </c>
      <c r="O2017">
        <v>6</v>
      </c>
    </row>
    <row r="2018" spans="1:15" x14ac:dyDescent="0.3">
      <c r="A2018" s="1">
        <v>43989</v>
      </c>
      <c r="B2018">
        <v>1000000041</v>
      </c>
      <c r="C2018" t="s">
        <v>23</v>
      </c>
      <c r="D2018">
        <v>1</v>
      </c>
      <c r="E2018">
        <v>1387.09</v>
      </c>
      <c r="F2018" t="s">
        <v>16</v>
      </c>
      <c r="G2018" t="s">
        <v>24</v>
      </c>
      <c r="H2018" t="s">
        <v>30</v>
      </c>
      <c r="I2018" t="s">
        <v>31</v>
      </c>
      <c r="J2018" t="s">
        <v>32</v>
      </c>
      <c r="K2018" t="s">
        <v>33</v>
      </c>
      <c r="L2018" t="s">
        <v>22</v>
      </c>
      <c r="M2018">
        <v>1387.09</v>
      </c>
      <c r="N2018">
        <v>2020</v>
      </c>
      <c r="O2018">
        <v>6</v>
      </c>
    </row>
    <row r="2019" spans="1:15" x14ac:dyDescent="0.3">
      <c r="A2019" s="1">
        <v>43989</v>
      </c>
      <c r="B2019">
        <v>1000000041</v>
      </c>
      <c r="C2019" t="s">
        <v>15</v>
      </c>
      <c r="D2019">
        <v>1</v>
      </c>
      <c r="E2019">
        <v>20000.509999999998</v>
      </c>
      <c r="F2019" t="s">
        <v>16</v>
      </c>
      <c r="G2019" t="s">
        <v>17</v>
      </c>
      <c r="H2019" t="s">
        <v>30</v>
      </c>
      <c r="I2019" t="s">
        <v>31</v>
      </c>
      <c r="J2019" t="s">
        <v>32</v>
      </c>
      <c r="K2019" t="s">
        <v>33</v>
      </c>
      <c r="L2019" t="s">
        <v>22</v>
      </c>
      <c r="M2019">
        <v>20000.509999999998</v>
      </c>
      <c r="N2019">
        <v>2020</v>
      </c>
      <c r="O2019">
        <v>6</v>
      </c>
    </row>
    <row r="2020" spans="1:15" x14ac:dyDescent="0.3">
      <c r="A2020" s="1">
        <v>43989</v>
      </c>
      <c r="B2020">
        <v>1000000043</v>
      </c>
      <c r="C2020" t="s">
        <v>15</v>
      </c>
      <c r="D2020">
        <v>1</v>
      </c>
      <c r="E2020">
        <v>4000.26</v>
      </c>
      <c r="F2020" t="s">
        <v>16</v>
      </c>
      <c r="G2020" t="s">
        <v>17</v>
      </c>
      <c r="H2020" t="s">
        <v>30</v>
      </c>
      <c r="I2020" t="s">
        <v>38</v>
      </c>
      <c r="J2020" t="s">
        <v>26</v>
      </c>
      <c r="K2020" t="s">
        <v>39</v>
      </c>
      <c r="L2020" t="s">
        <v>22</v>
      </c>
      <c r="M2020">
        <v>4000.26</v>
      </c>
      <c r="N2020">
        <v>2020</v>
      </c>
      <c r="O2020">
        <v>6</v>
      </c>
    </row>
    <row r="2021" spans="1:15" x14ac:dyDescent="0.3">
      <c r="A2021" s="1">
        <v>43989</v>
      </c>
      <c r="B2021">
        <v>1000000044</v>
      </c>
      <c r="C2021" t="s">
        <v>23</v>
      </c>
      <c r="D2021">
        <v>2</v>
      </c>
      <c r="E2021">
        <v>24001.15</v>
      </c>
      <c r="F2021" t="s">
        <v>16</v>
      </c>
      <c r="G2021" t="s">
        <v>24</v>
      </c>
      <c r="H2021" t="s">
        <v>30</v>
      </c>
      <c r="I2021" t="s">
        <v>31</v>
      </c>
      <c r="J2021" t="s">
        <v>36</v>
      </c>
      <c r="K2021" t="s">
        <v>52</v>
      </c>
      <c r="L2021" t="s">
        <v>28</v>
      </c>
      <c r="M2021">
        <v>12000.575000000001</v>
      </c>
      <c r="N2021">
        <v>2020</v>
      </c>
      <c r="O2021">
        <v>6</v>
      </c>
    </row>
    <row r="2022" spans="1:15" x14ac:dyDescent="0.3">
      <c r="A2022" s="1">
        <v>43989</v>
      </c>
      <c r="B2022">
        <v>1000000046</v>
      </c>
      <c r="C2022" t="s">
        <v>23</v>
      </c>
      <c r="D2022">
        <v>1</v>
      </c>
      <c r="E2022">
        <v>7500.07</v>
      </c>
      <c r="F2022" t="s">
        <v>16</v>
      </c>
      <c r="G2022" t="s">
        <v>24</v>
      </c>
      <c r="H2022" t="s">
        <v>30</v>
      </c>
      <c r="I2022" t="s">
        <v>38</v>
      </c>
      <c r="J2022" t="s">
        <v>26</v>
      </c>
      <c r="K2022" t="s">
        <v>39</v>
      </c>
      <c r="L2022" t="s">
        <v>22</v>
      </c>
      <c r="M2022">
        <v>7500.07</v>
      </c>
      <c r="N2022">
        <v>2020</v>
      </c>
      <c r="O2022">
        <v>6</v>
      </c>
    </row>
    <row r="2023" spans="1:15" x14ac:dyDescent="0.3">
      <c r="A2023" s="1">
        <v>43989</v>
      </c>
      <c r="B2023">
        <v>1000000049</v>
      </c>
      <c r="C2023" t="s">
        <v>15</v>
      </c>
      <c r="D2023">
        <v>1</v>
      </c>
      <c r="E2023">
        <v>500.55</v>
      </c>
      <c r="F2023" t="s">
        <v>16</v>
      </c>
      <c r="G2023" t="s">
        <v>17</v>
      </c>
      <c r="H2023" t="s">
        <v>18</v>
      </c>
      <c r="I2023" t="s">
        <v>40</v>
      </c>
      <c r="J2023" t="s">
        <v>26</v>
      </c>
      <c r="K2023" t="s">
        <v>41</v>
      </c>
      <c r="L2023" t="s">
        <v>22</v>
      </c>
      <c r="M2023">
        <v>500.55</v>
      </c>
      <c r="N2023">
        <v>2020</v>
      </c>
      <c r="O2023">
        <v>6</v>
      </c>
    </row>
    <row r="2024" spans="1:15" x14ac:dyDescent="0.3">
      <c r="A2024" s="1">
        <v>43989</v>
      </c>
      <c r="B2024">
        <v>1000000049</v>
      </c>
      <c r="C2024" t="s">
        <v>42</v>
      </c>
      <c r="D2024">
        <v>1</v>
      </c>
      <c r="E2024">
        <v>1020.36</v>
      </c>
      <c r="F2024" t="s">
        <v>16</v>
      </c>
      <c r="G2024" t="s">
        <v>43</v>
      </c>
      <c r="H2024" t="s">
        <v>18</v>
      </c>
      <c r="I2024" t="s">
        <v>40</v>
      </c>
      <c r="J2024" t="s">
        <v>26</v>
      </c>
      <c r="K2024" t="s">
        <v>41</v>
      </c>
      <c r="L2024" t="s">
        <v>22</v>
      </c>
      <c r="M2024">
        <v>1020.36</v>
      </c>
      <c r="N2024">
        <v>2020</v>
      </c>
      <c r="O2024">
        <v>6</v>
      </c>
    </row>
    <row r="2025" spans="1:15" x14ac:dyDescent="0.3">
      <c r="A2025" s="1">
        <v>43989</v>
      </c>
      <c r="B2025">
        <v>1000000050</v>
      </c>
      <c r="C2025" t="s">
        <v>23</v>
      </c>
      <c r="D2025">
        <v>1</v>
      </c>
      <c r="E2025">
        <v>700.65</v>
      </c>
      <c r="F2025" t="s">
        <v>16</v>
      </c>
      <c r="G2025" t="s">
        <v>24</v>
      </c>
      <c r="H2025" t="s">
        <v>18</v>
      </c>
      <c r="I2025" t="s">
        <v>40</v>
      </c>
      <c r="J2025" t="s">
        <v>26</v>
      </c>
      <c r="K2025" t="s">
        <v>41</v>
      </c>
      <c r="L2025" t="s">
        <v>22</v>
      </c>
      <c r="M2025">
        <v>700.65</v>
      </c>
      <c r="N2025">
        <v>2020</v>
      </c>
      <c r="O2025">
        <v>6</v>
      </c>
    </row>
    <row r="2026" spans="1:15" x14ac:dyDescent="0.3">
      <c r="A2026" s="1">
        <v>43989</v>
      </c>
      <c r="B2026">
        <v>1000000067</v>
      </c>
      <c r="C2026" t="s">
        <v>42</v>
      </c>
      <c r="D2026">
        <v>1</v>
      </c>
      <c r="E2026">
        <v>4999.9399999999996</v>
      </c>
      <c r="F2026" t="s">
        <v>16</v>
      </c>
      <c r="G2026" t="s">
        <v>43</v>
      </c>
      <c r="H2026" t="s">
        <v>18</v>
      </c>
      <c r="I2026" t="s">
        <v>25</v>
      </c>
      <c r="J2026" t="s">
        <v>20</v>
      </c>
      <c r="K2026" t="s">
        <v>51</v>
      </c>
      <c r="L2026" t="s">
        <v>22</v>
      </c>
      <c r="M2026">
        <v>4999.9399999999996</v>
      </c>
      <c r="N2026">
        <v>2020</v>
      </c>
      <c r="O2026">
        <v>6</v>
      </c>
    </row>
    <row r="2027" spans="1:15" x14ac:dyDescent="0.3">
      <c r="A2027" s="1">
        <v>43989</v>
      </c>
      <c r="B2027">
        <v>1000000068</v>
      </c>
      <c r="C2027" t="s">
        <v>23</v>
      </c>
      <c r="D2027">
        <v>2</v>
      </c>
      <c r="E2027">
        <v>12501.470000000001</v>
      </c>
      <c r="F2027" t="s">
        <v>16</v>
      </c>
      <c r="G2027" t="s">
        <v>24</v>
      </c>
      <c r="H2027" t="s">
        <v>30</v>
      </c>
      <c r="I2027" t="s">
        <v>55</v>
      </c>
      <c r="J2027" t="s">
        <v>26</v>
      </c>
      <c r="K2027" t="s">
        <v>56</v>
      </c>
      <c r="L2027" t="s">
        <v>28</v>
      </c>
      <c r="M2027">
        <v>6250.7350000000006</v>
      </c>
      <c r="N2027">
        <v>2020</v>
      </c>
      <c r="O2027">
        <v>6</v>
      </c>
    </row>
    <row r="2028" spans="1:15" x14ac:dyDescent="0.3">
      <c r="A2028" s="1">
        <v>43989</v>
      </c>
      <c r="B2028">
        <v>1000000104</v>
      </c>
      <c r="C2028" t="s">
        <v>15</v>
      </c>
      <c r="D2028">
        <v>1</v>
      </c>
      <c r="E2028">
        <v>10999.99</v>
      </c>
      <c r="F2028" t="s">
        <v>16</v>
      </c>
      <c r="G2028" t="s">
        <v>17</v>
      </c>
      <c r="H2028" t="s">
        <v>18</v>
      </c>
      <c r="I2028" t="s">
        <v>40</v>
      </c>
      <c r="J2028" t="s">
        <v>26</v>
      </c>
      <c r="K2028" t="s">
        <v>41</v>
      </c>
      <c r="L2028" t="s">
        <v>22</v>
      </c>
      <c r="M2028">
        <v>10999.99</v>
      </c>
      <c r="N2028">
        <v>2020</v>
      </c>
      <c r="O2028">
        <v>6</v>
      </c>
    </row>
    <row r="2029" spans="1:15" x14ac:dyDescent="0.3">
      <c r="A2029" s="1">
        <v>43989</v>
      </c>
      <c r="B2029">
        <v>1000000104</v>
      </c>
      <c r="C2029" t="s">
        <v>42</v>
      </c>
      <c r="D2029">
        <v>1</v>
      </c>
      <c r="E2029">
        <v>25000.04</v>
      </c>
      <c r="F2029" t="s">
        <v>16</v>
      </c>
      <c r="G2029" t="s">
        <v>43</v>
      </c>
      <c r="H2029" t="s">
        <v>18</v>
      </c>
      <c r="I2029" t="s">
        <v>40</v>
      </c>
      <c r="J2029" t="s">
        <v>26</v>
      </c>
      <c r="K2029" t="s">
        <v>41</v>
      </c>
      <c r="L2029" t="s">
        <v>22</v>
      </c>
      <c r="M2029">
        <v>25000.04</v>
      </c>
      <c r="N2029">
        <v>2020</v>
      </c>
      <c r="O2029">
        <v>6</v>
      </c>
    </row>
    <row r="2030" spans="1:15" x14ac:dyDescent="0.3">
      <c r="A2030" s="1">
        <v>43989</v>
      </c>
      <c r="B2030">
        <v>1000000566</v>
      </c>
      <c r="C2030" t="s">
        <v>42</v>
      </c>
      <c r="D2030">
        <v>2</v>
      </c>
      <c r="E2030">
        <v>39000.86</v>
      </c>
      <c r="F2030" t="s">
        <v>16</v>
      </c>
      <c r="G2030" t="s">
        <v>43</v>
      </c>
      <c r="H2030" t="s">
        <v>47</v>
      </c>
      <c r="I2030" t="s">
        <v>48</v>
      </c>
      <c r="J2030" t="s">
        <v>36</v>
      </c>
      <c r="K2030" t="s">
        <v>49</v>
      </c>
      <c r="L2030" t="s">
        <v>22</v>
      </c>
      <c r="M2030">
        <v>19500.43</v>
      </c>
      <c r="N2030">
        <v>2020</v>
      </c>
      <c r="O2030">
        <v>6</v>
      </c>
    </row>
    <row r="2031" spans="1:15" x14ac:dyDescent="0.3">
      <c r="A2031" s="1">
        <v>43989</v>
      </c>
      <c r="B2031">
        <v>1000000576</v>
      </c>
      <c r="C2031" t="s">
        <v>42</v>
      </c>
      <c r="D2031">
        <v>1</v>
      </c>
      <c r="E2031">
        <v>1100.19</v>
      </c>
      <c r="F2031" t="s">
        <v>16</v>
      </c>
      <c r="G2031" t="s">
        <v>43</v>
      </c>
      <c r="H2031" t="s">
        <v>18</v>
      </c>
      <c r="I2031" t="s">
        <v>25</v>
      </c>
      <c r="J2031" t="s">
        <v>36</v>
      </c>
      <c r="K2031" t="s">
        <v>37</v>
      </c>
      <c r="L2031" t="s">
        <v>22</v>
      </c>
      <c r="M2031">
        <v>1100.19</v>
      </c>
      <c r="N2031">
        <v>2020</v>
      </c>
      <c r="O2031">
        <v>6</v>
      </c>
    </row>
    <row r="2032" spans="1:15" x14ac:dyDescent="0.3">
      <c r="A2032" s="1">
        <v>43989</v>
      </c>
      <c r="B2032">
        <v>1000000594</v>
      </c>
      <c r="C2032" t="s">
        <v>15</v>
      </c>
      <c r="D2032">
        <v>1</v>
      </c>
      <c r="E2032">
        <v>18000.75</v>
      </c>
      <c r="F2032" t="s">
        <v>16</v>
      </c>
      <c r="G2032" t="s">
        <v>17</v>
      </c>
      <c r="H2032" t="s">
        <v>18</v>
      </c>
      <c r="I2032" t="s">
        <v>25</v>
      </c>
      <c r="J2032" t="s">
        <v>20</v>
      </c>
      <c r="K2032" t="s">
        <v>51</v>
      </c>
      <c r="L2032" t="s">
        <v>22</v>
      </c>
      <c r="M2032">
        <v>18000.75</v>
      </c>
      <c r="N2032">
        <v>2020</v>
      </c>
      <c r="O2032">
        <v>6</v>
      </c>
    </row>
    <row r="2033" spans="1:15" x14ac:dyDescent="0.3">
      <c r="A2033" s="1">
        <v>43989</v>
      </c>
      <c r="B2033">
        <v>1000000928</v>
      </c>
      <c r="C2033" t="s">
        <v>15</v>
      </c>
      <c r="D2033">
        <v>1</v>
      </c>
      <c r="E2033">
        <v>5500.6</v>
      </c>
      <c r="F2033" t="s">
        <v>16</v>
      </c>
      <c r="G2033" t="s">
        <v>17</v>
      </c>
      <c r="H2033" t="s">
        <v>30</v>
      </c>
      <c r="I2033" t="s">
        <v>57</v>
      </c>
      <c r="J2033" t="s">
        <v>26</v>
      </c>
      <c r="K2033" t="s">
        <v>58</v>
      </c>
      <c r="L2033" t="s">
        <v>22</v>
      </c>
      <c r="M2033">
        <v>5500.6</v>
      </c>
      <c r="N2033">
        <v>2020</v>
      </c>
      <c r="O2033">
        <v>6</v>
      </c>
    </row>
    <row r="2034" spans="1:15" x14ac:dyDescent="0.3">
      <c r="A2034" s="1">
        <v>43989</v>
      </c>
      <c r="B2034">
        <v>1000003803</v>
      </c>
      <c r="C2034" t="s">
        <v>23</v>
      </c>
      <c r="D2034">
        <v>1</v>
      </c>
      <c r="E2034">
        <v>8000.55</v>
      </c>
      <c r="F2034" t="s">
        <v>16</v>
      </c>
      <c r="G2034" t="s">
        <v>24</v>
      </c>
      <c r="H2034" t="s">
        <v>30</v>
      </c>
      <c r="I2034" t="s">
        <v>31</v>
      </c>
      <c r="J2034" t="s">
        <v>36</v>
      </c>
      <c r="K2034" t="s">
        <v>52</v>
      </c>
      <c r="L2034" t="s">
        <v>22</v>
      </c>
      <c r="M2034">
        <v>8000.55</v>
      </c>
      <c r="N2034">
        <v>2020</v>
      </c>
      <c r="O2034">
        <v>6</v>
      </c>
    </row>
    <row r="2035" spans="1:15" x14ac:dyDescent="0.3">
      <c r="A2035" s="1">
        <v>43989</v>
      </c>
      <c r="B2035">
        <v>1000003989</v>
      </c>
      <c r="C2035" t="s">
        <v>15</v>
      </c>
      <c r="D2035">
        <v>1</v>
      </c>
      <c r="E2035">
        <v>10000.280000000001</v>
      </c>
      <c r="F2035" t="s">
        <v>16</v>
      </c>
      <c r="G2035" t="s">
        <v>17</v>
      </c>
      <c r="H2035" t="s">
        <v>30</v>
      </c>
      <c r="I2035" t="s">
        <v>31</v>
      </c>
      <c r="J2035" t="s">
        <v>36</v>
      </c>
      <c r="K2035" t="s">
        <v>52</v>
      </c>
      <c r="L2035" t="s">
        <v>22</v>
      </c>
      <c r="M2035">
        <v>10000.280000000001</v>
      </c>
      <c r="N2035">
        <v>2020</v>
      </c>
      <c r="O2035">
        <v>6</v>
      </c>
    </row>
    <row r="2036" spans="1:15" x14ac:dyDescent="0.3">
      <c r="A2036" s="1">
        <v>43989</v>
      </c>
      <c r="B2036">
        <v>1000004170</v>
      </c>
      <c r="C2036" t="s">
        <v>23</v>
      </c>
      <c r="D2036">
        <v>4</v>
      </c>
      <c r="E2036">
        <v>36887.75</v>
      </c>
      <c r="F2036" t="s">
        <v>16</v>
      </c>
      <c r="G2036" t="s">
        <v>24</v>
      </c>
      <c r="H2036" t="s">
        <v>18</v>
      </c>
      <c r="I2036" t="s">
        <v>34</v>
      </c>
      <c r="J2036" t="s">
        <v>20</v>
      </c>
      <c r="K2036" t="s">
        <v>44</v>
      </c>
      <c r="L2036" t="s">
        <v>28</v>
      </c>
      <c r="M2036">
        <v>9221.9375</v>
      </c>
      <c r="N2036">
        <v>2020</v>
      </c>
      <c r="O2036">
        <v>6</v>
      </c>
    </row>
    <row r="2037" spans="1:15" x14ac:dyDescent="0.3">
      <c r="A2037" s="1">
        <v>43989</v>
      </c>
      <c r="B2037">
        <v>1000004170</v>
      </c>
      <c r="C2037" t="s">
        <v>15</v>
      </c>
      <c r="D2037">
        <v>1</v>
      </c>
      <c r="E2037">
        <v>1000.34</v>
      </c>
      <c r="F2037" t="s">
        <v>16</v>
      </c>
      <c r="G2037" t="s">
        <v>17</v>
      </c>
      <c r="H2037" t="s">
        <v>18</v>
      </c>
      <c r="I2037" t="s">
        <v>34</v>
      </c>
      <c r="J2037" t="s">
        <v>20</v>
      </c>
      <c r="K2037" t="s">
        <v>44</v>
      </c>
      <c r="L2037" t="s">
        <v>28</v>
      </c>
      <c r="M2037">
        <v>1000.34</v>
      </c>
      <c r="N2037">
        <v>2020</v>
      </c>
      <c r="O2037">
        <v>6</v>
      </c>
    </row>
    <row r="2038" spans="1:15" x14ac:dyDescent="0.3">
      <c r="A2038" s="1">
        <v>43989</v>
      </c>
      <c r="B2038">
        <v>1000004256</v>
      </c>
      <c r="C2038" t="s">
        <v>42</v>
      </c>
      <c r="D2038">
        <v>2</v>
      </c>
      <c r="E2038">
        <v>21000.080000000002</v>
      </c>
      <c r="F2038" t="s">
        <v>16</v>
      </c>
      <c r="G2038" t="s">
        <v>43</v>
      </c>
      <c r="H2038" t="s">
        <v>18</v>
      </c>
      <c r="I2038" t="s">
        <v>40</v>
      </c>
      <c r="J2038" t="s">
        <v>26</v>
      </c>
      <c r="K2038" t="s">
        <v>41</v>
      </c>
      <c r="L2038" t="s">
        <v>22</v>
      </c>
      <c r="M2038">
        <v>10500.04</v>
      </c>
      <c r="N2038">
        <v>2020</v>
      </c>
      <c r="O2038">
        <v>6</v>
      </c>
    </row>
    <row r="2039" spans="1:15" x14ac:dyDescent="0.3">
      <c r="A2039" s="1">
        <v>43989</v>
      </c>
      <c r="B2039">
        <v>1000005873</v>
      </c>
      <c r="C2039" t="s">
        <v>15</v>
      </c>
      <c r="D2039">
        <v>1</v>
      </c>
      <c r="E2039">
        <v>13000.1</v>
      </c>
      <c r="F2039" t="s">
        <v>16</v>
      </c>
      <c r="G2039" t="s">
        <v>17</v>
      </c>
      <c r="H2039" t="s">
        <v>18</v>
      </c>
      <c r="I2039" t="s">
        <v>19</v>
      </c>
      <c r="J2039" t="s">
        <v>20</v>
      </c>
      <c r="K2039" t="s">
        <v>21</v>
      </c>
      <c r="L2039" t="s">
        <v>28</v>
      </c>
      <c r="M2039">
        <v>13000.1</v>
      </c>
      <c r="N2039">
        <v>2020</v>
      </c>
      <c r="O2039">
        <v>6</v>
      </c>
    </row>
    <row r="2040" spans="1:15" x14ac:dyDescent="0.3">
      <c r="A2040" s="1">
        <v>43989</v>
      </c>
      <c r="B2040">
        <v>1000006698</v>
      </c>
      <c r="C2040" t="s">
        <v>15</v>
      </c>
      <c r="D2040">
        <v>1</v>
      </c>
      <c r="E2040">
        <v>11000.29</v>
      </c>
      <c r="F2040" t="s">
        <v>16</v>
      </c>
      <c r="G2040" t="s">
        <v>17</v>
      </c>
      <c r="H2040" t="s">
        <v>30</v>
      </c>
      <c r="I2040" t="s">
        <v>38</v>
      </c>
      <c r="J2040" t="s">
        <v>26</v>
      </c>
      <c r="K2040" t="s">
        <v>39</v>
      </c>
      <c r="L2040" t="s">
        <v>28</v>
      </c>
      <c r="M2040">
        <v>11000.29</v>
      </c>
      <c r="N2040">
        <v>2020</v>
      </c>
      <c r="O2040">
        <v>6</v>
      </c>
    </row>
    <row r="2041" spans="1:15" x14ac:dyDescent="0.3">
      <c r="A2041" s="1">
        <v>43989</v>
      </c>
      <c r="B2041">
        <v>1000006867</v>
      </c>
      <c r="C2041" t="s">
        <v>23</v>
      </c>
      <c r="D2041">
        <v>1</v>
      </c>
      <c r="E2041">
        <v>7500.67</v>
      </c>
      <c r="F2041" t="s">
        <v>16</v>
      </c>
      <c r="G2041" t="s">
        <v>24</v>
      </c>
      <c r="H2041" t="s">
        <v>18</v>
      </c>
      <c r="I2041" t="s">
        <v>61</v>
      </c>
      <c r="J2041" t="s">
        <v>26</v>
      </c>
      <c r="K2041" t="s">
        <v>62</v>
      </c>
      <c r="L2041" t="s">
        <v>22</v>
      </c>
      <c r="M2041">
        <v>7500.67</v>
      </c>
      <c r="N2041">
        <v>2020</v>
      </c>
      <c r="O2041">
        <v>6</v>
      </c>
    </row>
    <row r="2042" spans="1:15" x14ac:dyDescent="0.3">
      <c r="A2042" s="1">
        <v>43989</v>
      </c>
      <c r="B2042">
        <v>1000008228</v>
      </c>
      <c r="C2042" t="s">
        <v>23</v>
      </c>
      <c r="D2042">
        <v>1</v>
      </c>
      <c r="E2042">
        <v>10000.32</v>
      </c>
      <c r="F2042" t="s">
        <v>16</v>
      </c>
      <c r="G2042" t="s">
        <v>24</v>
      </c>
      <c r="H2042" t="s">
        <v>30</v>
      </c>
      <c r="I2042" t="s">
        <v>31</v>
      </c>
      <c r="J2042" t="s">
        <v>36</v>
      </c>
      <c r="K2042" t="s">
        <v>52</v>
      </c>
      <c r="L2042" t="s">
        <v>22</v>
      </c>
      <c r="M2042">
        <v>10000.32</v>
      </c>
      <c r="N2042">
        <v>2020</v>
      </c>
      <c r="O2042">
        <v>6</v>
      </c>
    </row>
    <row r="2043" spans="1:15" x14ac:dyDescent="0.3">
      <c r="A2043" s="1">
        <v>43989</v>
      </c>
      <c r="B2043">
        <v>1000008239</v>
      </c>
      <c r="C2043" t="s">
        <v>15</v>
      </c>
      <c r="D2043">
        <v>1</v>
      </c>
      <c r="E2043">
        <v>15000.72</v>
      </c>
      <c r="F2043" t="s">
        <v>16</v>
      </c>
      <c r="G2043" t="s">
        <v>17</v>
      </c>
      <c r="H2043" t="s">
        <v>18</v>
      </c>
      <c r="I2043" t="s">
        <v>61</v>
      </c>
      <c r="J2043" t="s">
        <v>26</v>
      </c>
      <c r="K2043" t="s">
        <v>62</v>
      </c>
      <c r="L2043" t="s">
        <v>28</v>
      </c>
      <c r="M2043">
        <v>15000.72</v>
      </c>
      <c r="N2043">
        <v>2020</v>
      </c>
      <c r="O2043">
        <v>6</v>
      </c>
    </row>
    <row r="2044" spans="1:15" x14ac:dyDescent="0.3">
      <c r="A2044" s="1">
        <v>43989</v>
      </c>
      <c r="B2044">
        <v>1000008957</v>
      </c>
      <c r="C2044" t="s">
        <v>15</v>
      </c>
      <c r="D2044">
        <v>1</v>
      </c>
      <c r="E2044">
        <v>10000.15</v>
      </c>
      <c r="F2044" t="s">
        <v>16</v>
      </c>
      <c r="G2044" t="s">
        <v>17</v>
      </c>
      <c r="H2044" t="s">
        <v>18</v>
      </c>
      <c r="I2044" t="s">
        <v>34</v>
      </c>
      <c r="J2044" t="s">
        <v>20</v>
      </c>
      <c r="K2044" t="s">
        <v>44</v>
      </c>
      <c r="L2044" t="s">
        <v>22</v>
      </c>
      <c r="M2044">
        <v>10000.15</v>
      </c>
      <c r="N2044">
        <v>2020</v>
      </c>
      <c r="O2044">
        <v>6</v>
      </c>
    </row>
    <row r="2045" spans="1:15" x14ac:dyDescent="0.3">
      <c r="A2045" s="1">
        <v>43989</v>
      </c>
      <c r="B2045">
        <v>1000010814</v>
      </c>
      <c r="C2045" t="s">
        <v>15</v>
      </c>
      <c r="D2045">
        <v>2</v>
      </c>
      <c r="E2045">
        <v>17000.39</v>
      </c>
      <c r="F2045" t="s">
        <v>16</v>
      </c>
      <c r="G2045" t="s">
        <v>17</v>
      </c>
      <c r="H2045" t="s">
        <v>18</v>
      </c>
      <c r="I2045" t="s">
        <v>61</v>
      </c>
      <c r="J2045" t="s">
        <v>32</v>
      </c>
      <c r="K2045" t="s">
        <v>63</v>
      </c>
      <c r="L2045" t="s">
        <v>22</v>
      </c>
      <c r="M2045">
        <v>8500.1949999999997</v>
      </c>
      <c r="N2045">
        <v>2020</v>
      </c>
      <c r="O2045">
        <v>6</v>
      </c>
    </row>
    <row r="2046" spans="1:15" x14ac:dyDescent="0.3">
      <c r="A2046" s="1">
        <v>43989</v>
      </c>
      <c r="B2046">
        <v>1000010814</v>
      </c>
      <c r="C2046" t="s">
        <v>42</v>
      </c>
      <c r="D2046">
        <v>1</v>
      </c>
      <c r="E2046">
        <v>11000.17</v>
      </c>
      <c r="F2046" t="s">
        <v>16</v>
      </c>
      <c r="G2046" t="s">
        <v>43</v>
      </c>
      <c r="H2046" t="s">
        <v>18</v>
      </c>
      <c r="I2046" t="s">
        <v>61</v>
      </c>
      <c r="J2046" t="s">
        <v>32</v>
      </c>
      <c r="K2046" t="s">
        <v>63</v>
      </c>
      <c r="L2046" t="s">
        <v>22</v>
      </c>
      <c r="M2046">
        <v>11000.17</v>
      </c>
      <c r="N2046">
        <v>2020</v>
      </c>
      <c r="O2046">
        <v>6</v>
      </c>
    </row>
    <row r="2047" spans="1:15" x14ac:dyDescent="0.3">
      <c r="A2047" s="1">
        <v>43989</v>
      </c>
      <c r="B2047">
        <v>1000010837</v>
      </c>
      <c r="C2047" t="s">
        <v>15</v>
      </c>
      <c r="D2047">
        <v>1</v>
      </c>
      <c r="E2047">
        <v>13999.93</v>
      </c>
      <c r="F2047" t="s">
        <v>16</v>
      </c>
      <c r="G2047" t="s">
        <v>17</v>
      </c>
      <c r="H2047" t="s">
        <v>18</v>
      </c>
      <c r="I2047" t="s">
        <v>61</v>
      </c>
      <c r="J2047" t="s">
        <v>26</v>
      </c>
      <c r="K2047" t="s">
        <v>62</v>
      </c>
      <c r="L2047" t="s">
        <v>22</v>
      </c>
      <c r="M2047">
        <v>13999.93</v>
      </c>
      <c r="N2047">
        <v>2020</v>
      </c>
      <c r="O2047">
        <v>6</v>
      </c>
    </row>
    <row r="2048" spans="1:15" x14ac:dyDescent="0.3">
      <c r="A2048" s="1">
        <v>43989</v>
      </c>
      <c r="B2048">
        <v>1000010837</v>
      </c>
      <c r="C2048" t="s">
        <v>42</v>
      </c>
      <c r="D2048">
        <v>1</v>
      </c>
      <c r="E2048">
        <v>14000.09</v>
      </c>
      <c r="F2048" t="s">
        <v>16</v>
      </c>
      <c r="G2048" t="s">
        <v>43</v>
      </c>
      <c r="H2048" t="s">
        <v>18</v>
      </c>
      <c r="I2048" t="s">
        <v>61</v>
      </c>
      <c r="J2048" t="s">
        <v>26</v>
      </c>
      <c r="K2048" t="s">
        <v>62</v>
      </c>
      <c r="L2048" t="s">
        <v>22</v>
      </c>
      <c r="M2048">
        <v>14000.09</v>
      </c>
      <c r="N2048">
        <v>2020</v>
      </c>
      <c r="O2048">
        <v>6</v>
      </c>
    </row>
    <row r="2049" spans="1:15" x14ac:dyDescent="0.3">
      <c r="A2049" s="1">
        <v>43989</v>
      </c>
      <c r="B2049">
        <v>1000012112</v>
      </c>
      <c r="C2049" t="s">
        <v>23</v>
      </c>
      <c r="D2049">
        <v>1</v>
      </c>
      <c r="E2049">
        <v>9000.6</v>
      </c>
      <c r="F2049" t="s">
        <v>16</v>
      </c>
      <c r="G2049" t="s">
        <v>24</v>
      </c>
      <c r="H2049" t="s">
        <v>18</v>
      </c>
      <c r="I2049" t="s">
        <v>19</v>
      </c>
      <c r="J2049" t="s">
        <v>36</v>
      </c>
      <c r="K2049" t="s">
        <v>64</v>
      </c>
      <c r="L2049" t="s">
        <v>28</v>
      </c>
      <c r="M2049">
        <v>9000.6</v>
      </c>
      <c r="N2049">
        <v>2020</v>
      </c>
      <c r="O2049">
        <v>6</v>
      </c>
    </row>
    <row r="2050" spans="1:15" x14ac:dyDescent="0.3">
      <c r="A2050" s="1">
        <v>43989</v>
      </c>
      <c r="B2050">
        <v>1000012124</v>
      </c>
      <c r="C2050" t="s">
        <v>15</v>
      </c>
      <c r="D2050">
        <v>1</v>
      </c>
      <c r="E2050">
        <v>15000.05</v>
      </c>
      <c r="F2050" t="s">
        <v>16</v>
      </c>
      <c r="G2050" t="s">
        <v>17</v>
      </c>
      <c r="H2050" t="s">
        <v>18</v>
      </c>
      <c r="I2050" t="s">
        <v>19</v>
      </c>
      <c r="J2050" t="s">
        <v>26</v>
      </c>
      <c r="K2050" t="s">
        <v>29</v>
      </c>
      <c r="L2050" t="s">
        <v>22</v>
      </c>
      <c r="M2050">
        <v>15000.05</v>
      </c>
      <c r="N2050">
        <v>2020</v>
      </c>
      <c r="O2050">
        <v>6</v>
      </c>
    </row>
    <row r="2051" spans="1:15" x14ac:dyDescent="0.3">
      <c r="A2051" s="1">
        <v>43989</v>
      </c>
      <c r="B2051">
        <v>1000012446</v>
      </c>
      <c r="C2051" t="s">
        <v>23</v>
      </c>
      <c r="D2051">
        <v>1</v>
      </c>
      <c r="E2051">
        <v>27000.48</v>
      </c>
      <c r="F2051" t="s">
        <v>16</v>
      </c>
      <c r="G2051" t="s">
        <v>24</v>
      </c>
      <c r="H2051" t="s">
        <v>30</v>
      </c>
      <c r="I2051" t="s">
        <v>31</v>
      </c>
      <c r="J2051" t="s">
        <v>36</v>
      </c>
      <c r="K2051" t="s">
        <v>52</v>
      </c>
      <c r="L2051" t="s">
        <v>22</v>
      </c>
      <c r="M2051">
        <v>27000.48</v>
      </c>
      <c r="N2051">
        <v>2020</v>
      </c>
      <c r="O2051">
        <v>6</v>
      </c>
    </row>
    <row r="2052" spans="1:15" x14ac:dyDescent="0.3">
      <c r="A2052" s="1">
        <v>43989</v>
      </c>
      <c r="B2052">
        <v>1000012446</v>
      </c>
      <c r="C2052" t="s">
        <v>15</v>
      </c>
      <c r="D2052">
        <v>1</v>
      </c>
      <c r="E2052">
        <v>13000.1</v>
      </c>
      <c r="F2052" t="s">
        <v>16</v>
      </c>
      <c r="G2052" t="s">
        <v>17</v>
      </c>
      <c r="H2052" t="s">
        <v>30</v>
      </c>
      <c r="I2052" t="s">
        <v>31</v>
      </c>
      <c r="J2052" t="s">
        <v>36</v>
      </c>
      <c r="K2052" t="s">
        <v>52</v>
      </c>
      <c r="L2052" t="s">
        <v>22</v>
      </c>
      <c r="M2052">
        <v>13000.1</v>
      </c>
      <c r="N2052">
        <v>2020</v>
      </c>
      <c r="O2052">
        <v>6</v>
      </c>
    </row>
    <row r="2053" spans="1:15" x14ac:dyDescent="0.3">
      <c r="A2053" s="1">
        <v>43990</v>
      </c>
      <c r="B2053">
        <v>1000000029</v>
      </c>
      <c r="C2053" t="s">
        <v>23</v>
      </c>
      <c r="D2053">
        <v>3</v>
      </c>
      <c r="E2053">
        <v>9931.14</v>
      </c>
      <c r="F2053" t="s">
        <v>16</v>
      </c>
      <c r="G2053" t="s">
        <v>24</v>
      </c>
      <c r="H2053" t="s">
        <v>18</v>
      </c>
      <c r="I2053" t="s">
        <v>19</v>
      </c>
      <c r="J2053" t="s">
        <v>20</v>
      </c>
      <c r="K2053" t="s">
        <v>21</v>
      </c>
      <c r="L2053" t="s">
        <v>22</v>
      </c>
      <c r="M2053">
        <v>3310.3799999999997</v>
      </c>
      <c r="N2053">
        <v>2020</v>
      </c>
      <c r="O2053">
        <v>6</v>
      </c>
    </row>
    <row r="2054" spans="1:15" x14ac:dyDescent="0.3">
      <c r="A2054" s="1">
        <v>43990</v>
      </c>
      <c r="B2054">
        <v>1000000029</v>
      </c>
      <c r="C2054" t="s">
        <v>15</v>
      </c>
      <c r="D2054">
        <v>1</v>
      </c>
      <c r="E2054">
        <v>1546.74</v>
      </c>
      <c r="F2054" t="s">
        <v>16</v>
      </c>
      <c r="G2054" t="s">
        <v>17</v>
      </c>
      <c r="H2054" t="s">
        <v>18</v>
      </c>
      <c r="I2054" t="s">
        <v>19</v>
      </c>
      <c r="J2054" t="s">
        <v>20</v>
      </c>
      <c r="K2054" t="s">
        <v>21</v>
      </c>
      <c r="L2054" t="s">
        <v>22</v>
      </c>
      <c r="M2054">
        <v>1546.74</v>
      </c>
      <c r="N2054">
        <v>2020</v>
      </c>
      <c r="O2054">
        <v>6</v>
      </c>
    </row>
    <row r="2055" spans="1:15" x14ac:dyDescent="0.3">
      <c r="A2055" s="1">
        <v>43990</v>
      </c>
      <c r="B2055">
        <v>1000000029</v>
      </c>
      <c r="C2055" t="s">
        <v>42</v>
      </c>
      <c r="D2055">
        <v>2</v>
      </c>
      <c r="E2055">
        <v>12501.2</v>
      </c>
      <c r="F2055" t="s">
        <v>16</v>
      </c>
      <c r="G2055" t="s">
        <v>43</v>
      </c>
      <c r="H2055" t="s">
        <v>18</v>
      </c>
      <c r="I2055" t="s">
        <v>19</v>
      </c>
      <c r="J2055" t="s">
        <v>20</v>
      </c>
      <c r="K2055" t="s">
        <v>21</v>
      </c>
      <c r="L2055" t="s">
        <v>22</v>
      </c>
      <c r="M2055">
        <v>6250.6</v>
      </c>
      <c r="N2055">
        <v>2020</v>
      </c>
      <c r="O2055">
        <v>6</v>
      </c>
    </row>
    <row r="2056" spans="1:15" x14ac:dyDescent="0.3">
      <c r="A2056" s="1">
        <v>43990</v>
      </c>
      <c r="B2056">
        <v>1000000030</v>
      </c>
      <c r="C2056" t="s">
        <v>23</v>
      </c>
      <c r="D2056">
        <v>3</v>
      </c>
      <c r="E2056">
        <v>39001.18</v>
      </c>
      <c r="F2056" t="s">
        <v>16</v>
      </c>
      <c r="G2056" t="s">
        <v>24</v>
      </c>
      <c r="H2056" t="s">
        <v>47</v>
      </c>
      <c r="I2056" t="s">
        <v>48</v>
      </c>
      <c r="J2056" t="s">
        <v>36</v>
      </c>
      <c r="K2056" t="s">
        <v>49</v>
      </c>
      <c r="L2056" t="s">
        <v>22</v>
      </c>
      <c r="M2056">
        <v>13000.393333333333</v>
      </c>
      <c r="N2056">
        <v>2020</v>
      </c>
      <c r="O2056">
        <v>6</v>
      </c>
    </row>
    <row r="2057" spans="1:15" x14ac:dyDescent="0.3">
      <c r="A2057" s="1">
        <v>43990</v>
      </c>
      <c r="B2057">
        <v>1000000030</v>
      </c>
      <c r="C2057" t="s">
        <v>42</v>
      </c>
      <c r="D2057">
        <v>1</v>
      </c>
      <c r="E2057">
        <v>3700.67</v>
      </c>
      <c r="F2057" t="s">
        <v>16</v>
      </c>
      <c r="G2057" t="s">
        <v>43</v>
      </c>
      <c r="H2057" t="s">
        <v>47</v>
      </c>
      <c r="I2057" t="s">
        <v>48</v>
      </c>
      <c r="J2057" t="s">
        <v>36</v>
      </c>
      <c r="K2057" t="s">
        <v>49</v>
      </c>
      <c r="L2057" t="s">
        <v>22</v>
      </c>
      <c r="M2057">
        <v>3700.67</v>
      </c>
      <c r="N2057">
        <v>2020</v>
      </c>
      <c r="O2057">
        <v>6</v>
      </c>
    </row>
    <row r="2058" spans="1:15" x14ac:dyDescent="0.3">
      <c r="A2058" s="1">
        <v>43990</v>
      </c>
      <c r="B2058">
        <v>1000000031</v>
      </c>
      <c r="C2058" t="s">
        <v>23</v>
      </c>
      <c r="D2058">
        <v>2</v>
      </c>
      <c r="E2058">
        <v>22000.94</v>
      </c>
      <c r="F2058" t="s">
        <v>16</v>
      </c>
      <c r="G2058" t="s">
        <v>24</v>
      </c>
      <c r="H2058" t="s">
        <v>18</v>
      </c>
      <c r="I2058" t="s">
        <v>19</v>
      </c>
      <c r="J2058" t="s">
        <v>26</v>
      </c>
      <c r="K2058" t="s">
        <v>29</v>
      </c>
      <c r="L2058" t="s">
        <v>28</v>
      </c>
      <c r="M2058">
        <v>11000.47</v>
      </c>
      <c r="N2058">
        <v>2020</v>
      </c>
      <c r="O2058">
        <v>6</v>
      </c>
    </row>
    <row r="2059" spans="1:15" x14ac:dyDescent="0.3">
      <c r="A2059" s="1">
        <v>43990</v>
      </c>
      <c r="B2059">
        <v>1000000032</v>
      </c>
      <c r="C2059" t="s">
        <v>23</v>
      </c>
      <c r="D2059">
        <v>1</v>
      </c>
      <c r="E2059">
        <v>1513.37</v>
      </c>
      <c r="F2059" t="s">
        <v>16</v>
      </c>
      <c r="G2059" t="s">
        <v>24</v>
      </c>
      <c r="H2059" t="s">
        <v>18</v>
      </c>
      <c r="I2059" t="s">
        <v>25</v>
      </c>
      <c r="J2059" t="s">
        <v>26</v>
      </c>
      <c r="K2059" t="s">
        <v>27</v>
      </c>
      <c r="L2059" t="s">
        <v>28</v>
      </c>
      <c r="M2059">
        <v>1513.37</v>
      </c>
      <c r="N2059">
        <v>2020</v>
      </c>
      <c r="O2059">
        <v>6</v>
      </c>
    </row>
    <row r="2060" spans="1:15" x14ac:dyDescent="0.3">
      <c r="A2060" s="1">
        <v>43990</v>
      </c>
      <c r="B2060">
        <v>1000000036</v>
      </c>
      <c r="C2060" t="s">
        <v>23</v>
      </c>
      <c r="D2060">
        <v>2</v>
      </c>
      <c r="E2060">
        <v>9336.09</v>
      </c>
      <c r="F2060" t="s">
        <v>16</v>
      </c>
      <c r="G2060" t="s">
        <v>24</v>
      </c>
      <c r="H2060" t="s">
        <v>47</v>
      </c>
      <c r="I2060" t="s">
        <v>48</v>
      </c>
      <c r="J2060" t="s">
        <v>36</v>
      </c>
      <c r="K2060" t="s">
        <v>49</v>
      </c>
      <c r="L2060" t="s">
        <v>28</v>
      </c>
      <c r="M2060">
        <v>4668.0450000000001</v>
      </c>
      <c r="N2060">
        <v>2020</v>
      </c>
      <c r="O2060">
        <v>6</v>
      </c>
    </row>
    <row r="2061" spans="1:15" x14ac:dyDescent="0.3">
      <c r="A2061" s="1">
        <v>43990</v>
      </c>
      <c r="B2061">
        <v>1000000036</v>
      </c>
      <c r="C2061" t="s">
        <v>42</v>
      </c>
      <c r="D2061">
        <v>2</v>
      </c>
      <c r="E2061">
        <v>14500.73</v>
      </c>
      <c r="F2061" t="s">
        <v>16</v>
      </c>
      <c r="G2061" t="s">
        <v>43</v>
      </c>
      <c r="H2061" t="s">
        <v>47</v>
      </c>
      <c r="I2061" t="s">
        <v>48</v>
      </c>
      <c r="J2061" t="s">
        <v>36</v>
      </c>
      <c r="K2061" t="s">
        <v>49</v>
      </c>
      <c r="L2061" t="s">
        <v>28</v>
      </c>
      <c r="M2061">
        <v>7250.3649999999998</v>
      </c>
      <c r="N2061">
        <v>2020</v>
      </c>
      <c r="O2061">
        <v>6</v>
      </c>
    </row>
    <row r="2062" spans="1:15" x14ac:dyDescent="0.3">
      <c r="A2062" s="1">
        <v>43990</v>
      </c>
      <c r="B2062">
        <v>1000000037</v>
      </c>
      <c r="C2062" t="s">
        <v>23</v>
      </c>
      <c r="D2062">
        <v>1</v>
      </c>
      <c r="E2062">
        <v>5500.39</v>
      </c>
      <c r="F2062" t="s">
        <v>16</v>
      </c>
      <c r="G2062" t="s">
        <v>24</v>
      </c>
      <c r="H2062" t="s">
        <v>18</v>
      </c>
      <c r="I2062" t="s">
        <v>19</v>
      </c>
      <c r="J2062" t="s">
        <v>20</v>
      </c>
      <c r="K2062" t="s">
        <v>21</v>
      </c>
      <c r="L2062" t="s">
        <v>22</v>
      </c>
      <c r="M2062">
        <v>5500.39</v>
      </c>
      <c r="N2062">
        <v>2020</v>
      </c>
      <c r="O2062">
        <v>6</v>
      </c>
    </row>
    <row r="2063" spans="1:15" x14ac:dyDescent="0.3">
      <c r="A2063" s="1">
        <v>43990</v>
      </c>
      <c r="B2063">
        <v>1000000043</v>
      </c>
      <c r="C2063" t="s">
        <v>15</v>
      </c>
      <c r="D2063">
        <v>1</v>
      </c>
      <c r="E2063">
        <v>5000.41</v>
      </c>
      <c r="F2063" t="s">
        <v>16</v>
      </c>
      <c r="G2063" t="s">
        <v>17</v>
      </c>
      <c r="H2063" t="s">
        <v>30</v>
      </c>
      <c r="I2063" t="s">
        <v>38</v>
      </c>
      <c r="J2063" t="s">
        <v>26</v>
      </c>
      <c r="K2063" t="s">
        <v>39</v>
      </c>
      <c r="L2063" t="s">
        <v>22</v>
      </c>
      <c r="M2063">
        <v>5000.41</v>
      </c>
      <c r="N2063">
        <v>2020</v>
      </c>
      <c r="O2063">
        <v>6</v>
      </c>
    </row>
    <row r="2064" spans="1:15" x14ac:dyDescent="0.3">
      <c r="A2064" s="1">
        <v>43990</v>
      </c>
      <c r="B2064">
        <v>1000000044</v>
      </c>
      <c r="C2064" t="s">
        <v>23</v>
      </c>
      <c r="D2064">
        <v>1</v>
      </c>
      <c r="E2064">
        <v>1578.72</v>
      </c>
      <c r="F2064" t="s">
        <v>16</v>
      </c>
      <c r="G2064" t="s">
        <v>24</v>
      </c>
      <c r="H2064" t="s">
        <v>30</v>
      </c>
      <c r="I2064" t="s">
        <v>31</v>
      </c>
      <c r="J2064" t="s">
        <v>36</v>
      </c>
      <c r="K2064" t="s">
        <v>52</v>
      </c>
      <c r="L2064" t="s">
        <v>28</v>
      </c>
      <c r="M2064">
        <v>1578.72</v>
      </c>
      <c r="N2064">
        <v>2020</v>
      </c>
      <c r="O2064">
        <v>6</v>
      </c>
    </row>
    <row r="2065" spans="1:15" x14ac:dyDescent="0.3">
      <c r="A2065" s="1">
        <v>43990</v>
      </c>
      <c r="B2065">
        <v>1000000044</v>
      </c>
      <c r="C2065" t="s">
        <v>15</v>
      </c>
      <c r="D2065">
        <v>1</v>
      </c>
      <c r="E2065">
        <v>10000.040000000001</v>
      </c>
      <c r="F2065" t="s">
        <v>16</v>
      </c>
      <c r="G2065" t="s">
        <v>17</v>
      </c>
      <c r="H2065" t="s">
        <v>30</v>
      </c>
      <c r="I2065" t="s">
        <v>31</v>
      </c>
      <c r="J2065" t="s">
        <v>36</v>
      </c>
      <c r="K2065" t="s">
        <v>52</v>
      </c>
      <c r="L2065" t="s">
        <v>28</v>
      </c>
      <c r="M2065">
        <v>10000.040000000001</v>
      </c>
      <c r="N2065">
        <v>2020</v>
      </c>
      <c r="O2065">
        <v>6</v>
      </c>
    </row>
    <row r="2066" spans="1:15" x14ac:dyDescent="0.3">
      <c r="A2066" s="1">
        <v>43990</v>
      </c>
      <c r="B2066">
        <v>1000000045</v>
      </c>
      <c r="C2066" t="s">
        <v>23</v>
      </c>
      <c r="D2066">
        <v>2</v>
      </c>
      <c r="E2066">
        <v>15000.6</v>
      </c>
      <c r="F2066" t="s">
        <v>16</v>
      </c>
      <c r="G2066" t="s">
        <v>24</v>
      </c>
      <c r="H2066" t="s">
        <v>47</v>
      </c>
      <c r="I2066" t="s">
        <v>59</v>
      </c>
      <c r="J2066" t="s">
        <v>26</v>
      </c>
      <c r="K2066" t="s">
        <v>60</v>
      </c>
      <c r="L2066" t="s">
        <v>22</v>
      </c>
      <c r="M2066">
        <v>7500.3</v>
      </c>
      <c r="N2066">
        <v>2020</v>
      </c>
      <c r="O2066">
        <v>6</v>
      </c>
    </row>
    <row r="2067" spans="1:15" x14ac:dyDescent="0.3">
      <c r="A2067" s="1">
        <v>43990</v>
      </c>
      <c r="B2067">
        <v>1000000046</v>
      </c>
      <c r="C2067" t="s">
        <v>23</v>
      </c>
      <c r="D2067">
        <v>2</v>
      </c>
      <c r="E2067">
        <v>17501.21</v>
      </c>
      <c r="F2067" t="s">
        <v>16</v>
      </c>
      <c r="G2067" t="s">
        <v>24</v>
      </c>
      <c r="H2067" t="s">
        <v>30</v>
      </c>
      <c r="I2067" t="s">
        <v>38</v>
      </c>
      <c r="J2067" t="s">
        <v>26</v>
      </c>
      <c r="K2067" t="s">
        <v>39</v>
      </c>
      <c r="L2067" t="s">
        <v>22</v>
      </c>
      <c r="M2067">
        <v>8750.6049999999996</v>
      </c>
      <c r="N2067">
        <v>2020</v>
      </c>
      <c r="O2067">
        <v>6</v>
      </c>
    </row>
    <row r="2068" spans="1:15" x14ac:dyDescent="0.3">
      <c r="A2068" s="1">
        <v>43990</v>
      </c>
      <c r="B2068">
        <v>1000000054</v>
      </c>
      <c r="C2068" t="s">
        <v>23</v>
      </c>
      <c r="D2068">
        <v>1</v>
      </c>
      <c r="E2068">
        <v>1499.97</v>
      </c>
      <c r="F2068" t="s">
        <v>16</v>
      </c>
      <c r="G2068" t="s">
        <v>24</v>
      </c>
      <c r="H2068" t="s">
        <v>18</v>
      </c>
      <c r="I2068" t="s">
        <v>34</v>
      </c>
      <c r="J2068" t="s">
        <v>26</v>
      </c>
      <c r="K2068" t="s">
        <v>35</v>
      </c>
      <c r="L2068" t="s">
        <v>22</v>
      </c>
      <c r="M2068">
        <v>1499.97</v>
      </c>
      <c r="N2068">
        <v>2020</v>
      </c>
      <c r="O2068">
        <v>6</v>
      </c>
    </row>
    <row r="2069" spans="1:15" x14ac:dyDescent="0.3">
      <c r="A2069" s="1">
        <v>43990</v>
      </c>
      <c r="B2069">
        <v>1000000054</v>
      </c>
      <c r="C2069" t="s">
        <v>15</v>
      </c>
      <c r="D2069">
        <v>2</v>
      </c>
      <c r="E2069">
        <v>22000.93</v>
      </c>
      <c r="F2069" t="s">
        <v>16</v>
      </c>
      <c r="G2069" t="s">
        <v>17</v>
      </c>
      <c r="H2069" t="s">
        <v>18</v>
      </c>
      <c r="I2069" t="s">
        <v>34</v>
      </c>
      <c r="J2069" t="s">
        <v>26</v>
      </c>
      <c r="K2069" t="s">
        <v>35</v>
      </c>
      <c r="L2069" t="s">
        <v>22</v>
      </c>
      <c r="M2069">
        <v>11000.465</v>
      </c>
      <c r="N2069">
        <v>2020</v>
      </c>
      <c r="O2069">
        <v>6</v>
      </c>
    </row>
    <row r="2070" spans="1:15" x14ac:dyDescent="0.3">
      <c r="A2070" s="1">
        <v>43990</v>
      </c>
      <c r="B2070">
        <v>1000000056</v>
      </c>
      <c r="C2070" t="s">
        <v>23</v>
      </c>
      <c r="D2070">
        <v>1</v>
      </c>
      <c r="E2070">
        <v>1257.23</v>
      </c>
      <c r="F2070" t="s">
        <v>16</v>
      </c>
      <c r="G2070" t="s">
        <v>24</v>
      </c>
      <c r="H2070" t="s">
        <v>18</v>
      </c>
      <c r="I2070" t="s">
        <v>34</v>
      </c>
      <c r="J2070" t="s">
        <v>26</v>
      </c>
      <c r="K2070" t="s">
        <v>35</v>
      </c>
      <c r="L2070" t="s">
        <v>28</v>
      </c>
      <c r="M2070">
        <v>1257.23</v>
      </c>
      <c r="N2070">
        <v>2020</v>
      </c>
      <c r="O2070">
        <v>6</v>
      </c>
    </row>
    <row r="2071" spans="1:15" x14ac:dyDescent="0.3">
      <c r="A2071" s="1">
        <v>43990</v>
      </c>
      <c r="B2071">
        <v>1000000056</v>
      </c>
      <c r="C2071" t="s">
        <v>42</v>
      </c>
      <c r="D2071">
        <v>1</v>
      </c>
      <c r="E2071">
        <v>11000.47</v>
      </c>
      <c r="F2071" t="s">
        <v>16</v>
      </c>
      <c r="G2071" t="s">
        <v>43</v>
      </c>
      <c r="H2071" t="s">
        <v>18</v>
      </c>
      <c r="I2071" t="s">
        <v>34</v>
      </c>
      <c r="J2071" t="s">
        <v>26</v>
      </c>
      <c r="K2071" t="s">
        <v>35</v>
      </c>
      <c r="L2071" t="s">
        <v>28</v>
      </c>
      <c r="M2071">
        <v>11000.47</v>
      </c>
      <c r="N2071">
        <v>2020</v>
      </c>
      <c r="O2071">
        <v>6</v>
      </c>
    </row>
    <row r="2072" spans="1:15" x14ac:dyDescent="0.3">
      <c r="A2072" s="1">
        <v>43990</v>
      </c>
      <c r="B2072">
        <v>1000000067</v>
      </c>
      <c r="C2072" t="s">
        <v>23</v>
      </c>
      <c r="D2072">
        <v>1</v>
      </c>
      <c r="E2072">
        <v>4999.95</v>
      </c>
      <c r="F2072" t="s">
        <v>16</v>
      </c>
      <c r="G2072" t="s">
        <v>24</v>
      </c>
      <c r="H2072" t="s">
        <v>18</v>
      </c>
      <c r="I2072" t="s">
        <v>25</v>
      </c>
      <c r="J2072" t="s">
        <v>20</v>
      </c>
      <c r="K2072" t="s">
        <v>51</v>
      </c>
      <c r="L2072" t="s">
        <v>22</v>
      </c>
      <c r="M2072">
        <v>4999.95</v>
      </c>
      <c r="N2072">
        <v>2020</v>
      </c>
      <c r="O2072">
        <v>6</v>
      </c>
    </row>
    <row r="2073" spans="1:15" x14ac:dyDescent="0.3">
      <c r="A2073" s="1">
        <v>43990</v>
      </c>
      <c r="B2073">
        <v>1000000067</v>
      </c>
      <c r="C2073" t="s">
        <v>15</v>
      </c>
      <c r="D2073">
        <v>1</v>
      </c>
      <c r="E2073">
        <v>18000.04</v>
      </c>
      <c r="F2073" t="s">
        <v>16</v>
      </c>
      <c r="G2073" t="s">
        <v>17</v>
      </c>
      <c r="H2073" t="s">
        <v>18</v>
      </c>
      <c r="I2073" t="s">
        <v>25</v>
      </c>
      <c r="J2073" t="s">
        <v>20</v>
      </c>
      <c r="K2073" t="s">
        <v>51</v>
      </c>
      <c r="L2073" t="s">
        <v>22</v>
      </c>
      <c r="M2073">
        <v>18000.04</v>
      </c>
      <c r="N2073">
        <v>2020</v>
      </c>
      <c r="O2073">
        <v>6</v>
      </c>
    </row>
    <row r="2074" spans="1:15" x14ac:dyDescent="0.3">
      <c r="A2074" s="1">
        <v>43990</v>
      </c>
      <c r="B2074">
        <v>1000000068</v>
      </c>
      <c r="C2074" t="s">
        <v>42</v>
      </c>
      <c r="D2074">
        <v>1</v>
      </c>
      <c r="E2074">
        <v>4400.1899999999996</v>
      </c>
      <c r="F2074" t="s">
        <v>16</v>
      </c>
      <c r="G2074" t="s">
        <v>43</v>
      </c>
      <c r="H2074" t="s">
        <v>30</v>
      </c>
      <c r="I2074" t="s">
        <v>55</v>
      </c>
      <c r="J2074" t="s">
        <v>26</v>
      </c>
      <c r="K2074" t="s">
        <v>56</v>
      </c>
      <c r="L2074" t="s">
        <v>28</v>
      </c>
      <c r="M2074">
        <v>4400.1899999999996</v>
      </c>
      <c r="N2074">
        <v>2020</v>
      </c>
      <c r="O2074">
        <v>6</v>
      </c>
    </row>
    <row r="2075" spans="1:15" x14ac:dyDescent="0.3">
      <c r="A2075" s="1">
        <v>43990</v>
      </c>
      <c r="B2075">
        <v>1000000104</v>
      </c>
      <c r="C2075" t="s">
        <v>23</v>
      </c>
      <c r="D2075">
        <v>1</v>
      </c>
      <c r="E2075">
        <v>4000.65</v>
      </c>
      <c r="F2075" t="s">
        <v>16</v>
      </c>
      <c r="G2075" t="s">
        <v>24</v>
      </c>
      <c r="H2075" t="s">
        <v>18</v>
      </c>
      <c r="I2075" t="s">
        <v>40</v>
      </c>
      <c r="J2075" t="s">
        <v>26</v>
      </c>
      <c r="K2075" t="s">
        <v>41</v>
      </c>
      <c r="L2075" t="s">
        <v>22</v>
      </c>
      <c r="M2075">
        <v>4000.65</v>
      </c>
      <c r="N2075">
        <v>2020</v>
      </c>
      <c r="O2075">
        <v>6</v>
      </c>
    </row>
    <row r="2076" spans="1:15" x14ac:dyDescent="0.3">
      <c r="A2076" s="1">
        <v>43990</v>
      </c>
      <c r="B2076">
        <v>1000000237</v>
      </c>
      <c r="C2076" t="s">
        <v>42</v>
      </c>
      <c r="D2076">
        <v>4</v>
      </c>
      <c r="E2076">
        <v>60001.489999999991</v>
      </c>
      <c r="F2076" t="s">
        <v>16</v>
      </c>
      <c r="G2076" t="s">
        <v>43</v>
      </c>
      <c r="H2076" t="s">
        <v>18</v>
      </c>
      <c r="I2076" t="s">
        <v>40</v>
      </c>
      <c r="J2076" t="s">
        <v>26</v>
      </c>
      <c r="K2076" t="s">
        <v>41</v>
      </c>
      <c r="L2076" t="s">
        <v>22</v>
      </c>
      <c r="M2076">
        <v>15000.372499999998</v>
      </c>
      <c r="N2076">
        <v>2020</v>
      </c>
      <c r="O2076">
        <v>6</v>
      </c>
    </row>
    <row r="2077" spans="1:15" x14ac:dyDescent="0.3">
      <c r="A2077" s="1">
        <v>43990</v>
      </c>
      <c r="B2077">
        <v>1000000566</v>
      </c>
      <c r="C2077" t="s">
        <v>15</v>
      </c>
      <c r="D2077">
        <v>1</v>
      </c>
      <c r="E2077">
        <v>1379.76</v>
      </c>
      <c r="F2077" t="s">
        <v>16</v>
      </c>
      <c r="G2077" t="s">
        <v>17</v>
      </c>
      <c r="H2077" t="s">
        <v>47</v>
      </c>
      <c r="I2077" t="s">
        <v>48</v>
      </c>
      <c r="J2077" t="s">
        <v>36</v>
      </c>
      <c r="K2077" t="s">
        <v>49</v>
      </c>
      <c r="L2077" t="s">
        <v>22</v>
      </c>
      <c r="M2077">
        <v>1379.76</v>
      </c>
      <c r="N2077">
        <v>2020</v>
      </c>
      <c r="O2077">
        <v>6</v>
      </c>
    </row>
    <row r="2078" spans="1:15" x14ac:dyDescent="0.3">
      <c r="A2078" s="1">
        <v>43990</v>
      </c>
      <c r="B2078">
        <v>1000000566</v>
      </c>
      <c r="C2078" t="s">
        <v>42</v>
      </c>
      <c r="D2078">
        <v>1</v>
      </c>
      <c r="E2078">
        <v>13000.55</v>
      </c>
      <c r="F2078" t="s">
        <v>16</v>
      </c>
      <c r="G2078" t="s">
        <v>43</v>
      </c>
      <c r="H2078" t="s">
        <v>47</v>
      </c>
      <c r="I2078" t="s">
        <v>48</v>
      </c>
      <c r="J2078" t="s">
        <v>36</v>
      </c>
      <c r="K2078" t="s">
        <v>49</v>
      </c>
      <c r="L2078" t="s">
        <v>22</v>
      </c>
      <c r="M2078">
        <v>13000.55</v>
      </c>
      <c r="N2078">
        <v>2020</v>
      </c>
      <c r="O2078">
        <v>6</v>
      </c>
    </row>
    <row r="2079" spans="1:15" x14ac:dyDescent="0.3">
      <c r="A2079" s="1">
        <v>43990</v>
      </c>
      <c r="B2079">
        <v>1000000576</v>
      </c>
      <c r="C2079" t="s">
        <v>15</v>
      </c>
      <c r="D2079">
        <v>1</v>
      </c>
      <c r="E2079">
        <v>13000.41</v>
      </c>
      <c r="F2079" t="s">
        <v>16</v>
      </c>
      <c r="G2079" t="s">
        <v>17</v>
      </c>
      <c r="H2079" t="s">
        <v>18</v>
      </c>
      <c r="I2079" t="s">
        <v>25</v>
      </c>
      <c r="J2079" t="s">
        <v>36</v>
      </c>
      <c r="K2079" t="s">
        <v>37</v>
      </c>
      <c r="L2079" t="s">
        <v>22</v>
      </c>
      <c r="M2079">
        <v>13000.41</v>
      </c>
      <c r="N2079">
        <v>2020</v>
      </c>
      <c r="O2079">
        <v>6</v>
      </c>
    </row>
    <row r="2080" spans="1:15" x14ac:dyDescent="0.3">
      <c r="A2080" s="1">
        <v>43990</v>
      </c>
      <c r="B2080">
        <v>1000000594</v>
      </c>
      <c r="C2080" t="s">
        <v>15</v>
      </c>
      <c r="D2080">
        <v>2</v>
      </c>
      <c r="E2080">
        <v>32000.050000000003</v>
      </c>
      <c r="F2080" t="s">
        <v>16</v>
      </c>
      <c r="G2080" t="s">
        <v>17</v>
      </c>
      <c r="H2080" t="s">
        <v>18</v>
      </c>
      <c r="I2080" t="s">
        <v>25</v>
      </c>
      <c r="J2080" t="s">
        <v>20</v>
      </c>
      <c r="K2080" t="s">
        <v>51</v>
      </c>
      <c r="L2080" t="s">
        <v>22</v>
      </c>
      <c r="M2080">
        <v>16000.025000000001</v>
      </c>
      <c r="N2080">
        <v>2020</v>
      </c>
      <c r="O2080">
        <v>6</v>
      </c>
    </row>
    <row r="2081" spans="1:15" x14ac:dyDescent="0.3">
      <c r="A2081" s="1">
        <v>43990</v>
      </c>
      <c r="B2081">
        <v>1000001513</v>
      </c>
      <c r="C2081" t="s">
        <v>15</v>
      </c>
      <c r="D2081">
        <v>1</v>
      </c>
      <c r="E2081">
        <v>500.24</v>
      </c>
      <c r="F2081" t="s">
        <v>16</v>
      </c>
      <c r="G2081" t="s">
        <v>17</v>
      </c>
      <c r="H2081" t="s">
        <v>18</v>
      </c>
      <c r="I2081" t="s">
        <v>34</v>
      </c>
      <c r="J2081" t="s">
        <v>20</v>
      </c>
      <c r="K2081" t="s">
        <v>44</v>
      </c>
      <c r="L2081" t="s">
        <v>22</v>
      </c>
      <c r="M2081">
        <v>500.24</v>
      </c>
      <c r="N2081">
        <v>2020</v>
      </c>
      <c r="O2081">
        <v>6</v>
      </c>
    </row>
    <row r="2082" spans="1:15" x14ac:dyDescent="0.3">
      <c r="A2082" s="1">
        <v>43990</v>
      </c>
      <c r="B2082">
        <v>1000001524</v>
      </c>
      <c r="C2082" t="s">
        <v>42</v>
      </c>
      <c r="D2082">
        <v>1</v>
      </c>
      <c r="E2082">
        <v>5000.28</v>
      </c>
      <c r="F2082" t="s">
        <v>16</v>
      </c>
      <c r="G2082" t="s">
        <v>43</v>
      </c>
      <c r="H2082" t="s">
        <v>18</v>
      </c>
      <c r="I2082" t="s">
        <v>25</v>
      </c>
      <c r="J2082" t="s">
        <v>20</v>
      </c>
      <c r="K2082" t="s">
        <v>51</v>
      </c>
      <c r="L2082" t="s">
        <v>22</v>
      </c>
      <c r="M2082">
        <v>5000.28</v>
      </c>
      <c r="N2082">
        <v>2020</v>
      </c>
      <c r="O2082">
        <v>6</v>
      </c>
    </row>
    <row r="2083" spans="1:15" x14ac:dyDescent="0.3">
      <c r="A2083" s="1">
        <v>43990</v>
      </c>
      <c r="B2083">
        <v>1000003489</v>
      </c>
      <c r="C2083" t="s">
        <v>15</v>
      </c>
      <c r="D2083">
        <v>2</v>
      </c>
      <c r="E2083">
        <v>21300.87</v>
      </c>
      <c r="F2083" t="s">
        <v>16</v>
      </c>
      <c r="G2083" t="s">
        <v>17</v>
      </c>
      <c r="H2083" t="s">
        <v>47</v>
      </c>
      <c r="I2083" t="s">
        <v>48</v>
      </c>
      <c r="J2083" t="s">
        <v>26</v>
      </c>
      <c r="K2083" t="s">
        <v>50</v>
      </c>
      <c r="L2083" t="s">
        <v>22</v>
      </c>
      <c r="M2083">
        <v>10650.434999999999</v>
      </c>
      <c r="N2083">
        <v>2020</v>
      </c>
      <c r="O2083">
        <v>6</v>
      </c>
    </row>
    <row r="2084" spans="1:15" x14ac:dyDescent="0.3">
      <c r="A2084" s="1">
        <v>43990</v>
      </c>
      <c r="B2084">
        <v>1000003803</v>
      </c>
      <c r="C2084" t="s">
        <v>23</v>
      </c>
      <c r="D2084">
        <v>1</v>
      </c>
      <c r="E2084">
        <v>7000.52</v>
      </c>
      <c r="F2084" t="s">
        <v>16</v>
      </c>
      <c r="G2084" t="s">
        <v>24</v>
      </c>
      <c r="H2084" t="s">
        <v>30</v>
      </c>
      <c r="I2084" t="s">
        <v>31</v>
      </c>
      <c r="J2084" t="s">
        <v>36</v>
      </c>
      <c r="K2084" t="s">
        <v>52</v>
      </c>
      <c r="L2084" t="s">
        <v>22</v>
      </c>
      <c r="M2084">
        <v>7000.52</v>
      </c>
      <c r="N2084">
        <v>2020</v>
      </c>
      <c r="O2084">
        <v>6</v>
      </c>
    </row>
    <row r="2085" spans="1:15" x14ac:dyDescent="0.3">
      <c r="A2085" s="1">
        <v>43990</v>
      </c>
      <c r="B2085">
        <v>1000004170</v>
      </c>
      <c r="C2085" t="s">
        <v>23</v>
      </c>
      <c r="D2085">
        <v>1</v>
      </c>
      <c r="E2085">
        <v>6000.03</v>
      </c>
      <c r="F2085" t="s">
        <v>16</v>
      </c>
      <c r="G2085" t="s">
        <v>24</v>
      </c>
      <c r="H2085" t="s">
        <v>18</v>
      </c>
      <c r="I2085" t="s">
        <v>34</v>
      </c>
      <c r="J2085" t="s">
        <v>20</v>
      </c>
      <c r="K2085" t="s">
        <v>44</v>
      </c>
      <c r="L2085" t="s">
        <v>28</v>
      </c>
      <c r="M2085">
        <v>6000.03</v>
      </c>
      <c r="N2085">
        <v>2020</v>
      </c>
      <c r="O2085">
        <v>6</v>
      </c>
    </row>
    <row r="2086" spans="1:15" x14ac:dyDescent="0.3">
      <c r="A2086" s="1">
        <v>43990</v>
      </c>
      <c r="B2086">
        <v>1000004170</v>
      </c>
      <c r="C2086" t="s">
        <v>15</v>
      </c>
      <c r="D2086">
        <v>1</v>
      </c>
      <c r="E2086">
        <v>25000.75</v>
      </c>
      <c r="F2086" t="s">
        <v>16</v>
      </c>
      <c r="G2086" t="s">
        <v>17</v>
      </c>
      <c r="H2086" t="s">
        <v>18</v>
      </c>
      <c r="I2086" t="s">
        <v>34</v>
      </c>
      <c r="J2086" t="s">
        <v>20</v>
      </c>
      <c r="K2086" t="s">
        <v>44</v>
      </c>
      <c r="L2086" t="s">
        <v>28</v>
      </c>
      <c r="M2086">
        <v>25000.75</v>
      </c>
      <c r="N2086">
        <v>2020</v>
      </c>
      <c r="O2086">
        <v>6</v>
      </c>
    </row>
    <row r="2087" spans="1:15" x14ac:dyDescent="0.3">
      <c r="A2087" s="1">
        <v>43990</v>
      </c>
      <c r="B2087">
        <v>1000004256</v>
      </c>
      <c r="C2087" t="s">
        <v>15</v>
      </c>
      <c r="D2087">
        <v>1</v>
      </c>
      <c r="E2087">
        <v>5500.09</v>
      </c>
      <c r="F2087" t="s">
        <v>16</v>
      </c>
      <c r="G2087" t="s">
        <v>17</v>
      </c>
      <c r="H2087" t="s">
        <v>18</v>
      </c>
      <c r="I2087" t="s">
        <v>40</v>
      </c>
      <c r="J2087" t="s">
        <v>26</v>
      </c>
      <c r="K2087" t="s">
        <v>41</v>
      </c>
      <c r="L2087" t="s">
        <v>22</v>
      </c>
      <c r="M2087">
        <v>5500.09</v>
      </c>
      <c r="N2087">
        <v>2020</v>
      </c>
      <c r="O2087">
        <v>6</v>
      </c>
    </row>
    <row r="2088" spans="1:15" x14ac:dyDescent="0.3">
      <c r="A2088" s="1">
        <v>43990</v>
      </c>
      <c r="B2088">
        <v>1000004256</v>
      </c>
      <c r="C2088" t="s">
        <v>42</v>
      </c>
      <c r="D2088">
        <v>1</v>
      </c>
      <c r="E2088">
        <v>7500.13</v>
      </c>
      <c r="F2088" t="s">
        <v>16</v>
      </c>
      <c r="G2088" t="s">
        <v>43</v>
      </c>
      <c r="H2088" t="s">
        <v>18</v>
      </c>
      <c r="I2088" t="s">
        <v>40</v>
      </c>
      <c r="J2088" t="s">
        <v>26</v>
      </c>
      <c r="K2088" t="s">
        <v>41</v>
      </c>
      <c r="L2088" t="s">
        <v>22</v>
      </c>
      <c r="M2088">
        <v>7500.13</v>
      </c>
      <c r="N2088">
        <v>2020</v>
      </c>
      <c r="O2088">
        <v>6</v>
      </c>
    </row>
    <row r="2089" spans="1:15" x14ac:dyDescent="0.3">
      <c r="A2089" s="1">
        <v>43990</v>
      </c>
      <c r="B2089">
        <v>1000005873</v>
      </c>
      <c r="C2089" t="s">
        <v>15</v>
      </c>
      <c r="D2089">
        <v>2</v>
      </c>
      <c r="E2089">
        <v>20000.71</v>
      </c>
      <c r="F2089" t="s">
        <v>16</v>
      </c>
      <c r="G2089" t="s">
        <v>17</v>
      </c>
      <c r="H2089" t="s">
        <v>18</v>
      </c>
      <c r="I2089" t="s">
        <v>19</v>
      </c>
      <c r="J2089" t="s">
        <v>20</v>
      </c>
      <c r="K2089" t="s">
        <v>21</v>
      </c>
      <c r="L2089" t="s">
        <v>28</v>
      </c>
      <c r="M2089">
        <v>10000.355</v>
      </c>
      <c r="N2089">
        <v>2020</v>
      </c>
      <c r="O2089">
        <v>6</v>
      </c>
    </row>
    <row r="2090" spans="1:15" x14ac:dyDescent="0.3">
      <c r="A2090" s="1">
        <v>43990</v>
      </c>
      <c r="B2090">
        <v>1000006698</v>
      </c>
      <c r="C2090" t="s">
        <v>15</v>
      </c>
      <c r="D2090">
        <v>1</v>
      </c>
      <c r="E2090">
        <v>17000.12</v>
      </c>
      <c r="F2090" t="s">
        <v>16</v>
      </c>
      <c r="G2090" t="s">
        <v>17</v>
      </c>
      <c r="H2090" t="s">
        <v>30</v>
      </c>
      <c r="I2090" t="s">
        <v>38</v>
      </c>
      <c r="J2090" t="s">
        <v>26</v>
      </c>
      <c r="K2090" t="s">
        <v>39</v>
      </c>
      <c r="L2090" t="s">
        <v>28</v>
      </c>
      <c r="M2090">
        <v>17000.12</v>
      </c>
      <c r="N2090">
        <v>2020</v>
      </c>
      <c r="O2090">
        <v>6</v>
      </c>
    </row>
    <row r="2091" spans="1:15" x14ac:dyDescent="0.3">
      <c r="A2091" s="1">
        <v>43990</v>
      </c>
      <c r="B2091">
        <v>1000006698</v>
      </c>
      <c r="C2091" t="s">
        <v>42</v>
      </c>
      <c r="D2091">
        <v>1</v>
      </c>
      <c r="E2091">
        <v>12000.01</v>
      </c>
      <c r="F2091" t="s">
        <v>16</v>
      </c>
      <c r="G2091" t="s">
        <v>43</v>
      </c>
      <c r="H2091" t="s">
        <v>30</v>
      </c>
      <c r="I2091" t="s">
        <v>38</v>
      </c>
      <c r="J2091" t="s">
        <v>26</v>
      </c>
      <c r="K2091" t="s">
        <v>39</v>
      </c>
      <c r="L2091" t="s">
        <v>28</v>
      </c>
      <c r="M2091">
        <v>12000.01</v>
      </c>
      <c r="N2091">
        <v>2020</v>
      </c>
      <c r="O2091">
        <v>6</v>
      </c>
    </row>
    <row r="2092" spans="1:15" x14ac:dyDescent="0.3">
      <c r="A2092" s="1">
        <v>43990</v>
      </c>
      <c r="B2092">
        <v>1000006859</v>
      </c>
      <c r="C2092" t="s">
        <v>42</v>
      </c>
      <c r="D2092">
        <v>1</v>
      </c>
      <c r="E2092">
        <v>9000.15</v>
      </c>
      <c r="F2092" t="s">
        <v>16</v>
      </c>
      <c r="G2092" t="s">
        <v>43</v>
      </c>
      <c r="H2092" t="s">
        <v>18</v>
      </c>
      <c r="I2092" t="s">
        <v>61</v>
      </c>
      <c r="J2092" t="s">
        <v>26</v>
      </c>
      <c r="K2092" t="s">
        <v>62</v>
      </c>
      <c r="L2092" t="s">
        <v>22</v>
      </c>
      <c r="M2092">
        <v>9000.15</v>
      </c>
      <c r="N2092">
        <v>2020</v>
      </c>
      <c r="O2092">
        <v>6</v>
      </c>
    </row>
    <row r="2093" spans="1:15" x14ac:dyDescent="0.3">
      <c r="A2093" s="1">
        <v>43990</v>
      </c>
      <c r="B2093">
        <v>1000006867</v>
      </c>
      <c r="C2093" t="s">
        <v>42</v>
      </c>
      <c r="D2093">
        <v>1</v>
      </c>
      <c r="E2093">
        <v>16000.7</v>
      </c>
      <c r="F2093" t="s">
        <v>16</v>
      </c>
      <c r="G2093" t="s">
        <v>43</v>
      </c>
      <c r="H2093" t="s">
        <v>18</v>
      </c>
      <c r="I2093" t="s">
        <v>61</v>
      </c>
      <c r="J2093" t="s">
        <v>26</v>
      </c>
      <c r="K2093" t="s">
        <v>62</v>
      </c>
      <c r="L2093" t="s">
        <v>22</v>
      </c>
      <c r="M2093">
        <v>16000.7</v>
      </c>
      <c r="N2093">
        <v>2020</v>
      </c>
      <c r="O2093">
        <v>6</v>
      </c>
    </row>
    <row r="2094" spans="1:15" x14ac:dyDescent="0.3">
      <c r="A2094" s="1">
        <v>43990</v>
      </c>
      <c r="B2094">
        <v>1000006869</v>
      </c>
      <c r="C2094" t="s">
        <v>15</v>
      </c>
      <c r="D2094">
        <v>2</v>
      </c>
      <c r="E2094">
        <v>11501.51</v>
      </c>
      <c r="F2094" t="s">
        <v>16</v>
      </c>
      <c r="G2094" t="s">
        <v>17</v>
      </c>
      <c r="H2094" t="s">
        <v>18</v>
      </c>
      <c r="I2094" t="s">
        <v>61</v>
      </c>
      <c r="J2094" t="s">
        <v>26</v>
      </c>
      <c r="K2094" t="s">
        <v>62</v>
      </c>
      <c r="L2094" t="s">
        <v>22</v>
      </c>
      <c r="M2094">
        <v>5750.7550000000001</v>
      </c>
      <c r="N2094">
        <v>2020</v>
      </c>
      <c r="O2094">
        <v>6</v>
      </c>
    </row>
    <row r="2095" spans="1:15" x14ac:dyDescent="0.3">
      <c r="A2095" s="1">
        <v>43990</v>
      </c>
      <c r="B2095">
        <v>1000006869</v>
      </c>
      <c r="C2095" t="s">
        <v>42</v>
      </c>
      <c r="D2095">
        <v>1</v>
      </c>
      <c r="E2095">
        <v>3000.1</v>
      </c>
      <c r="F2095" t="s">
        <v>16</v>
      </c>
      <c r="G2095" t="s">
        <v>43</v>
      </c>
      <c r="H2095" t="s">
        <v>18</v>
      </c>
      <c r="I2095" t="s">
        <v>61</v>
      </c>
      <c r="J2095" t="s">
        <v>26</v>
      </c>
      <c r="K2095" t="s">
        <v>62</v>
      </c>
      <c r="L2095" t="s">
        <v>22</v>
      </c>
      <c r="M2095">
        <v>3000.1</v>
      </c>
      <c r="N2095">
        <v>2020</v>
      </c>
      <c r="O2095">
        <v>6</v>
      </c>
    </row>
    <row r="2096" spans="1:15" x14ac:dyDescent="0.3">
      <c r="A2096" s="1">
        <v>43990</v>
      </c>
      <c r="B2096">
        <v>1000007320</v>
      </c>
      <c r="C2096" t="s">
        <v>23</v>
      </c>
      <c r="D2096">
        <v>3</v>
      </c>
      <c r="E2096">
        <v>45001.09</v>
      </c>
      <c r="F2096" t="s">
        <v>16</v>
      </c>
      <c r="G2096" t="s">
        <v>24</v>
      </c>
      <c r="H2096" t="s">
        <v>18</v>
      </c>
      <c r="I2096" t="s">
        <v>34</v>
      </c>
      <c r="J2096" t="s">
        <v>26</v>
      </c>
      <c r="K2096" t="s">
        <v>35</v>
      </c>
      <c r="L2096" t="s">
        <v>22</v>
      </c>
      <c r="M2096">
        <v>15000.363333333333</v>
      </c>
      <c r="N2096">
        <v>2020</v>
      </c>
      <c r="O2096">
        <v>6</v>
      </c>
    </row>
    <row r="2097" spans="1:15" x14ac:dyDescent="0.3">
      <c r="A2097" s="1">
        <v>43990</v>
      </c>
      <c r="B2097">
        <v>1000008228</v>
      </c>
      <c r="C2097" t="s">
        <v>23</v>
      </c>
      <c r="D2097">
        <v>1</v>
      </c>
      <c r="E2097">
        <v>15000.2</v>
      </c>
      <c r="F2097" t="s">
        <v>16</v>
      </c>
      <c r="G2097" t="s">
        <v>24</v>
      </c>
      <c r="H2097" t="s">
        <v>30</v>
      </c>
      <c r="I2097" t="s">
        <v>31</v>
      </c>
      <c r="J2097" t="s">
        <v>36</v>
      </c>
      <c r="K2097" t="s">
        <v>52</v>
      </c>
      <c r="L2097" t="s">
        <v>22</v>
      </c>
      <c r="M2097">
        <v>15000.2</v>
      </c>
      <c r="N2097">
        <v>2020</v>
      </c>
      <c r="O2097">
        <v>6</v>
      </c>
    </row>
    <row r="2098" spans="1:15" x14ac:dyDescent="0.3">
      <c r="A2098" s="1">
        <v>43990</v>
      </c>
      <c r="B2098">
        <v>1000008239</v>
      </c>
      <c r="C2098" t="s">
        <v>15</v>
      </c>
      <c r="D2098">
        <v>2</v>
      </c>
      <c r="E2098">
        <v>25000.59</v>
      </c>
      <c r="F2098" t="s">
        <v>16</v>
      </c>
      <c r="G2098" t="s">
        <v>17</v>
      </c>
      <c r="H2098" t="s">
        <v>18</v>
      </c>
      <c r="I2098" t="s">
        <v>61</v>
      </c>
      <c r="J2098" t="s">
        <v>26</v>
      </c>
      <c r="K2098" t="s">
        <v>62</v>
      </c>
      <c r="L2098" t="s">
        <v>28</v>
      </c>
      <c r="M2098">
        <v>12500.295</v>
      </c>
      <c r="N2098">
        <v>2020</v>
      </c>
      <c r="O2098">
        <v>6</v>
      </c>
    </row>
    <row r="2099" spans="1:15" x14ac:dyDescent="0.3">
      <c r="A2099" s="1">
        <v>43990</v>
      </c>
      <c r="B2099">
        <v>1000008542</v>
      </c>
      <c r="C2099" t="s">
        <v>23</v>
      </c>
      <c r="D2099">
        <v>1</v>
      </c>
      <c r="E2099">
        <v>999.51</v>
      </c>
      <c r="F2099" t="s">
        <v>16</v>
      </c>
      <c r="G2099" t="s">
        <v>24</v>
      </c>
      <c r="H2099" t="s">
        <v>18</v>
      </c>
      <c r="I2099" t="s">
        <v>40</v>
      </c>
      <c r="J2099" t="s">
        <v>26</v>
      </c>
      <c r="K2099" t="s">
        <v>41</v>
      </c>
      <c r="L2099" t="s">
        <v>22</v>
      </c>
      <c r="M2099">
        <v>999.51</v>
      </c>
      <c r="N2099">
        <v>2020</v>
      </c>
      <c r="O2099">
        <v>6</v>
      </c>
    </row>
    <row r="2100" spans="1:15" x14ac:dyDescent="0.3">
      <c r="A2100" s="1">
        <v>43990</v>
      </c>
      <c r="B2100">
        <v>1000008542</v>
      </c>
      <c r="C2100" t="s">
        <v>15</v>
      </c>
      <c r="D2100">
        <v>3</v>
      </c>
      <c r="E2100">
        <v>42867.069999999992</v>
      </c>
      <c r="F2100" t="s">
        <v>16</v>
      </c>
      <c r="G2100" t="s">
        <v>17</v>
      </c>
      <c r="H2100" t="s">
        <v>18</v>
      </c>
      <c r="I2100" t="s">
        <v>40</v>
      </c>
      <c r="J2100" t="s">
        <v>26</v>
      </c>
      <c r="K2100" t="s">
        <v>41</v>
      </c>
      <c r="L2100" t="s">
        <v>22</v>
      </c>
      <c r="M2100">
        <v>14289.023333333331</v>
      </c>
      <c r="N2100">
        <v>2020</v>
      </c>
      <c r="O2100">
        <v>6</v>
      </c>
    </row>
    <row r="2101" spans="1:15" x14ac:dyDescent="0.3">
      <c r="A2101" s="1">
        <v>43990</v>
      </c>
      <c r="B2101">
        <v>1000008704</v>
      </c>
      <c r="C2101" t="s">
        <v>15</v>
      </c>
      <c r="D2101">
        <v>1</v>
      </c>
      <c r="E2101">
        <v>6000.7</v>
      </c>
      <c r="F2101" t="s">
        <v>16</v>
      </c>
      <c r="G2101" t="s">
        <v>17</v>
      </c>
      <c r="H2101" t="s">
        <v>18</v>
      </c>
      <c r="I2101" t="s">
        <v>61</v>
      </c>
      <c r="J2101" t="s">
        <v>26</v>
      </c>
      <c r="K2101" t="s">
        <v>62</v>
      </c>
      <c r="L2101" t="s">
        <v>22</v>
      </c>
      <c r="M2101">
        <v>6000.7</v>
      </c>
      <c r="N2101">
        <v>2020</v>
      </c>
      <c r="O2101">
        <v>6</v>
      </c>
    </row>
    <row r="2102" spans="1:15" x14ac:dyDescent="0.3">
      <c r="A2102" s="1">
        <v>43990</v>
      </c>
      <c r="B2102">
        <v>1000009288</v>
      </c>
      <c r="C2102" t="s">
        <v>23</v>
      </c>
      <c r="D2102">
        <v>1</v>
      </c>
      <c r="E2102">
        <v>4000.12</v>
      </c>
      <c r="F2102" t="s">
        <v>16</v>
      </c>
      <c r="G2102" t="s">
        <v>24</v>
      </c>
      <c r="H2102" t="s">
        <v>18</v>
      </c>
      <c r="I2102" t="s">
        <v>25</v>
      </c>
      <c r="J2102" t="s">
        <v>20</v>
      </c>
      <c r="K2102" t="s">
        <v>51</v>
      </c>
      <c r="L2102" t="s">
        <v>22</v>
      </c>
      <c r="M2102">
        <v>4000.12</v>
      </c>
      <c r="N2102">
        <v>2020</v>
      </c>
      <c r="O2102">
        <v>6</v>
      </c>
    </row>
    <row r="2103" spans="1:15" x14ac:dyDescent="0.3">
      <c r="A2103" s="1">
        <v>43990</v>
      </c>
      <c r="B2103">
        <v>1000010814</v>
      </c>
      <c r="C2103" t="s">
        <v>15</v>
      </c>
      <c r="D2103">
        <v>1</v>
      </c>
      <c r="E2103">
        <v>7000.09</v>
      </c>
      <c r="F2103" t="s">
        <v>16</v>
      </c>
      <c r="G2103" t="s">
        <v>17</v>
      </c>
      <c r="H2103" t="s">
        <v>18</v>
      </c>
      <c r="I2103" t="s">
        <v>61</v>
      </c>
      <c r="J2103" t="s">
        <v>32</v>
      </c>
      <c r="K2103" t="s">
        <v>63</v>
      </c>
      <c r="L2103" t="s">
        <v>22</v>
      </c>
      <c r="M2103">
        <v>7000.09</v>
      </c>
      <c r="N2103">
        <v>2020</v>
      </c>
      <c r="O2103">
        <v>6</v>
      </c>
    </row>
    <row r="2104" spans="1:15" x14ac:dyDescent="0.3">
      <c r="A2104" s="1">
        <v>43990</v>
      </c>
      <c r="B2104">
        <v>1000010814</v>
      </c>
      <c r="C2104" t="s">
        <v>42</v>
      </c>
      <c r="D2104">
        <v>1</v>
      </c>
      <c r="E2104">
        <v>13000.55</v>
      </c>
      <c r="F2104" t="s">
        <v>16</v>
      </c>
      <c r="G2104" t="s">
        <v>43</v>
      </c>
      <c r="H2104" t="s">
        <v>18</v>
      </c>
      <c r="I2104" t="s">
        <v>61</v>
      </c>
      <c r="J2104" t="s">
        <v>32</v>
      </c>
      <c r="K2104" t="s">
        <v>63</v>
      </c>
      <c r="L2104" t="s">
        <v>22</v>
      </c>
      <c r="M2104">
        <v>13000.55</v>
      </c>
      <c r="N2104">
        <v>2020</v>
      </c>
      <c r="O2104">
        <v>6</v>
      </c>
    </row>
    <row r="2105" spans="1:15" x14ac:dyDescent="0.3">
      <c r="A2105" s="1">
        <v>43990</v>
      </c>
      <c r="B2105">
        <v>1000010837</v>
      </c>
      <c r="C2105" t="s">
        <v>15</v>
      </c>
      <c r="D2105">
        <v>1</v>
      </c>
      <c r="E2105">
        <v>5000.43</v>
      </c>
      <c r="F2105" t="s">
        <v>16</v>
      </c>
      <c r="G2105" t="s">
        <v>17</v>
      </c>
      <c r="H2105" t="s">
        <v>18</v>
      </c>
      <c r="I2105" t="s">
        <v>61</v>
      </c>
      <c r="J2105" t="s">
        <v>26</v>
      </c>
      <c r="K2105" t="s">
        <v>62</v>
      </c>
      <c r="L2105" t="s">
        <v>22</v>
      </c>
      <c r="M2105">
        <v>5000.43</v>
      </c>
      <c r="N2105">
        <v>2020</v>
      </c>
      <c r="O2105">
        <v>6</v>
      </c>
    </row>
    <row r="2106" spans="1:15" x14ac:dyDescent="0.3">
      <c r="A2106" s="1">
        <v>43990</v>
      </c>
      <c r="B2106">
        <v>1000011698</v>
      </c>
      <c r="C2106" t="s">
        <v>23</v>
      </c>
      <c r="D2106">
        <v>1</v>
      </c>
      <c r="E2106">
        <v>7500.42</v>
      </c>
      <c r="F2106" t="s">
        <v>16</v>
      </c>
      <c r="G2106" t="s">
        <v>24</v>
      </c>
      <c r="H2106" t="s">
        <v>18</v>
      </c>
      <c r="I2106" t="s">
        <v>34</v>
      </c>
      <c r="J2106" t="s">
        <v>20</v>
      </c>
      <c r="K2106" t="s">
        <v>44</v>
      </c>
      <c r="L2106" t="s">
        <v>22</v>
      </c>
      <c r="M2106">
        <v>7500.42</v>
      </c>
      <c r="N2106">
        <v>2020</v>
      </c>
      <c r="O2106">
        <v>6</v>
      </c>
    </row>
    <row r="2107" spans="1:15" x14ac:dyDescent="0.3">
      <c r="A2107" s="1">
        <v>43990</v>
      </c>
      <c r="B2107">
        <v>1000012099</v>
      </c>
      <c r="C2107" t="s">
        <v>15</v>
      </c>
      <c r="D2107">
        <v>2</v>
      </c>
      <c r="E2107">
        <v>31000.840000000004</v>
      </c>
      <c r="F2107" t="s">
        <v>16</v>
      </c>
      <c r="G2107" t="s">
        <v>17</v>
      </c>
      <c r="H2107" t="s">
        <v>18</v>
      </c>
      <c r="I2107" t="s">
        <v>19</v>
      </c>
      <c r="J2107" t="s">
        <v>20</v>
      </c>
      <c r="K2107" t="s">
        <v>21</v>
      </c>
      <c r="L2107" t="s">
        <v>22</v>
      </c>
      <c r="M2107">
        <v>15500.420000000002</v>
      </c>
      <c r="N2107">
        <v>2020</v>
      </c>
      <c r="O2107">
        <v>6</v>
      </c>
    </row>
    <row r="2108" spans="1:15" x14ac:dyDescent="0.3">
      <c r="A2108" s="1">
        <v>43990</v>
      </c>
      <c r="B2108">
        <v>1000012099</v>
      </c>
      <c r="C2108" t="s">
        <v>42</v>
      </c>
      <c r="D2108">
        <v>2</v>
      </c>
      <c r="E2108">
        <v>30000.400000000001</v>
      </c>
      <c r="F2108" t="s">
        <v>16</v>
      </c>
      <c r="G2108" t="s">
        <v>43</v>
      </c>
      <c r="H2108" t="s">
        <v>18</v>
      </c>
      <c r="I2108" t="s">
        <v>19</v>
      </c>
      <c r="J2108" t="s">
        <v>20</v>
      </c>
      <c r="K2108" t="s">
        <v>21</v>
      </c>
      <c r="L2108" t="s">
        <v>22</v>
      </c>
      <c r="M2108">
        <v>15000.2</v>
      </c>
      <c r="N2108">
        <v>2020</v>
      </c>
      <c r="O2108">
        <v>6</v>
      </c>
    </row>
    <row r="2109" spans="1:15" x14ac:dyDescent="0.3">
      <c r="A2109" s="1">
        <v>43990</v>
      </c>
      <c r="B2109">
        <v>1000012112</v>
      </c>
      <c r="C2109" t="s">
        <v>42</v>
      </c>
      <c r="D2109">
        <v>1</v>
      </c>
      <c r="E2109">
        <v>9000.73</v>
      </c>
      <c r="F2109" t="s">
        <v>16</v>
      </c>
      <c r="G2109" t="s">
        <v>43</v>
      </c>
      <c r="H2109" t="s">
        <v>18</v>
      </c>
      <c r="I2109" t="s">
        <v>19</v>
      </c>
      <c r="J2109" t="s">
        <v>36</v>
      </c>
      <c r="K2109" t="s">
        <v>64</v>
      </c>
      <c r="L2109" t="s">
        <v>28</v>
      </c>
      <c r="M2109">
        <v>9000.73</v>
      </c>
      <c r="N2109">
        <v>2020</v>
      </c>
      <c r="O2109">
        <v>6</v>
      </c>
    </row>
    <row r="2110" spans="1:15" x14ac:dyDescent="0.3">
      <c r="A2110" s="1">
        <v>43990</v>
      </c>
      <c r="B2110">
        <v>1000012234</v>
      </c>
      <c r="C2110" t="s">
        <v>23</v>
      </c>
      <c r="D2110">
        <v>1</v>
      </c>
      <c r="E2110">
        <v>6500.13</v>
      </c>
      <c r="F2110" t="s">
        <v>16</v>
      </c>
      <c r="G2110" t="s">
        <v>24</v>
      </c>
      <c r="H2110" t="s">
        <v>18</v>
      </c>
      <c r="I2110" t="s">
        <v>25</v>
      </c>
      <c r="J2110" t="s">
        <v>26</v>
      </c>
      <c r="K2110" t="s">
        <v>27</v>
      </c>
      <c r="L2110" t="s">
        <v>22</v>
      </c>
      <c r="M2110">
        <v>6500.13</v>
      </c>
      <c r="N2110">
        <v>2020</v>
      </c>
      <c r="O2110">
        <v>6</v>
      </c>
    </row>
    <row r="2111" spans="1:15" x14ac:dyDescent="0.3">
      <c r="A2111" s="1">
        <v>43991</v>
      </c>
      <c r="B2111">
        <v>1000000028</v>
      </c>
      <c r="C2111" t="s">
        <v>15</v>
      </c>
      <c r="D2111">
        <v>1</v>
      </c>
      <c r="E2111">
        <v>20000.23</v>
      </c>
      <c r="F2111" t="s">
        <v>16</v>
      </c>
      <c r="G2111" t="s">
        <v>17</v>
      </c>
      <c r="H2111" t="s">
        <v>18</v>
      </c>
      <c r="I2111" t="s">
        <v>19</v>
      </c>
      <c r="J2111" t="s">
        <v>20</v>
      </c>
      <c r="K2111" t="s">
        <v>21</v>
      </c>
      <c r="L2111" t="s">
        <v>22</v>
      </c>
      <c r="M2111">
        <v>20000.23</v>
      </c>
      <c r="N2111">
        <v>2020</v>
      </c>
      <c r="O2111">
        <v>6</v>
      </c>
    </row>
    <row r="2112" spans="1:15" x14ac:dyDescent="0.3">
      <c r="A2112" s="1">
        <v>43991</v>
      </c>
      <c r="B2112">
        <v>1000000029</v>
      </c>
      <c r="C2112" t="s">
        <v>23</v>
      </c>
      <c r="D2112">
        <v>1</v>
      </c>
      <c r="E2112">
        <v>10000.08</v>
      </c>
      <c r="F2112" t="s">
        <v>16</v>
      </c>
      <c r="G2112" t="s">
        <v>24</v>
      </c>
      <c r="H2112" t="s">
        <v>18</v>
      </c>
      <c r="I2112" t="s">
        <v>19</v>
      </c>
      <c r="J2112" t="s">
        <v>20</v>
      </c>
      <c r="K2112" t="s">
        <v>21</v>
      </c>
      <c r="L2112" t="s">
        <v>22</v>
      </c>
      <c r="M2112">
        <v>10000.08</v>
      </c>
      <c r="N2112">
        <v>2020</v>
      </c>
      <c r="O2112">
        <v>6</v>
      </c>
    </row>
    <row r="2113" spans="1:15" x14ac:dyDescent="0.3">
      <c r="A2113" s="1">
        <v>43991</v>
      </c>
      <c r="B2113">
        <v>1000000029</v>
      </c>
      <c r="C2113" t="s">
        <v>15</v>
      </c>
      <c r="D2113">
        <v>1</v>
      </c>
      <c r="E2113">
        <v>2000.39</v>
      </c>
      <c r="F2113" t="s">
        <v>16</v>
      </c>
      <c r="G2113" t="s">
        <v>17</v>
      </c>
      <c r="H2113" t="s">
        <v>18</v>
      </c>
      <c r="I2113" t="s">
        <v>19</v>
      </c>
      <c r="J2113" t="s">
        <v>20</v>
      </c>
      <c r="K2113" t="s">
        <v>21</v>
      </c>
      <c r="L2113" t="s">
        <v>22</v>
      </c>
      <c r="M2113">
        <v>2000.39</v>
      </c>
      <c r="N2113">
        <v>2020</v>
      </c>
      <c r="O2113">
        <v>6</v>
      </c>
    </row>
    <row r="2114" spans="1:15" x14ac:dyDescent="0.3">
      <c r="A2114" s="1">
        <v>43991</v>
      </c>
      <c r="B2114">
        <v>1000000029</v>
      </c>
      <c r="C2114" t="s">
        <v>42</v>
      </c>
      <c r="D2114">
        <v>1</v>
      </c>
      <c r="E2114">
        <v>1900.63</v>
      </c>
      <c r="F2114" t="s">
        <v>16</v>
      </c>
      <c r="G2114" t="s">
        <v>43</v>
      </c>
      <c r="H2114" t="s">
        <v>18</v>
      </c>
      <c r="I2114" t="s">
        <v>19</v>
      </c>
      <c r="J2114" t="s">
        <v>20</v>
      </c>
      <c r="K2114" t="s">
        <v>21</v>
      </c>
      <c r="L2114" t="s">
        <v>22</v>
      </c>
      <c r="M2114">
        <v>1900.63</v>
      </c>
      <c r="N2114">
        <v>2020</v>
      </c>
      <c r="O2114">
        <v>6</v>
      </c>
    </row>
    <row r="2115" spans="1:15" x14ac:dyDescent="0.3">
      <c r="A2115" s="1">
        <v>43991</v>
      </c>
      <c r="B2115">
        <v>1000000030</v>
      </c>
      <c r="C2115" t="s">
        <v>23</v>
      </c>
      <c r="D2115">
        <v>1</v>
      </c>
      <c r="E2115">
        <v>7500.67</v>
      </c>
      <c r="F2115" t="s">
        <v>16</v>
      </c>
      <c r="G2115" t="s">
        <v>24</v>
      </c>
      <c r="H2115" t="s">
        <v>47</v>
      </c>
      <c r="I2115" t="s">
        <v>48</v>
      </c>
      <c r="J2115" t="s">
        <v>36</v>
      </c>
      <c r="K2115" t="s">
        <v>49</v>
      </c>
      <c r="L2115" t="s">
        <v>22</v>
      </c>
      <c r="M2115">
        <v>7500.67</v>
      </c>
      <c r="N2115">
        <v>2020</v>
      </c>
      <c r="O2115">
        <v>6</v>
      </c>
    </row>
    <row r="2116" spans="1:15" x14ac:dyDescent="0.3">
      <c r="A2116" s="1">
        <v>43991</v>
      </c>
      <c r="B2116">
        <v>1000000031</v>
      </c>
      <c r="C2116" t="s">
        <v>15</v>
      </c>
      <c r="D2116">
        <v>1</v>
      </c>
      <c r="E2116">
        <v>10000.69</v>
      </c>
      <c r="F2116" t="s">
        <v>16</v>
      </c>
      <c r="G2116" t="s">
        <v>17</v>
      </c>
      <c r="H2116" t="s">
        <v>18</v>
      </c>
      <c r="I2116" t="s">
        <v>19</v>
      </c>
      <c r="J2116" t="s">
        <v>26</v>
      </c>
      <c r="K2116" t="s">
        <v>29</v>
      </c>
      <c r="L2116" t="s">
        <v>28</v>
      </c>
      <c r="M2116">
        <v>10000.69</v>
      </c>
      <c r="N2116">
        <v>2020</v>
      </c>
      <c r="O2116">
        <v>6</v>
      </c>
    </row>
    <row r="2117" spans="1:15" x14ac:dyDescent="0.3">
      <c r="A2117" s="1">
        <v>43991</v>
      </c>
      <c r="B2117">
        <v>1000000031</v>
      </c>
      <c r="C2117" t="s">
        <v>42</v>
      </c>
      <c r="D2117">
        <v>1</v>
      </c>
      <c r="E2117">
        <v>1500.35</v>
      </c>
      <c r="F2117" t="s">
        <v>16</v>
      </c>
      <c r="G2117" t="s">
        <v>43</v>
      </c>
      <c r="H2117" t="s">
        <v>18</v>
      </c>
      <c r="I2117" t="s">
        <v>19</v>
      </c>
      <c r="J2117" t="s">
        <v>26</v>
      </c>
      <c r="K2117" t="s">
        <v>29</v>
      </c>
      <c r="L2117" t="s">
        <v>28</v>
      </c>
      <c r="M2117">
        <v>1500.35</v>
      </c>
      <c r="N2117">
        <v>2020</v>
      </c>
      <c r="O2117">
        <v>6</v>
      </c>
    </row>
    <row r="2118" spans="1:15" x14ac:dyDescent="0.3">
      <c r="A2118" s="1">
        <v>43991</v>
      </c>
      <c r="B2118">
        <v>1000000033</v>
      </c>
      <c r="C2118" t="s">
        <v>23</v>
      </c>
      <c r="D2118">
        <v>1</v>
      </c>
      <c r="E2118">
        <v>14000.04</v>
      </c>
      <c r="F2118" t="s">
        <v>16</v>
      </c>
      <c r="G2118" t="s">
        <v>24</v>
      </c>
      <c r="H2118" t="s">
        <v>18</v>
      </c>
      <c r="I2118" t="s">
        <v>25</v>
      </c>
      <c r="J2118" t="s">
        <v>26</v>
      </c>
      <c r="K2118" t="s">
        <v>27</v>
      </c>
      <c r="L2118" t="s">
        <v>22</v>
      </c>
      <c r="M2118">
        <v>14000.04</v>
      </c>
      <c r="N2118">
        <v>2020</v>
      </c>
      <c r="O2118">
        <v>6</v>
      </c>
    </row>
    <row r="2119" spans="1:15" x14ac:dyDescent="0.3">
      <c r="A2119" s="1">
        <v>43991</v>
      </c>
      <c r="B2119">
        <v>1000000036</v>
      </c>
      <c r="C2119" t="s">
        <v>23</v>
      </c>
      <c r="D2119">
        <v>4</v>
      </c>
      <c r="E2119">
        <v>35636.61</v>
      </c>
      <c r="F2119" t="s">
        <v>16</v>
      </c>
      <c r="G2119" t="s">
        <v>24</v>
      </c>
      <c r="H2119" t="s">
        <v>47</v>
      </c>
      <c r="I2119" t="s">
        <v>48</v>
      </c>
      <c r="J2119" t="s">
        <v>36</v>
      </c>
      <c r="K2119" t="s">
        <v>49</v>
      </c>
      <c r="L2119" t="s">
        <v>28</v>
      </c>
      <c r="M2119">
        <v>8909.1525000000001</v>
      </c>
      <c r="N2119">
        <v>2020</v>
      </c>
      <c r="O2119">
        <v>6</v>
      </c>
    </row>
    <row r="2120" spans="1:15" x14ac:dyDescent="0.3">
      <c r="A2120" s="1">
        <v>43991</v>
      </c>
      <c r="B2120">
        <v>1000000036</v>
      </c>
      <c r="C2120" t="s">
        <v>42</v>
      </c>
      <c r="D2120">
        <v>1</v>
      </c>
      <c r="E2120">
        <v>8000.49</v>
      </c>
      <c r="F2120" t="s">
        <v>16</v>
      </c>
      <c r="G2120" t="s">
        <v>43</v>
      </c>
      <c r="H2120" t="s">
        <v>47</v>
      </c>
      <c r="I2120" t="s">
        <v>48</v>
      </c>
      <c r="J2120" t="s">
        <v>36</v>
      </c>
      <c r="K2120" t="s">
        <v>49</v>
      </c>
      <c r="L2120" t="s">
        <v>28</v>
      </c>
      <c r="M2120">
        <v>8000.49</v>
      </c>
      <c r="N2120">
        <v>2020</v>
      </c>
      <c r="O2120">
        <v>6</v>
      </c>
    </row>
    <row r="2121" spans="1:15" x14ac:dyDescent="0.3">
      <c r="A2121" s="1">
        <v>43991</v>
      </c>
      <c r="B2121">
        <v>1000000037</v>
      </c>
      <c r="C2121" t="s">
        <v>42</v>
      </c>
      <c r="D2121">
        <v>1</v>
      </c>
      <c r="E2121">
        <v>18000.16</v>
      </c>
      <c r="F2121" t="s">
        <v>16</v>
      </c>
      <c r="G2121" t="s">
        <v>43</v>
      </c>
      <c r="H2121" t="s">
        <v>18</v>
      </c>
      <c r="I2121" t="s">
        <v>19</v>
      </c>
      <c r="J2121" t="s">
        <v>20</v>
      </c>
      <c r="K2121" t="s">
        <v>21</v>
      </c>
      <c r="L2121" t="s">
        <v>22</v>
      </c>
      <c r="M2121">
        <v>18000.16</v>
      </c>
      <c r="N2121">
        <v>2020</v>
      </c>
      <c r="O2121">
        <v>6</v>
      </c>
    </row>
    <row r="2122" spans="1:15" x14ac:dyDescent="0.3">
      <c r="A2122" s="1">
        <v>43991</v>
      </c>
      <c r="B2122">
        <v>1000000040</v>
      </c>
      <c r="C2122" t="s">
        <v>15</v>
      </c>
      <c r="D2122">
        <v>2</v>
      </c>
      <c r="E2122">
        <v>15440.91</v>
      </c>
      <c r="F2122" t="s">
        <v>16</v>
      </c>
      <c r="G2122" t="s">
        <v>17</v>
      </c>
      <c r="H2122" t="s">
        <v>30</v>
      </c>
      <c r="I2122" t="s">
        <v>31</v>
      </c>
      <c r="J2122" t="s">
        <v>32</v>
      </c>
      <c r="K2122" t="s">
        <v>33</v>
      </c>
      <c r="L2122" t="s">
        <v>28</v>
      </c>
      <c r="M2122">
        <v>7720.4549999999999</v>
      </c>
      <c r="N2122">
        <v>2020</v>
      </c>
      <c r="O2122">
        <v>6</v>
      </c>
    </row>
    <row r="2123" spans="1:15" x14ac:dyDescent="0.3">
      <c r="A2123" s="1">
        <v>43991</v>
      </c>
      <c r="B2123">
        <v>1000000040</v>
      </c>
      <c r="C2123" t="s">
        <v>42</v>
      </c>
      <c r="D2123">
        <v>1</v>
      </c>
      <c r="E2123">
        <v>7500.29</v>
      </c>
      <c r="F2123" t="s">
        <v>16</v>
      </c>
      <c r="G2123" t="s">
        <v>43</v>
      </c>
      <c r="H2123" t="s">
        <v>30</v>
      </c>
      <c r="I2123" t="s">
        <v>31</v>
      </c>
      <c r="J2123" t="s">
        <v>32</v>
      </c>
      <c r="K2123" t="s">
        <v>33</v>
      </c>
      <c r="L2123" t="s">
        <v>28</v>
      </c>
      <c r="M2123">
        <v>7500.29</v>
      </c>
      <c r="N2123">
        <v>2020</v>
      </c>
      <c r="O2123">
        <v>6</v>
      </c>
    </row>
    <row r="2124" spans="1:15" x14ac:dyDescent="0.3">
      <c r="A2124" s="1">
        <v>43991</v>
      </c>
      <c r="B2124">
        <v>1000000041</v>
      </c>
      <c r="C2124" t="s">
        <v>23</v>
      </c>
      <c r="D2124">
        <v>2</v>
      </c>
      <c r="E2124">
        <v>30001.16</v>
      </c>
      <c r="F2124" t="s">
        <v>16</v>
      </c>
      <c r="G2124" t="s">
        <v>24</v>
      </c>
      <c r="H2124" t="s">
        <v>30</v>
      </c>
      <c r="I2124" t="s">
        <v>31</v>
      </c>
      <c r="J2124" t="s">
        <v>32</v>
      </c>
      <c r="K2124" t="s">
        <v>33</v>
      </c>
      <c r="L2124" t="s">
        <v>22</v>
      </c>
      <c r="M2124">
        <v>15000.58</v>
      </c>
      <c r="N2124">
        <v>2020</v>
      </c>
      <c r="O2124">
        <v>6</v>
      </c>
    </row>
    <row r="2125" spans="1:15" x14ac:dyDescent="0.3">
      <c r="A2125" s="1">
        <v>43991</v>
      </c>
      <c r="B2125">
        <v>1000000041</v>
      </c>
      <c r="C2125" t="s">
        <v>15</v>
      </c>
      <c r="D2125">
        <v>1</v>
      </c>
      <c r="E2125">
        <v>13000.62</v>
      </c>
      <c r="F2125" t="s">
        <v>16</v>
      </c>
      <c r="G2125" t="s">
        <v>17</v>
      </c>
      <c r="H2125" t="s">
        <v>30</v>
      </c>
      <c r="I2125" t="s">
        <v>31</v>
      </c>
      <c r="J2125" t="s">
        <v>32</v>
      </c>
      <c r="K2125" t="s">
        <v>33</v>
      </c>
      <c r="L2125" t="s">
        <v>22</v>
      </c>
      <c r="M2125">
        <v>13000.62</v>
      </c>
      <c r="N2125">
        <v>2020</v>
      </c>
      <c r="O2125">
        <v>6</v>
      </c>
    </row>
    <row r="2126" spans="1:15" x14ac:dyDescent="0.3">
      <c r="A2126" s="1">
        <v>43991</v>
      </c>
      <c r="B2126">
        <v>1000000043</v>
      </c>
      <c r="C2126" t="s">
        <v>23</v>
      </c>
      <c r="D2126">
        <v>1</v>
      </c>
      <c r="E2126">
        <v>1600.6</v>
      </c>
      <c r="F2126" t="s">
        <v>16</v>
      </c>
      <c r="G2126" t="s">
        <v>24</v>
      </c>
      <c r="H2126" t="s">
        <v>30</v>
      </c>
      <c r="I2126" t="s">
        <v>38</v>
      </c>
      <c r="J2126" t="s">
        <v>26</v>
      </c>
      <c r="K2126" t="s">
        <v>39</v>
      </c>
      <c r="L2126" t="s">
        <v>22</v>
      </c>
      <c r="M2126">
        <v>1600.6</v>
      </c>
      <c r="N2126">
        <v>2020</v>
      </c>
      <c r="O2126">
        <v>6</v>
      </c>
    </row>
    <row r="2127" spans="1:15" x14ac:dyDescent="0.3">
      <c r="A2127" s="1">
        <v>43991</v>
      </c>
      <c r="B2127">
        <v>1000000044</v>
      </c>
      <c r="C2127" t="s">
        <v>23</v>
      </c>
      <c r="D2127">
        <v>3</v>
      </c>
      <c r="E2127">
        <v>51001.4</v>
      </c>
      <c r="F2127" t="s">
        <v>16</v>
      </c>
      <c r="G2127" t="s">
        <v>24</v>
      </c>
      <c r="H2127" t="s">
        <v>30</v>
      </c>
      <c r="I2127" t="s">
        <v>31</v>
      </c>
      <c r="J2127" t="s">
        <v>36</v>
      </c>
      <c r="K2127" t="s">
        <v>52</v>
      </c>
      <c r="L2127" t="s">
        <v>28</v>
      </c>
      <c r="M2127">
        <v>17000.466666666667</v>
      </c>
      <c r="N2127">
        <v>2020</v>
      </c>
      <c r="O2127">
        <v>6</v>
      </c>
    </row>
    <row r="2128" spans="1:15" x14ac:dyDescent="0.3">
      <c r="A2128" s="1">
        <v>43991</v>
      </c>
      <c r="B2128">
        <v>1000000045</v>
      </c>
      <c r="C2128" t="s">
        <v>23</v>
      </c>
      <c r="D2128">
        <v>4</v>
      </c>
      <c r="E2128">
        <v>28501.42</v>
      </c>
      <c r="F2128" t="s">
        <v>16</v>
      </c>
      <c r="G2128" t="s">
        <v>24</v>
      </c>
      <c r="H2128" t="s">
        <v>47</v>
      </c>
      <c r="I2128" t="s">
        <v>59</v>
      </c>
      <c r="J2128" t="s">
        <v>26</v>
      </c>
      <c r="K2128" t="s">
        <v>60</v>
      </c>
      <c r="L2128" t="s">
        <v>22</v>
      </c>
      <c r="M2128">
        <v>7125.3549999999996</v>
      </c>
      <c r="N2128">
        <v>2020</v>
      </c>
      <c r="O2128">
        <v>6</v>
      </c>
    </row>
    <row r="2129" spans="1:15" x14ac:dyDescent="0.3">
      <c r="A2129" s="1">
        <v>43991</v>
      </c>
      <c r="B2129">
        <v>1000000046</v>
      </c>
      <c r="C2129" t="s">
        <v>23</v>
      </c>
      <c r="D2129">
        <v>1</v>
      </c>
      <c r="E2129">
        <v>13999.97</v>
      </c>
      <c r="F2129" t="s">
        <v>16</v>
      </c>
      <c r="G2129" t="s">
        <v>24</v>
      </c>
      <c r="H2129" t="s">
        <v>30</v>
      </c>
      <c r="I2129" t="s">
        <v>38</v>
      </c>
      <c r="J2129" t="s">
        <v>26</v>
      </c>
      <c r="K2129" t="s">
        <v>39</v>
      </c>
      <c r="L2129" t="s">
        <v>22</v>
      </c>
      <c r="M2129">
        <v>13999.97</v>
      </c>
      <c r="N2129">
        <v>2020</v>
      </c>
      <c r="O2129">
        <v>6</v>
      </c>
    </row>
    <row r="2130" spans="1:15" x14ac:dyDescent="0.3">
      <c r="A2130" s="1">
        <v>43991</v>
      </c>
      <c r="B2130">
        <v>1000000049</v>
      </c>
      <c r="C2130" t="s">
        <v>23</v>
      </c>
      <c r="D2130">
        <v>1</v>
      </c>
      <c r="E2130">
        <v>840.56</v>
      </c>
      <c r="F2130" t="s">
        <v>16</v>
      </c>
      <c r="G2130" t="s">
        <v>24</v>
      </c>
      <c r="H2130" t="s">
        <v>18</v>
      </c>
      <c r="I2130" t="s">
        <v>40</v>
      </c>
      <c r="J2130" t="s">
        <v>26</v>
      </c>
      <c r="K2130" t="s">
        <v>41</v>
      </c>
      <c r="L2130" t="s">
        <v>22</v>
      </c>
      <c r="M2130">
        <v>840.56</v>
      </c>
      <c r="N2130">
        <v>2020</v>
      </c>
      <c r="O2130">
        <v>6</v>
      </c>
    </row>
    <row r="2131" spans="1:15" x14ac:dyDescent="0.3">
      <c r="A2131" s="1">
        <v>43991</v>
      </c>
      <c r="B2131">
        <v>1000000050</v>
      </c>
      <c r="C2131" t="s">
        <v>23</v>
      </c>
      <c r="D2131">
        <v>3</v>
      </c>
      <c r="E2131">
        <v>3943.84</v>
      </c>
      <c r="F2131" t="s">
        <v>16</v>
      </c>
      <c r="G2131" t="s">
        <v>24</v>
      </c>
      <c r="H2131" t="s">
        <v>18</v>
      </c>
      <c r="I2131" t="s">
        <v>40</v>
      </c>
      <c r="J2131" t="s">
        <v>26</v>
      </c>
      <c r="K2131" t="s">
        <v>41</v>
      </c>
      <c r="L2131" t="s">
        <v>22</v>
      </c>
      <c r="M2131">
        <v>1314.6133333333335</v>
      </c>
      <c r="N2131">
        <v>2020</v>
      </c>
      <c r="O2131">
        <v>6</v>
      </c>
    </row>
    <row r="2132" spans="1:15" x14ac:dyDescent="0.3">
      <c r="A2132" s="1">
        <v>43991</v>
      </c>
      <c r="B2132">
        <v>1000000050</v>
      </c>
      <c r="C2132" t="s">
        <v>42</v>
      </c>
      <c r="D2132">
        <v>2</v>
      </c>
      <c r="E2132">
        <v>28000.92</v>
      </c>
      <c r="F2132" t="s">
        <v>16</v>
      </c>
      <c r="G2132" t="s">
        <v>43</v>
      </c>
      <c r="H2132" t="s">
        <v>18</v>
      </c>
      <c r="I2132" t="s">
        <v>40</v>
      </c>
      <c r="J2132" t="s">
        <v>26</v>
      </c>
      <c r="K2132" t="s">
        <v>41</v>
      </c>
      <c r="L2132" t="s">
        <v>22</v>
      </c>
      <c r="M2132">
        <v>14000.46</v>
      </c>
      <c r="N2132">
        <v>2020</v>
      </c>
      <c r="O2132">
        <v>6</v>
      </c>
    </row>
    <row r="2133" spans="1:15" x14ac:dyDescent="0.3">
      <c r="A2133" s="1">
        <v>43991</v>
      </c>
      <c r="B2133">
        <v>1000000054</v>
      </c>
      <c r="C2133" t="s">
        <v>23</v>
      </c>
      <c r="D2133">
        <v>1</v>
      </c>
      <c r="E2133">
        <v>1999.98</v>
      </c>
      <c r="F2133" t="s">
        <v>16</v>
      </c>
      <c r="G2133" t="s">
        <v>24</v>
      </c>
      <c r="H2133" t="s">
        <v>18</v>
      </c>
      <c r="I2133" t="s">
        <v>34</v>
      </c>
      <c r="J2133" t="s">
        <v>26</v>
      </c>
      <c r="K2133" t="s">
        <v>35</v>
      </c>
      <c r="L2133" t="s">
        <v>22</v>
      </c>
      <c r="M2133">
        <v>1999.98</v>
      </c>
      <c r="N2133">
        <v>2020</v>
      </c>
      <c r="O2133">
        <v>6</v>
      </c>
    </row>
    <row r="2134" spans="1:15" x14ac:dyDescent="0.3">
      <c r="A2134" s="1">
        <v>43991</v>
      </c>
      <c r="B2134">
        <v>1000000054</v>
      </c>
      <c r="C2134" t="s">
        <v>15</v>
      </c>
      <c r="D2134">
        <v>1</v>
      </c>
      <c r="E2134">
        <v>12000.35</v>
      </c>
      <c r="F2134" t="s">
        <v>16</v>
      </c>
      <c r="G2134" t="s">
        <v>17</v>
      </c>
      <c r="H2134" t="s">
        <v>18</v>
      </c>
      <c r="I2134" t="s">
        <v>34</v>
      </c>
      <c r="J2134" t="s">
        <v>26</v>
      </c>
      <c r="K2134" t="s">
        <v>35</v>
      </c>
      <c r="L2134" t="s">
        <v>22</v>
      </c>
      <c r="M2134">
        <v>12000.35</v>
      </c>
      <c r="N2134">
        <v>2020</v>
      </c>
      <c r="O2134">
        <v>6</v>
      </c>
    </row>
    <row r="2135" spans="1:15" x14ac:dyDescent="0.3">
      <c r="A2135" s="1">
        <v>43991</v>
      </c>
      <c r="B2135">
        <v>1000000056</v>
      </c>
      <c r="C2135" t="s">
        <v>23</v>
      </c>
      <c r="D2135">
        <v>1</v>
      </c>
      <c r="E2135">
        <v>5000.55</v>
      </c>
      <c r="F2135" t="s">
        <v>16</v>
      </c>
      <c r="G2135" t="s">
        <v>24</v>
      </c>
      <c r="H2135" t="s">
        <v>18</v>
      </c>
      <c r="I2135" t="s">
        <v>34</v>
      </c>
      <c r="J2135" t="s">
        <v>26</v>
      </c>
      <c r="K2135" t="s">
        <v>35</v>
      </c>
      <c r="L2135" t="s">
        <v>28</v>
      </c>
      <c r="M2135">
        <v>5000.55</v>
      </c>
      <c r="N2135">
        <v>2020</v>
      </c>
      <c r="O2135">
        <v>6</v>
      </c>
    </row>
    <row r="2136" spans="1:15" x14ac:dyDescent="0.3">
      <c r="A2136" s="1">
        <v>43991</v>
      </c>
      <c r="B2136">
        <v>1000000056</v>
      </c>
      <c r="C2136" t="s">
        <v>42</v>
      </c>
      <c r="D2136">
        <v>1</v>
      </c>
      <c r="E2136">
        <v>11000.77</v>
      </c>
      <c r="F2136" t="s">
        <v>16</v>
      </c>
      <c r="G2136" t="s">
        <v>43</v>
      </c>
      <c r="H2136" t="s">
        <v>18</v>
      </c>
      <c r="I2136" t="s">
        <v>34</v>
      </c>
      <c r="J2136" t="s">
        <v>26</v>
      </c>
      <c r="K2136" t="s">
        <v>35</v>
      </c>
      <c r="L2136" t="s">
        <v>28</v>
      </c>
      <c r="M2136">
        <v>11000.77</v>
      </c>
      <c r="N2136">
        <v>2020</v>
      </c>
      <c r="O2136">
        <v>6</v>
      </c>
    </row>
    <row r="2137" spans="1:15" x14ac:dyDescent="0.3">
      <c r="A2137" s="1">
        <v>43991</v>
      </c>
      <c r="B2137">
        <v>1000000057</v>
      </c>
      <c r="C2137" t="s">
        <v>23</v>
      </c>
      <c r="D2137">
        <v>1</v>
      </c>
      <c r="E2137">
        <v>1564.99</v>
      </c>
      <c r="F2137" t="s">
        <v>16</v>
      </c>
      <c r="G2137" t="s">
        <v>24</v>
      </c>
      <c r="H2137" t="s">
        <v>18</v>
      </c>
      <c r="I2137" t="s">
        <v>34</v>
      </c>
      <c r="J2137" t="s">
        <v>20</v>
      </c>
      <c r="K2137" t="s">
        <v>44</v>
      </c>
      <c r="L2137" t="s">
        <v>22</v>
      </c>
      <c r="M2137">
        <v>1564.99</v>
      </c>
      <c r="N2137">
        <v>2020</v>
      </c>
      <c r="O2137">
        <v>6</v>
      </c>
    </row>
    <row r="2138" spans="1:15" x14ac:dyDescent="0.3">
      <c r="A2138" s="1">
        <v>43991</v>
      </c>
      <c r="B2138">
        <v>1000000067</v>
      </c>
      <c r="C2138" t="s">
        <v>15</v>
      </c>
      <c r="D2138">
        <v>2</v>
      </c>
      <c r="E2138">
        <v>35001.040000000001</v>
      </c>
      <c r="F2138" t="s">
        <v>16</v>
      </c>
      <c r="G2138" t="s">
        <v>17</v>
      </c>
      <c r="H2138" t="s">
        <v>18</v>
      </c>
      <c r="I2138" t="s">
        <v>25</v>
      </c>
      <c r="J2138" t="s">
        <v>20</v>
      </c>
      <c r="K2138" t="s">
        <v>51</v>
      </c>
      <c r="L2138" t="s">
        <v>22</v>
      </c>
      <c r="M2138">
        <v>17500.52</v>
      </c>
      <c r="N2138">
        <v>2020</v>
      </c>
      <c r="O2138">
        <v>6</v>
      </c>
    </row>
    <row r="2139" spans="1:15" x14ac:dyDescent="0.3">
      <c r="A2139" s="1">
        <v>43991</v>
      </c>
      <c r="B2139">
        <v>1000000068</v>
      </c>
      <c r="C2139" t="s">
        <v>42</v>
      </c>
      <c r="D2139">
        <v>1</v>
      </c>
      <c r="E2139">
        <v>599.99</v>
      </c>
      <c r="F2139" t="s">
        <v>16</v>
      </c>
      <c r="G2139" t="s">
        <v>43</v>
      </c>
      <c r="H2139" t="s">
        <v>30</v>
      </c>
      <c r="I2139" t="s">
        <v>55</v>
      </c>
      <c r="J2139" t="s">
        <v>26</v>
      </c>
      <c r="K2139" t="s">
        <v>56</v>
      </c>
      <c r="L2139" t="s">
        <v>28</v>
      </c>
      <c r="M2139">
        <v>599.99</v>
      </c>
      <c r="N2139">
        <v>2020</v>
      </c>
      <c r="O2139">
        <v>6</v>
      </c>
    </row>
    <row r="2140" spans="1:15" x14ac:dyDescent="0.3">
      <c r="A2140" s="1">
        <v>43991</v>
      </c>
      <c r="B2140">
        <v>1000000237</v>
      </c>
      <c r="C2140" t="s">
        <v>42</v>
      </c>
      <c r="D2140">
        <v>1</v>
      </c>
      <c r="E2140">
        <v>815.24</v>
      </c>
      <c r="F2140" t="s">
        <v>16</v>
      </c>
      <c r="G2140" t="s">
        <v>43</v>
      </c>
      <c r="H2140" t="s">
        <v>18</v>
      </c>
      <c r="I2140" t="s">
        <v>40</v>
      </c>
      <c r="J2140" t="s">
        <v>26</v>
      </c>
      <c r="K2140" t="s">
        <v>41</v>
      </c>
      <c r="L2140" t="s">
        <v>22</v>
      </c>
      <c r="M2140">
        <v>815.24</v>
      </c>
      <c r="N2140">
        <v>2020</v>
      </c>
      <c r="O2140">
        <v>6</v>
      </c>
    </row>
    <row r="2141" spans="1:15" x14ac:dyDescent="0.3">
      <c r="A2141" s="1">
        <v>43991</v>
      </c>
      <c r="B2141">
        <v>1000000576</v>
      </c>
      <c r="C2141" t="s">
        <v>23</v>
      </c>
      <c r="D2141">
        <v>1</v>
      </c>
      <c r="E2141">
        <v>500.71</v>
      </c>
      <c r="F2141" t="s">
        <v>16</v>
      </c>
      <c r="G2141" t="s">
        <v>24</v>
      </c>
      <c r="H2141" t="s">
        <v>18</v>
      </c>
      <c r="I2141" t="s">
        <v>25</v>
      </c>
      <c r="J2141" t="s">
        <v>36</v>
      </c>
      <c r="K2141" t="s">
        <v>37</v>
      </c>
      <c r="L2141" t="s">
        <v>22</v>
      </c>
      <c r="M2141">
        <v>500.71</v>
      </c>
      <c r="N2141">
        <v>2020</v>
      </c>
      <c r="O2141">
        <v>6</v>
      </c>
    </row>
    <row r="2142" spans="1:15" x14ac:dyDescent="0.3">
      <c r="A2142" s="1">
        <v>43991</v>
      </c>
      <c r="B2142">
        <v>1000000576</v>
      </c>
      <c r="C2142" t="s">
        <v>15</v>
      </c>
      <c r="D2142">
        <v>1</v>
      </c>
      <c r="E2142">
        <v>6000.05</v>
      </c>
      <c r="F2142" t="s">
        <v>16</v>
      </c>
      <c r="G2142" t="s">
        <v>17</v>
      </c>
      <c r="H2142" t="s">
        <v>18</v>
      </c>
      <c r="I2142" t="s">
        <v>25</v>
      </c>
      <c r="J2142" t="s">
        <v>36</v>
      </c>
      <c r="K2142" t="s">
        <v>37</v>
      </c>
      <c r="L2142" t="s">
        <v>22</v>
      </c>
      <c r="M2142">
        <v>6000.05</v>
      </c>
      <c r="N2142">
        <v>2020</v>
      </c>
      <c r="O2142">
        <v>6</v>
      </c>
    </row>
    <row r="2143" spans="1:15" x14ac:dyDescent="0.3">
      <c r="A2143" s="1">
        <v>43991</v>
      </c>
      <c r="B2143">
        <v>1000000928</v>
      </c>
      <c r="C2143" t="s">
        <v>23</v>
      </c>
      <c r="D2143">
        <v>2</v>
      </c>
      <c r="E2143">
        <v>34000.86</v>
      </c>
      <c r="F2143" t="s">
        <v>16</v>
      </c>
      <c r="G2143" t="s">
        <v>24</v>
      </c>
      <c r="H2143" t="s">
        <v>30</v>
      </c>
      <c r="I2143" t="s">
        <v>57</v>
      </c>
      <c r="J2143" t="s">
        <v>26</v>
      </c>
      <c r="K2143" t="s">
        <v>58</v>
      </c>
      <c r="L2143" t="s">
        <v>22</v>
      </c>
      <c r="M2143">
        <v>17000.43</v>
      </c>
      <c r="N2143">
        <v>2020</v>
      </c>
      <c r="O2143">
        <v>6</v>
      </c>
    </row>
    <row r="2144" spans="1:15" x14ac:dyDescent="0.3">
      <c r="A2144" s="1">
        <v>43991</v>
      </c>
      <c r="B2144">
        <v>1000000928</v>
      </c>
      <c r="C2144" t="s">
        <v>15</v>
      </c>
      <c r="D2144">
        <v>2</v>
      </c>
      <c r="E2144">
        <v>45001.09</v>
      </c>
      <c r="F2144" t="s">
        <v>16</v>
      </c>
      <c r="G2144" t="s">
        <v>17</v>
      </c>
      <c r="H2144" t="s">
        <v>30</v>
      </c>
      <c r="I2144" t="s">
        <v>57</v>
      </c>
      <c r="J2144" t="s">
        <v>26</v>
      </c>
      <c r="K2144" t="s">
        <v>58</v>
      </c>
      <c r="L2144" t="s">
        <v>22</v>
      </c>
      <c r="M2144">
        <v>22500.544999999998</v>
      </c>
      <c r="N2144">
        <v>2020</v>
      </c>
      <c r="O2144">
        <v>6</v>
      </c>
    </row>
    <row r="2145" spans="1:15" x14ac:dyDescent="0.3">
      <c r="A2145" s="1">
        <v>43991</v>
      </c>
      <c r="B2145">
        <v>1000003489</v>
      </c>
      <c r="C2145" t="s">
        <v>23</v>
      </c>
      <c r="D2145">
        <v>1</v>
      </c>
      <c r="E2145">
        <v>5000.6499999999996</v>
      </c>
      <c r="F2145" t="s">
        <v>16</v>
      </c>
      <c r="G2145" t="s">
        <v>24</v>
      </c>
      <c r="H2145" t="s">
        <v>47</v>
      </c>
      <c r="I2145" t="s">
        <v>48</v>
      </c>
      <c r="J2145" t="s">
        <v>26</v>
      </c>
      <c r="K2145" t="s">
        <v>50</v>
      </c>
      <c r="L2145" t="s">
        <v>22</v>
      </c>
      <c r="M2145">
        <v>5000.6499999999996</v>
      </c>
      <c r="N2145">
        <v>2020</v>
      </c>
      <c r="O2145">
        <v>6</v>
      </c>
    </row>
    <row r="2146" spans="1:15" x14ac:dyDescent="0.3">
      <c r="A2146" s="1">
        <v>43991</v>
      </c>
      <c r="B2146">
        <v>1000003926</v>
      </c>
      <c r="C2146" t="s">
        <v>23</v>
      </c>
      <c r="D2146">
        <v>2</v>
      </c>
      <c r="E2146">
        <v>7485.23</v>
      </c>
      <c r="F2146" t="s">
        <v>16</v>
      </c>
      <c r="G2146" t="s">
        <v>24</v>
      </c>
      <c r="H2146" t="s">
        <v>47</v>
      </c>
      <c r="I2146" t="s">
        <v>48</v>
      </c>
      <c r="J2146" t="s">
        <v>26</v>
      </c>
      <c r="K2146" t="s">
        <v>50</v>
      </c>
      <c r="L2146" t="s">
        <v>28</v>
      </c>
      <c r="M2146">
        <v>3742.6149999999998</v>
      </c>
      <c r="N2146">
        <v>2020</v>
      </c>
      <c r="O2146">
        <v>6</v>
      </c>
    </row>
    <row r="2147" spans="1:15" x14ac:dyDescent="0.3">
      <c r="A2147" s="1">
        <v>43991</v>
      </c>
      <c r="B2147">
        <v>1000003926</v>
      </c>
      <c r="C2147" t="s">
        <v>15</v>
      </c>
      <c r="D2147">
        <v>1</v>
      </c>
      <c r="E2147">
        <v>10000.11</v>
      </c>
      <c r="F2147" t="s">
        <v>16</v>
      </c>
      <c r="G2147" t="s">
        <v>17</v>
      </c>
      <c r="H2147" t="s">
        <v>47</v>
      </c>
      <c r="I2147" t="s">
        <v>48</v>
      </c>
      <c r="J2147" t="s">
        <v>26</v>
      </c>
      <c r="K2147" t="s">
        <v>50</v>
      </c>
      <c r="L2147" t="s">
        <v>28</v>
      </c>
      <c r="M2147">
        <v>10000.11</v>
      </c>
      <c r="N2147">
        <v>2020</v>
      </c>
      <c r="O2147">
        <v>6</v>
      </c>
    </row>
    <row r="2148" spans="1:15" x14ac:dyDescent="0.3">
      <c r="A2148" s="1">
        <v>43991</v>
      </c>
      <c r="B2148">
        <v>1000003989</v>
      </c>
      <c r="C2148" t="s">
        <v>15</v>
      </c>
      <c r="D2148">
        <v>2</v>
      </c>
      <c r="E2148">
        <v>30500.71</v>
      </c>
      <c r="F2148" t="s">
        <v>16</v>
      </c>
      <c r="G2148" t="s">
        <v>17</v>
      </c>
      <c r="H2148" t="s">
        <v>30</v>
      </c>
      <c r="I2148" t="s">
        <v>31</v>
      </c>
      <c r="J2148" t="s">
        <v>36</v>
      </c>
      <c r="K2148" t="s">
        <v>52</v>
      </c>
      <c r="L2148" t="s">
        <v>22</v>
      </c>
      <c r="M2148">
        <v>15250.355</v>
      </c>
      <c r="N2148">
        <v>2020</v>
      </c>
      <c r="O2148">
        <v>6</v>
      </c>
    </row>
    <row r="2149" spans="1:15" x14ac:dyDescent="0.3">
      <c r="A2149" s="1">
        <v>43991</v>
      </c>
      <c r="B2149">
        <v>1000004170</v>
      </c>
      <c r="C2149" t="s">
        <v>23</v>
      </c>
      <c r="D2149">
        <v>3</v>
      </c>
      <c r="E2149">
        <v>38000.639999999999</v>
      </c>
      <c r="F2149" t="s">
        <v>16</v>
      </c>
      <c r="G2149" t="s">
        <v>24</v>
      </c>
      <c r="H2149" t="s">
        <v>18</v>
      </c>
      <c r="I2149" t="s">
        <v>34</v>
      </c>
      <c r="J2149" t="s">
        <v>20</v>
      </c>
      <c r="K2149" t="s">
        <v>44</v>
      </c>
      <c r="L2149" t="s">
        <v>28</v>
      </c>
      <c r="M2149">
        <v>12666.88</v>
      </c>
      <c r="N2149">
        <v>2020</v>
      </c>
      <c r="O2149">
        <v>6</v>
      </c>
    </row>
    <row r="2150" spans="1:15" x14ac:dyDescent="0.3">
      <c r="A2150" s="1">
        <v>43991</v>
      </c>
      <c r="B2150">
        <v>1000004170</v>
      </c>
      <c r="C2150" t="s">
        <v>15</v>
      </c>
      <c r="D2150">
        <v>1</v>
      </c>
      <c r="E2150">
        <v>2000.55</v>
      </c>
      <c r="F2150" t="s">
        <v>16</v>
      </c>
      <c r="G2150" t="s">
        <v>17</v>
      </c>
      <c r="H2150" t="s">
        <v>18</v>
      </c>
      <c r="I2150" t="s">
        <v>34</v>
      </c>
      <c r="J2150" t="s">
        <v>20</v>
      </c>
      <c r="K2150" t="s">
        <v>44</v>
      </c>
      <c r="L2150" t="s">
        <v>28</v>
      </c>
      <c r="M2150">
        <v>2000.55</v>
      </c>
      <c r="N2150">
        <v>2020</v>
      </c>
      <c r="O2150">
        <v>6</v>
      </c>
    </row>
    <row r="2151" spans="1:15" x14ac:dyDescent="0.3">
      <c r="A2151" s="1">
        <v>43991</v>
      </c>
      <c r="B2151">
        <v>1000004256</v>
      </c>
      <c r="C2151" t="s">
        <v>42</v>
      </c>
      <c r="D2151">
        <v>1</v>
      </c>
      <c r="E2151">
        <v>1182.45</v>
      </c>
      <c r="F2151" t="s">
        <v>16</v>
      </c>
      <c r="G2151" t="s">
        <v>43</v>
      </c>
      <c r="H2151" t="s">
        <v>18</v>
      </c>
      <c r="I2151" t="s">
        <v>40</v>
      </c>
      <c r="J2151" t="s">
        <v>26</v>
      </c>
      <c r="K2151" t="s">
        <v>41</v>
      </c>
      <c r="L2151" t="s">
        <v>22</v>
      </c>
      <c r="M2151">
        <v>1182.45</v>
      </c>
      <c r="N2151">
        <v>2020</v>
      </c>
      <c r="O2151">
        <v>6</v>
      </c>
    </row>
    <row r="2152" spans="1:15" x14ac:dyDescent="0.3">
      <c r="A2152" s="1">
        <v>43991</v>
      </c>
      <c r="B2152">
        <v>1000005873</v>
      </c>
      <c r="C2152" t="s">
        <v>23</v>
      </c>
      <c r="D2152">
        <v>2</v>
      </c>
      <c r="E2152">
        <v>12000.69</v>
      </c>
      <c r="F2152" t="s">
        <v>16</v>
      </c>
      <c r="G2152" t="s">
        <v>24</v>
      </c>
      <c r="H2152" t="s">
        <v>18</v>
      </c>
      <c r="I2152" t="s">
        <v>19</v>
      </c>
      <c r="J2152" t="s">
        <v>20</v>
      </c>
      <c r="K2152" t="s">
        <v>21</v>
      </c>
      <c r="L2152" t="s">
        <v>28</v>
      </c>
      <c r="M2152">
        <v>6000.3450000000003</v>
      </c>
      <c r="N2152">
        <v>2020</v>
      </c>
      <c r="O2152">
        <v>6</v>
      </c>
    </row>
    <row r="2153" spans="1:15" x14ac:dyDescent="0.3">
      <c r="A2153" s="1">
        <v>43991</v>
      </c>
      <c r="B2153">
        <v>1000005873</v>
      </c>
      <c r="C2153" t="s">
        <v>15</v>
      </c>
      <c r="D2153">
        <v>1</v>
      </c>
      <c r="E2153">
        <v>17000.46</v>
      </c>
      <c r="F2153" t="s">
        <v>16</v>
      </c>
      <c r="G2153" t="s">
        <v>17</v>
      </c>
      <c r="H2153" t="s">
        <v>18</v>
      </c>
      <c r="I2153" t="s">
        <v>19</v>
      </c>
      <c r="J2153" t="s">
        <v>20</v>
      </c>
      <c r="K2153" t="s">
        <v>21</v>
      </c>
      <c r="L2153" t="s">
        <v>28</v>
      </c>
      <c r="M2153">
        <v>17000.46</v>
      </c>
      <c r="N2153">
        <v>2020</v>
      </c>
      <c r="O2153">
        <v>6</v>
      </c>
    </row>
    <row r="2154" spans="1:15" x14ac:dyDescent="0.3">
      <c r="A2154" s="1">
        <v>43991</v>
      </c>
      <c r="B2154">
        <v>1000006867</v>
      </c>
      <c r="C2154" t="s">
        <v>15</v>
      </c>
      <c r="D2154">
        <v>2</v>
      </c>
      <c r="E2154">
        <v>30000.23</v>
      </c>
      <c r="F2154" t="s">
        <v>16</v>
      </c>
      <c r="G2154" t="s">
        <v>17</v>
      </c>
      <c r="H2154" t="s">
        <v>18</v>
      </c>
      <c r="I2154" t="s">
        <v>61</v>
      </c>
      <c r="J2154" t="s">
        <v>26</v>
      </c>
      <c r="K2154" t="s">
        <v>62</v>
      </c>
      <c r="L2154" t="s">
        <v>22</v>
      </c>
      <c r="M2154">
        <v>15000.115</v>
      </c>
      <c r="N2154">
        <v>2020</v>
      </c>
      <c r="O2154">
        <v>6</v>
      </c>
    </row>
    <row r="2155" spans="1:15" x14ac:dyDescent="0.3">
      <c r="A2155" s="1">
        <v>43991</v>
      </c>
      <c r="B2155">
        <v>1000006869</v>
      </c>
      <c r="C2155" t="s">
        <v>15</v>
      </c>
      <c r="D2155">
        <v>1</v>
      </c>
      <c r="E2155">
        <v>10000.58</v>
      </c>
      <c r="F2155" t="s">
        <v>16</v>
      </c>
      <c r="G2155" t="s">
        <v>17</v>
      </c>
      <c r="H2155" t="s">
        <v>18</v>
      </c>
      <c r="I2155" t="s">
        <v>61</v>
      </c>
      <c r="J2155" t="s">
        <v>26</v>
      </c>
      <c r="K2155" t="s">
        <v>62</v>
      </c>
      <c r="L2155" t="s">
        <v>22</v>
      </c>
      <c r="M2155">
        <v>10000.58</v>
      </c>
      <c r="N2155">
        <v>2020</v>
      </c>
      <c r="O2155">
        <v>6</v>
      </c>
    </row>
    <row r="2156" spans="1:15" x14ac:dyDescent="0.3">
      <c r="A2156" s="1">
        <v>43991</v>
      </c>
      <c r="B2156">
        <v>1000007320</v>
      </c>
      <c r="C2156" t="s">
        <v>23</v>
      </c>
      <c r="D2156">
        <v>4</v>
      </c>
      <c r="E2156">
        <v>36501.32</v>
      </c>
      <c r="F2156" t="s">
        <v>16</v>
      </c>
      <c r="G2156" t="s">
        <v>24</v>
      </c>
      <c r="H2156" t="s">
        <v>18</v>
      </c>
      <c r="I2156" t="s">
        <v>34</v>
      </c>
      <c r="J2156" t="s">
        <v>26</v>
      </c>
      <c r="K2156" t="s">
        <v>35</v>
      </c>
      <c r="L2156" t="s">
        <v>22</v>
      </c>
      <c r="M2156">
        <v>9125.33</v>
      </c>
      <c r="N2156">
        <v>2020</v>
      </c>
      <c r="O2156">
        <v>6</v>
      </c>
    </row>
    <row r="2157" spans="1:15" x14ac:dyDescent="0.3">
      <c r="A2157" s="1">
        <v>43991</v>
      </c>
      <c r="B2157">
        <v>1000007320</v>
      </c>
      <c r="C2157" t="s">
        <v>15</v>
      </c>
      <c r="D2157">
        <v>1</v>
      </c>
      <c r="E2157">
        <v>20000.080000000002</v>
      </c>
      <c r="F2157" t="s">
        <v>16</v>
      </c>
      <c r="G2157" t="s">
        <v>17</v>
      </c>
      <c r="H2157" t="s">
        <v>18</v>
      </c>
      <c r="I2157" t="s">
        <v>34</v>
      </c>
      <c r="J2157" t="s">
        <v>26</v>
      </c>
      <c r="K2157" t="s">
        <v>35</v>
      </c>
      <c r="L2157" t="s">
        <v>22</v>
      </c>
      <c r="M2157">
        <v>20000.080000000002</v>
      </c>
      <c r="N2157">
        <v>2020</v>
      </c>
      <c r="O2157">
        <v>6</v>
      </c>
    </row>
    <row r="2158" spans="1:15" x14ac:dyDescent="0.3">
      <c r="A2158" s="1">
        <v>43991</v>
      </c>
      <c r="B2158">
        <v>1000008239</v>
      </c>
      <c r="C2158" t="s">
        <v>23</v>
      </c>
      <c r="D2158">
        <v>1</v>
      </c>
      <c r="E2158">
        <v>5000.7299999999996</v>
      </c>
      <c r="F2158" t="s">
        <v>16</v>
      </c>
      <c r="G2158" t="s">
        <v>24</v>
      </c>
      <c r="H2158" t="s">
        <v>18</v>
      </c>
      <c r="I2158" t="s">
        <v>61</v>
      </c>
      <c r="J2158" t="s">
        <v>26</v>
      </c>
      <c r="K2158" t="s">
        <v>62</v>
      </c>
      <c r="L2158" t="s">
        <v>28</v>
      </c>
      <c r="M2158">
        <v>5000.7299999999996</v>
      </c>
      <c r="N2158">
        <v>2020</v>
      </c>
      <c r="O2158">
        <v>6</v>
      </c>
    </row>
    <row r="2159" spans="1:15" x14ac:dyDescent="0.3">
      <c r="A2159" s="1">
        <v>43991</v>
      </c>
      <c r="B2159">
        <v>1000008239</v>
      </c>
      <c r="C2159" t="s">
        <v>15</v>
      </c>
      <c r="D2159">
        <v>1</v>
      </c>
      <c r="E2159">
        <v>15000.32</v>
      </c>
      <c r="F2159" t="s">
        <v>16</v>
      </c>
      <c r="G2159" t="s">
        <v>17</v>
      </c>
      <c r="H2159" t="s">
        <v>18</v>
      </c>
      <c r="I2159" t="s">
        <v>61</v>
      </c>
      <c r="J2159" t="s">
        <v>26</v>
      </c>
      <c r="K2159" t="s">
        <v>62</v>
      </c>
      <c r="L2159" t="s">
        <v>28</v>
      </c>
      <c r="M2159">
        <v>15000.32</v>
      </c>
      <c r="N2159">
        <v>2020</v>
      </c>
      <c r="O2159">
        <v>6</v>
      </c>
    </row>
    <row r="2160" spans="1:15" x14ac:dyDescent="0.3">
      <c r="A2160" s="1">
        <v>43991</v>
      </c>
      <c r="B2160">
        <v>1000010814</v>
      </c>
      <c r="C2160" t="s">
        <v>15</v>
      </c>
      <c r="D2160">
        <v>1</v>
      </c>
      <c r="E2160">
        <v>5000.2</v>
      </c>
      <c r="F2160" t="s">
        <v>16</v>
      </c>
      <c r="G2160" t="s">
        <v>17</v>
      </c>
      <c r="H2160" t="s">
        <v>18</v>
      </c>
      <c r="I2160" t="s">
        <v>61</v>
      </c>
      <c r="J2160" t="s">
        <v>32</v>
      </c>
      <c r="K2160" t="s">
        <v>63</v>
      </c>
      <c r="L2160" t="s">
        <v>22</v>
      </c>
      <c r="M2160">
        <v>5000.2</v>
      </c>
      <c r="N2160">
        <v>2020</v>
      </c>
      <c r="O2160">
        <v>6</v>
      </c>
    </row>
    <row r="2161" spans="1:15" x14ac:dyDescent="0.3">
      <c r="A2161" s="1">
        <v>43991</v>
      </c>
      <c r="B2161">
        <v>1000010814</v>
      </c>
      <c r="C2161" t="s">
        <v>42</v>
      </c>
      <c r="D2161">
        <v>2</v>
      </c>
      <c r="E2161">
        <v>18000.89</v>
      </c>
      <c r="F2161" t="s">
        <v>16</v>
      </c>
      <c r="G2161" t="s">
        <v>43</v>
      </c>
      <c r="H2161" t="s">
        <v>18</v>
      </c>
      <c r="I2161" t="s">
        <v>61</v>
      </c>
      <c r="J2161" t="s">
        <v>32</v>
      </c>
      <c r="K2161" t="s">
        <v>63</v>
      </c>
      <c r="L2161" t="s">
        <v>22</v>
      </c>
      <c r="M2161">
        <v>9000.4449999999997</v>
      </c>
      <c r="N2161">
        <v>2020</v>
      </c>
      <c r="O2161">
        <v>6</v>
      </c>
    </row>
    <row r="2162" spans="1:15" x14ac:dyDescent="0.3">
      <c r="A2162" s="1">
        <v>43991</v>
      </c>
      <c r="B2162">
        <v>1000010881</v>
      </c>
      <c r="C2162" t="s">
        <v>42</v>
      </c>
      <c r="D2162">
        <v>1</v>
      </c>
      <c r="E2162">
        <v>25000.59</v>
      </c>
      <c r="F2162" t="s">
        <v>16</v>
      </c>
      <c r="G2162" t="s">
        <v>43</v>
      </c>
      <c r="H2162" t="s">
        <v>47</v>
      </c>
      <c r="I2162" t="s">
        <v>48</v>
      </c>
      <c r="J2162" t="s">
        <v>26</v>
      </c>
      <c r="K2162" t="s">
        <v>50</v>
      </c>
      <c r="L2162" t="s">
        <v>22</v>
      </c>
      <c r="M2162">
        <v>25000.59</v>
      </c>
      <c r="N2162">
        <v>2020</v>
      </c>
      <c r="O2162">
        <v>6</v>
      </c>
    </row>
    <row r="2163" spans="1:15" x14ac:dyDescent="0.3">
      <c r="A2163" s="1">
        <v>43991</v>
      </c>
      <c r="B2163">
        <v>1000011697</v>
      </c>
      <c r="C2163" t="s">
        <v>15</v>
      </c>
      <c r="D2163">
        <v>1</v>
      </c>
      <c r="E2163">
        <v>8000.62</v>
      </c>
      <c r="F2163" t="s">
        <v>16</v>
      </c>
      <c r="G2163" t="s">
        <v>17</v>
      </c>
      <c r="H2163" t="s">
        <v>18</v>
      </c>
      <c r="I2163" t="s">
        <v>34</v>
      </c>
      <c r="J2163" t="s">
        <v>20</v>
      </c>
      <c r="K2163" t="s">
        <v>44</v>
      </c>
      <c r="L2163" t="s">
        <v>22</v>
      </c>
      <c r="M2163">
        <v>8000.62</v>
      </c>
      <c r="N2163">
        <v>2020</v>
      </c>
      <c r="O2163">
        <v>6</v>
      </c>
    </row>
    <row r="2164" spans="1:15" x14ac:dyDescent="0.3">
      <c r="A2164" s="1">
        <v>43991</v>
      </c>
      <c r="B2164">
        <v>1000012099</v>
      </c>
      <c r="C2164" t="s">
        <v>23</v>
      </c>
      <c r="D2164">
        <v>1</v>
      </c>
      <c r="E2164">
        <v>22000.06</v>
      </c>
      <c r="F2164" t="s">
        <v>16</v>
      </c>
      <c r="G2164" t="s">
        <v>24</v>
      </c>
      <c r="H2164" t="s">
        <v>18</v>
      </c>
      <c r="I2164" t="s">
        <v>19</v>
      </c>
      <c r="J2164" t="s">
        <v>20</v>
      </c>
      <c r="K2164" t="s">
        <v>21</v>
      </c>
      <c r="L2164" t="s">
        <v>22</v>
      </c>
      <c r="M2164">
        <v>22000.06</v>
      </c>
      <c r="N2164">
        <v>2020</v>
      </c>
      <c r="O2164">
        <v>6</v>
      </c>
    </row>
    <row r="2165" spans="1:15" x14ac:dyDescent="0.3">
      <c r="A2165" s="1">
        <v>43991</v>
      </c>
      <c r="B2165">
        <v>1000012099</v>
      </c>
      <c r="C2165" t="s">
        <v>15</v>
      </c>
      <c r="D2165">
        <v>4</v>
      </c>
      <c r="E2165">
        <v>68001.740000000005</v>
      </c>
      <c r="F2165" t="s">
        <v>16</v>
      </c>
      <c r="G2165" t="s">
        <v>17</v>
      </c>
      <c r="H2165" t="s">
        <v>18</v>
      </c>
      <c r="I2165" t="s">
        <v>19</v>
      </c>
      <c r="J2165" t="s">
        <v>20</v>
      </c>
      <c r="K2165" t="s">
        <v>21</v>
      </c>
      <c r="L2165" t="s">
        <v>22</v>
      </c>
      <c r="M2165">
        <v>17000.435000000001</v>
      </c>
      <c r="N2165">
        <v>2020</v>
      </c>
      <c r="O2165">
        <v>6</v>
      </c>
    </row>
    <row r="2166" spans="1:15" x14ac:dyDescent="0.3">
      <c r="A2166" s="1">
        <v>43991</v>
      </c>
      <c r="B2166">
        <v>1000012234</v>
      </c>
      <c r="C2166" t="s">
        <v>23</v>
      </c>
      <c r="D2166">
        <v>1</v>
      </c>
      <c r="E2166">
        <v>4500.59</v>
      </c>
      <c r="F2166" t="s">
        <v>16</v>
      </c>
      <c r="G2166" t="s">
        <v>24</v>
      </c>
      <c r="H2166" t="s">
        <v>18</v>
      </c>
      <c r="I2166" t="s">
        <v>25</v>
      </c>
      <c r="J2166" t="s">
        <v>26</v>
      </c>
      <c r="K2166" t="s">
        <v>27</v>
      </c>
      <c r="L2166" t="s">
        <v>22</v>
      </c>
      <c r="M2166">
        <v>4500.59</v>
      </c>
      <c r="N2166">
        <v>2020</v>
      </c>
      <c r="O2166">
        <v>6</v>
      </c>
    </row>
    <row r="2167" spans="1:15" x14ac:dyDescent="0.3">
      <c r="A2167" s="1">
        <v>43991</v>
      </c>
      <c r="B2167">
        <v>1000012446</v>
      </c>
      <c r="C2167" t="s">
        <v>15</v>
      </c>
      <c r="D2167">
        <v>2</v>
      </c>
      <c r="E2167">
        <v>20999.95</v>
      </c>
      <c r="F2167" t="s">
        <v>16</v>
      </c>
      <c r="G2167" t="s">
        <v>17</v>
      </c>
      <c r="H2167" t="s">
        <v>30</v>
      </c>
      <c r="I2167" t="s">
        <v>31</v>
      </c>
      <c r="J2167" t="s">
        <v>36</v>
      </c>
      <c r="K2167" t="s">
        <v>52</v>
      </c>
      <c r="L2167" t="s">
        <v>22</v>
      </c>
      <c r="M2167">
        <v>10499.975</v>
      </c>
      <c r="N2167">
        <v>2020</v>
      </c>
      <c r="O2167">
        <v>6</v>
      </c>
    </row>
    <row r="2168" spans="1:15" x14ac:dyDescent="0.3">
      <c r="A2168" s="1">
        <v>43991</v>
      </c>
      <c r="B2168">
        <v>1000012675</v>
      </c>
      <c r="C2168" t="s">
        <v>23</v>
      </c>
      <c r="D2168">
        <v>1</v>
      </c>
      <c r="E2168">
        <v>15000.18</v>
      </c>
      <c r="F2168" t="s">
        <v>16</v>
      </c>
      <c r="G2168" t="s">
        <v>24</v>
      </c>
      <c r="H2168" t="s">
        <v>18</v>
      </c>
      <c r="I2168" t="s">
        <v>34</v>
      </c>
      <c r="J2168" t="s">
        <v>26</v>
      </c>
      <c r="K2168" t="s">
        <v>35</v>
      </c>
      <c r="L2168" t="s">
        <v>22</v>
      </c>
      <c r="M2168">
        <v>15000.18</v>
      </c>
      <c r="N2168">
        <v>2020</v>
      </c>
      <c r="O2168">
        <v>6</v>
      </c>
    </row>
    <row r="2169" spans="1:15" x14ac:dyDescent="0.3">
      <c r="A2169" s="1">
        <v>43992</v>
      </c>
      <c r="B2169">
        <v>1000000029</v>
      </c>
      <c r="C2169" t="s">
        <v>23</v>
      </c>
      <c r="D2169">
        <v>3</v>
      </c>
      <c r="E2169">
        <v>3070.04</v>
      </c>
      <c r="F2169" t="s">
        <v>16</v>
      </c>
      <c r="G2169" t="s">
        <v>24</v>
      </c>
      <c r="H2169" t="s">
        <v>18</v>
      </c>
      <c r="I2169" t="s">
        <v>19</v>
      </c>
      <c r="J2169" t="s">
        <v>20</v>
      </c>
      <c r="K2169" t="s">
        <v>21</v>
      </c>
      <c r="L2169" t="s">
        <v>22</v>
      </c>
      <c r="M2169">
        <v>1023.3466666666667</v>
      </c>
      <c r="N2169">
        <v>2020</v>
      </c>
      <c r="O2169">
        <v>6</v>
      </c>
    </row>
    <row r="2170" spans="1:15" x14ac:dyDescent="0.3">
      <c r="A2170" s="1">
        <v>43992</v>
      </c>
      <c r="B2170">
        <v>1000000030</v>
      </c>
      <c r="C2170" t="s">
        <v>15</v>
      </c>
      <c r="D2170">
        <v>1</v>
      </c>
      <c r="E2170">
        <v>17000.14</v>
      </c>
      <c r="F2170" t="s">
        <v>16</v>
      </c>
      <c r="G2170" t="s">
        <v>17</v>
      </c>
      <c r="H2170" t="s">
        <v>47</v>
      </c>
      <c r="I2170" t="s">
        <v>48</v>
      </c>
      <c r="J2170" t="s">
        <v>36</v>
      </c>
      <c r="K2170" t="s">
        <v>49</v>
      </c>
      <c r="L2170" t="s">
        <v>22</v>
      </c>
      <c r="M2170">
        <v>17000.14</v>
      </c>
      <c r="N2170">
        <v>2020</v>
      </c>
      <c r="O2170">
        <v>6</v>
      </c>
    </row>
    <row r="2171" spans="1:15" x14ac:dyDescent="0.3">
      <c r="A2171" s="1">
        <v>43992</v>
      </c>
      <c r="B2171">
        <v>1000000031</v>
      </c>
      <c r="C2171" t="s">
        <v>23</v>
      </c>
      <c r="D2171">
        <v>2</v>
      </c>
      <c r="E2171">
        <v>10420.23</v>
      </c>
      <c r="F2171" t="s">
        <v>16</v>
      </c>
      <c r="G2171" t="s">
        <v>24</v>
      </c>
      <c r="H2171" t="s">
        <v>18</v>
      </c>
      <c r="I2171" t="s">
        <v>19</v>
      </c>
      <c r="J2171" t="s">
        <v>26</v>
      </c>
      <c r="K2171" t="s">
        <v>29</v>
      </c>
      <c r="L2171" t="s">
        <v>28</v>
      </c>
      <c r="M2171">
        <v>5210.1149999999998</v>
      </c>
      <c r="N2171">
        <v>2020</v>
      </c>
      <c r="O2171">
        <v>6</v>
      </c>
    </row>
    <row r="2172" spans="1:15" x14ac:dyDescent="0.3">
      <c r="A2172" s="1">
        <v>43992</v>
      </c>
      <c r="B2172">
        <v>1000000031</v>
      </c>
      <c r="C2172" t="s">
        <v>15</v>
      </c>
      <c r="D2172">
        <v>2</v>
      </c>
      <c r="E2172">
        <v>5562.09</v>
      </c>
      <c r="F2172" t="s">
        <v>16</v>
      </c>
      <c r="G2172" t="s">
        <v>17</v>
      </c>
      <c r="H2172" t="s">
        <v>18</v>
      </c>
      <c r="I2172" t="s">
        <v>19</v>
      </c>
      <c r="J2172" t="s">
        <v>26</v>
      </c>
      <c r="K2172" t="s">
        <v>29</v>
      </c>
      <c r="L2172" t="s">
        <v>28</v>
      </c>
      <c r="M2172">
        <v>2781.0450000000001</v>
      </c>
      <c r="N2172">
        <v>2020</v>
      </c>
      <c r="O2172">
        <v>6</v>
      </c>
    </row>
    <row r="2173" spans="1:15" x14ac:dyDescent="0.3">
      <c r="A2173" s="1">
        <v>43992</v>
      </c>
      <c r="B2173">
        <v>1000000032</v>
      </c>
      <c r="C2173" t="s">
        <v>23</v>
      </c>
      <c r="D2173">
        <v>1</v>
      </c>
      <c r="E2173">
        <v>22000.62</v>
      </c>
      <c r="F2173" t="s">
        <v>16</v>
      </c>
      <c r="G2173" t="s">
        <v>24</v>
      </c>
      <c r="H2173" t="s">
        <v>18</v>
      </c>
      <c r="I2173" t="s">
        <v>25</v>
      </c>
      <c r="J2173" t="s">
        <v>26</v>
      </c>
      <c r="K2173" t="s">
        <v>27</v>
      </c>
      <c r="L2173" t="s">
        <v>28</v>
      </c>
      <c r="M2173">
        <v>22000.62</v>
      </c>
      <c r="N2173">
        <v>2020</v>
      </c>
      <c r="O2173">
        <v>6</v>
      </c>
    </row>
    <row r="2174" spans="1:15" x14ac:dyDescent="0.3">
      <c r="A2174" s="1">
        <v>43992</v>
      </c>
      <c r="B2174">
        <v>1000000032</v>
      </c>
      <c r="C2174" t="s">
        <v>42</v>
      </c>
      <c r="D2174">
        <v>1</v>
      </c>
      <c r="E2174">
        <v>17000.77</v>
      </c>
      <c r="F2174" t="s">
        <v>16</v>
      </c>
      <c r="G2174" t="s">
        <v>43</v>
      </c>
      <c r="H2174" t="s">
        <v>18</v>
      </c>
      <c r="I2174" t="s">
        <v>25</v>
      </c>
      <c r="J2174" t="s">
        <v>26</v>
      </c>
      <c r="K2174" t="s">
        <v>27</v>
      </c>
      <c r="L2174" t="s">
        <v>28</v>
      </c>
      <c r="M2174">
        <v>17000.77</v>
      </c>
      <c r="N2174">
        <v>2020</v>
      </c>
      <c r="O2174">
        <v>6</v>
      </c>
    </row>
    <row r="2175" spans="1:15" x14ac:dyDescent="0.3">
      <c r="A2175" s="1">
        <v>43992</v>
      </c>
      <c r="B2175">
        <v>1000000033</v>
      </c>
      <c r="C2175" t="s">
        <v>23</v>
      </c>
      <c r="D2175">
        <v>1</v>
      </c>
      <c r="E2175">
        <v>699.98</v>
      </c>
      <c r="F2175" t="s">
        <v>16</v>
      </c>
      <c r="G2175" t="s">
        <v>24</v>
      </c>
      <c r="H2175" t="s">
        <v>18</v>
      </c>
      <c r="I2175" t="s">
        <v>25</v>
      </c>
      <c r="J2175" t="s">
        <v>26</v>
      </c>
      <c r="K2175" t="s">
        <v>27</v>
      </c>
      <c r="L2175" t="s">
        <v>22</v>
      </c>
      <c r="M2175">
        <v>699.98</v>
      </c>
      <c r="N2175">
        <v>2020</v>
      </c>
      <c r="O2175">
        <v>6</v>
      </c>
    </row>
    <row r="2176" spans="1:15" x14ac:dyDescent="0.3">
      <c r="A2176" s="1">
        <v>43992</v>
      </c>
      <c r="B2176">
        <v>1000000034</v>
      </c>
      <c r="C2176" t="s">
        <v>23</v>
      </c>
      <c r="D2176">
        <v>1</v>
      </c>
      <c r="E2176">
        <v>2570.25</v>
      </c>
      <c r="F2176" t="s">
        <v>16</v>
      </c>
      <c r="G2176" t="s">
        <v>24</v>
      </c>
      <c r="H2176" t="s">
        <v>18</v>
      </c>
      <c r="I2176" t="s">
        <v>25</v>
      </c>
      <c r="J2176" t="s">
        <v>26</v>
      </c>
      <c r="K2176" t="s">
        <v>27</v>
      </c>
      <c r="L2176" t="s">
        <v>22</v>
      </c>
      <c r="M2176">
        <v>2570.25</v>
      </c>
      <c r="N2176">
        <v>2020</v>
      </c>
      <c r="O2176">
        <v>6</v>
      </c>
    </row>
    <row r="2177" spans="1:15" x14ac:dyDescent="0.3">
      <c r="A2177" s="1">
        <v>43992</v>
      </c>
      <c r="B2177">
        <v>1000000034</v>
      </c>
      <c r="C2177" t="s">
        <v>15</v>
      </c>
      <c r="D2177">
        <v>1</v>
      </c>
      <c r="E2177">
        <v>15000.14</v>
      </c>
      <c r="F2177" t="s">
        <v>16</v>
      </c>
      <c r="G2177" t="s">
        <v>17</v>
      </c>
      <c r="H2177" t="s">
        <v>18</v>
      </c>
      <c r="I2177" t="s">
        <v>25</v>
      </c>
      <c r="J2177" t="s">
        <v>26</v>
      </c>
      <c r="K2177" t="s">
        <v>27</v>
      </c>
      <c r="L2177" t="s">
        <v>22</v>
      </c>
      <c r="M2177">
        <v>15000.14</v>
      </c>
      <c r="N2177">
        <v>2020</v>
      </c>
      <c r="O2177">
        <v>6</v>
      </c>
    </row>
    <row r="2178" spans="1:15" x14ac:dyDescent="0.3">
      <c r="A2178" s="1">
        <v>43992</v>
      </c>
      <c r="B2178">
        <v>1000000036</v>
      </c>
      <c r="C2178" t="s">
        <v>23</v>
      </c>
      <c r="D2178">
        <v>1</v>
      </c>
      <c r="E2178">
        <v>4000.28</v>
      </c>
      <c r="F2178" t="s">
        <v>16</v>
      </c>
      <c r="G2178" t="s">
        <v>24</v>
      </c>
      <c r="H2178" t="s">
        <v>47</v>
      </c>
      <c r="I2178" t="s">
        <v>48</v>
      </c>
      <c r="J2178" t="s">
        <v>36</v>
      </c>
      <c r="K2178" t="s">
        <v>49</v>
      </c>
      <c r="L2178" t="s">
        <v>28</v>
      </c>
      <c r="M2178">
        <v>4000.28</v>
      </c>
      <c r="N2178">
        <v>2020</v>
      </c>
      <c r="O2178">
        <v>6</v>
      </c>
    </row>
    <row r="2179" spans="1:15" x14ac:dyDescent="0.3">
      <c r="A2179" s="1">
        <v>43992</v>
      </c>
      <c r="B2179">
        <v>1000000036</v>
      </c>
      <c r="C2179" t="s">
        <v>15</v>
      </c>
      <c r="D2179">
        <v>2</v>
      </c>
      <c r="E2179">
        <v>18000.98</v>
      </c>
      <c r="F2179" t="s">
        <v>16</v>
      </c>
      <c r="G2179" t="s">
        <v>17</v>
      </c>
      <c r="H2179" t="s">
        <v>47</v>
      </c>
      <c r="I2179" t="s">
        <v>48</v>
      </c>
      <c r="J2179" t="s">
        <v>36</v>
      </c>
      <c r="K2179" t="s">
        <v>49</v>
      </c>
      <c r="L2179" t="s">
        <v>28</v>
      </c>
      <c r="M2179">
        <v>9000.49</v>
      </c>
      <c r="N2179">
        <v>2020</v>
      </c>
      <c r="O2179">
        <v>6</v>
      </c>
    </row>
    <row r="2180" spans="1:15" x14ac:dyDescent="0.3">
      <c r="A2180" s="1">
        <v>43992</v>
      </c>
      <c r="B2180">
        <v>1000000037</v>
      </c>
      <c r="C2180" t="s">
        <v>23</v>
      </c>
      <c r="D2180">
        <v>1</v>
      </c>
      <c r="E2180">
        <v>3000.36</v>
      </c>
      <c r="F2180" t="s">
        <v>16</v>
      </c>
      <c r="G2180" t="s">
        <v>24</v>
      </c>
      <c r="H2180" t="s">
        <v>18</v>
      </c>
      <c r="I2180" t="s">
        <v>19</v>
      </c>
      <c r="J2180" t="s">
        <v>20</v>
      </c>
      <c r="K2180" t="s">
        <v>21</v>
      </c>
      <c r="L2180" t="s">
        <v>22</v>
      </c>
      <c r="M2180">
        <v>3000.36</v>
      </c>
      <c r="N2180">
        <v>2020</v>
      </c>
      <c r="O2180">
        <v>6</v>
      </c>
    </row>
    <row r="2181" spans="1:15" x14ac:dyDescent="0.3">
      <c r="A2181" s="1">
        <v>43992</v>
      </c>
      <c r="B2181">
        <v>1000000040</v>
      </c>
      <c r="C2181" t="s">
        <v>42</v>
      </c>
      <c r="D2181">
        <v>1</v>
      </c>
      <c r="E2181">
        <v>17000.16</v>
      </c>
      <c r="F2181" t="s">
        <v>16</v>
      </c>
      <c r="G2181" t="s">
        <v>43</v>
      </c>
      <c r="H2181" t="s">
        <v>30</v>
      </c>
      <c r="I2181" t="s">
        <v>31</v>
      </c>
      <c r="J2181" t="s">
        <v>32</v>
      </c>
      <c r="K2181" t="s">
        <v>33</v>
      </c>
      <c r="L2181" t="s">
        <v>28</v>
      </c>
      <c r="M2181">
        <v>17000.16</v>
      </c>
      <c r="N2181">
        <v>2020</v>
      </c>
      <c r="O2181">
        <v>6</v>
      </c>
    </row>
    <row r="2182" spans="1:15" x14ac:dyDescent="0.3">
      <c r="A2182" s="1">
        <v>43992</v>
      </c>
      <c r="B2182">
        <v>1000000041</v>
      </c>
      <c r="C2182" t="s">
        <v>23</v>
      </c>
      <c r="D2182">
        <v>2</v>
      </c>
      <c r="E2182">
        <v>12500.369999999999</v>
      </c>
      <c r="F2182" t="s">
        <v>16</v>
      </c>
      <c r="G2182" t="s">
        <v>24</v>
      </c>
      <c r="H2182" t="s">
        <v>30</v>
      </c>
      <c r="I2182" t="s">
        <v>31</v>
      </c>
      <c r="J2182" t="s">
        <v>32</v>
      </c>
      <c r="K2182" t="s">
        <v>33</v>
      </c>
      <c r="L2182" t="s">
        <v>22</v>
      </c>
      <c r="M2182">
        <v>6250.1849999999995</v>
      </c>
      <c r="N2182">
        <v>2020</v>
      </c>
      <c r="O2182">
        <v>6</v>
      </c>
    </row>
    <row r="2183" spans="1:15" x14ac:dyDescent="0.3">
      <c r="A2183" s="1">
        <v>43992</v>
      </c>
      <c r="B2183">
        <v>1000000043</v>
      </c>
      <c r="C2183" t="s">
        <v>23</v>
      </c>
      <c r="D2183">
        <v>1</v>
      </c>
      <c r="E2183">
        <v>9000.74</v>
      </c>
      <c r="F2183" t="s">
        <v>16</v>
      </c>
      <c r="G2183" t="s">
        <v>24</v>
      </c>
      <c r="H2183" t="s">
        <v>30</v>
      </c>
      <c r="I2183" t="s">
        <v>38</v>
      </c>
      <c r="J2183" t="s">
        <v>26</v>
      </c>
      <c r="K2183" t="s">
        <v>39</v>
      </c>
      <c r="L2183" t="s">
        <v>22</v>
      </c>
      <c r="M2183">
        <v>9000.74</v>
      </c>
      <c r="N2183">
        <v>2020</v>
      </c>
      <c r="O2183">
        <v>6</v>
      </c>
    </row>
    <row r="2184" spans="1:15" x14ac:dyDescent="0.3">
      <c r="A2184" s="1">
        <v>43992</v>
      </c>
      <c r="B2184">
        <v>1000000044</v>
      </c>
      <c r="C2184" t="s">
        <v>23</v>
      </c>
      <c r="D2184">
        <v>2</v>
      </c>
      <c r="E2184">
        <v>11000.720000000001</v>
      </c>
      <c r="F2184" t="s">
        <v>16</v>
      </c>
      <c r="G2184" t="s">
        <v>24</v>
      </c>
      <c r="H2184" t="s">
        <v>30</v>
      </c>
      <c r="I2184" t="s">
        <v>31</v>
      </c>
      <c r="J2184" t="s">
        <v>36</v>
      </c>
      <c r="K2184" t="s">
        <v>52</v>
      </c>
      <c r="L2184" t="s">
        <v>28</v>
      </c>
      <c r="M2184">
        <v>5500.3600000000006</v>
      </c>
      <c r="N2184">
        <v>2020</v>
      </c>
      <c r="O2184">
        <v>6</v>
      </c>
    </row>
    <row r="2185" spans="1:15" x14ac:dyDescent="0.3">
      <c r="A2185" s="1">
        <v>43992</v>
      </c>
      <c r="B2185">
        <v>1000000045</v>
      </c>
      <c r="C2185" t="s">
        <v>23</v>
      </c>
      <c r="D2185">
        <v>1</v>
      </c>
      <c r="E2185">
        <v>13000.57</v>
      </c>
      <c r="F2185" t="s">
        <v>16</v>
      </c>
      <c r="G2185" t="s">
        <v>24</v>
      </c>
      <c r="H2185" t="s">
        <v>47</v>
      </c>
      <c r="I2185" t="s">
        <v>59</v>
      </c>
      <c r="J2185" t="s">
        <v>26</v>
      </c>
      <c r="K2185" t="s">
        <v>60</v>
      </c>
      <c r="L2185" t="s">
        <v>22</v>
      </c>
      <c r="M2185">
        <v>13000.57</v>
      </c>
      <c r="N2185">
        <v>2020</v>
      </c>
      <c r="O2185">
        <v>6</v>
      </c>
    </row>
    <row r="2186" spans="1:15" x14ac:dyDescent="0.3">
      <c r="A2186" s="1">
        <v>43992</v>
      </c>
      <c r="B2186">
        <v>1000000045</v>
      </c>
      <c r="C2186" t="s">
        <v>15</v>
      </c>
      <c r="D2186">
        <v>2</v>
      </c>
      <c r="E2186">
        <v>1351.9</v>
      </c>
      <c r="F2186" t="s">
        <v>16</v>
      </c>
      <c r="G2186" t="s">
        <v>17</v>
      </c>
      <c r="H2186" t="s">
        <v>47</v>
      </c>
      <c r="I2186" t="s">
        <v>59</v>
      </c>
      <c r="J2186" t="s">
        <v>26</v>
      </c>
      <c r="K2186" t="s">
        <v>60</v>
      </c>
      <c r="L2186" t="s">
        <v>22</v>
      </c>
      <c r="M2186">
        <v>675.95</v>
      </c>
      <c r="N2186">
        <v>2020</v>
      </c>
      <c r="O2186">
        <v>6</v>
      </c>
    </row>
    <row r="2187" spans="1:15" x14ac:dyDescent="0.3">
      <c r="A2187" s="1">
        <v>43992</v>
      </c>
      <c r="B2187">
        <v>1000000045</v>
      </c>
      <c r="C2187" t="s">
        <v>42</v>
      </c>
      <c r="D2187">
        <v>1</v>
      </c>
      <c r="E2187">
        <v>9000.7099999999991</v>
      </c>
      <c r="F2187" t="s">
        <v>16</v>
      </c>
      <c r="G2187" t="s">
        <v>43</v>
      </c>
      <c r="H2187" t="s">
        <v>47</v>
      </c>
      <c r="I2187" t="s">
        <v>59</v>
      </c>
      <c r="J2187" t="s">
        <v>26</v>
      </c>
      <c r="K2187" t="s">
        <v>60</v>
      </c>
      <c r="L2187" t="s">
        <v>22</v>
      </c>
      <c r="M2187">
        <v>9000.7099999999991</v>
      </c>
      <c r="N2187">
        <v>2020</v>
      </c>
      <c r="O2187">
        <v>6</v>
      </c>
    </row>
    <row r="2188" spans="1:15" x14ac:dyDescent="0.3">
      <c r="A2188" s="1">
        <v>43992</v>
      </c>
      <c r="B2188">
        <v>1000000046</v>
      </c>
      <c r="C2188" t="s">
        <v>23</v>
      </c>
      <c r="D2188">
        <v>2</v>
      </c>
      <c r="E2188">
        <v>11182.560000000001</v>
      </c>
      <c r="F2188" t="s">
        <v>16</v>
      </c>
      <c r="G2188" t="s">
        <v>24</v>
      </c>
      <c r="H2188" t="s">
        <v>30</v>
      </c>
      <c r="I2188" t="s">
        <v>38</v>
      </c>
      <c r="J2188" t="s">
        <v>26</v>
      </c>
      <c r="K2188" t="s">
        <v>39</v>
      </c>
      <c r="L2188" t="s">
        <v>22</v>
      </c>
      <c r="M2188">
        <v>5591.2800000000007</v>
      </c>
      <c r="N2188">
        <v>2020</v>
      </c>
      <c r="O2188">
        <v>6</v>
      </c>
    </row>
    <row r="2189" spans="1:15" x14ac:dyDescent="0.3">
      <c r="A2189" s="1">
        <v>43992</v>
      </c>
      <c r="B2189">
        <v>1000000047</v>
      </c>
      <c r="C2189" t="s">
        <v>42</v>
      </c>
      <c r="D2189">
        <v>1</v>
      </c>
      <c r="E2189">
        <v>3899.66</v>
      </c>
      <c r="F2189" t="s">
        <v>16</v>
      </c>
      <c r="G2189" t="s">
        <v>43</v>
      </c>
      <c r="H2189" t="s">
        <v>47</v>
      </c>
      <c r="I2189" t="s">
        <v>48</v>
      </c>
      <c r="J2189" t="s">
        <v>26</v>
      </c>
      <c r="K2189" t="s">
        <v>50</v>
      </c>
      <c r="L2189" t="s">
        <v>22</v>
      </c>
      <c r="M2189">
        <v>3899.66</v>
      </c>
      <c r="N2189">
        <v>2020</v>
      </c>
      <c r="O2189">
        <v>6</v>
      </c>
    </row>
    <row r="2190" spans="1:15" x14ac:dyDescent="0.3">
      <c r="A2190" s="1">
        <v>43992</v>
      </c>
      <c r="B2190">
        <v>1000000050</v>
      </c>
      <c r="C2190" t="s">
        <v>23</v>
      </c>
      <c r="D2190">
        <v>1</v>
      </c>
      <c r="E2190">
        <v>21999.99</v>
      </c>
      <c r="F2190" t="s">
        <v>16</v>
      </c>
      <c r="G2190" t="s">
        <v>24</v>
      </c>
      <c r="H2190" t="s">
        <v>18</v>
      </c>
      <c r="I2190" t="s">
        <v>40</v>
      </c>
      <c r="J2190" t="s">
        <v>26</v>
      </c>
      <c r="K2190" t="s">
        <v>41</v>
      </c>
      <c r="L2190" t="s">
        <v>22</v>
      </c>
      <c r="M2190">
        <v>21999.99</v>
      </c>
      <c r="N2190">
        <v>2020</v>
      </c>
      <c r="O2190">
        <v>6</v>
      </c>
    </row>
    <row r="2191" spans="1:15" x14ac:dyDescent="0.3">
      <c r="A2191" s="1">
        <v>43992</v>
      </c>
      <c r="B2191">
        <v>1000000050</v>
      </c>
      <c r="C2191" t="s">
        <v>42</v>
      </c>
      <c r="D2191">
        <v>1</v>
      </c>
      <c r="E2191">
        <v>12000.62</v>
      </c>
      <c r="F2191" t="s">
        <v>16</v>
      </c>
      <c r="G2191" t="s">
        <v>43</v>
      </c>
      <c r="H2191" t="s">
        <v>18</v>
      </c>
      <c r="I2191" t="s">
        <v>40</v>
      </c>
      <c r="J2191" t="s">
        <v>26</v>
      </c>
      <c r="K2191" t="s">
        <v>41</v>
      </c>
      <c r="L2191" t="s">
        <v>22</v>
      </c>
      <c r="M2191">
        <v>12000.62</v>
      </c>
      <c r="N2191">
        <v>2020</v>
      </c>
      <c r="O2191">
        <v>6</v>
      </c>
    </row>
    <row r="2192" spans="1:15" x14ac:dyDescent="0.3">
      <c r="A2192" s="1">
        <v>43992</v>
      </c>
      <c r="B2192">
        <v>1000000056</v>
      </c>
      <c r="C2192" t="s">
        <v>54</v>
      </c>
      <c r="D2192">
        <v>1</v>
      </c>
      <c r="E2192">
        <v>1698.32</v>
      </c>
      <c r="F2192" t="s">
        <v>46</v>
      </c>
      <c r="G2192" t="s">
        <v>24</v>
      </c>
      <c r="H2192" t="s">
        <v>18</v>
      </c>
      <c r="I2192" t="s">
        <v>34</v>
      </c>
      <c r="J2192" t="s">
        <v>26</v>
      </c>
      <c r="K2192" t="s">
        <v>35</v>
      </c>
      <c r="L2192" t="s">
        <v>28</v>
      </c>
      <c r="M2192">
        <v>1698.32</v>
      </c>
      <c r="N2192">
        <v>2020</v>
      </c>
      <c r="O2192">
        <v>6</v>
      </c>
    </row>
    <row r="2193" spans="1:15" x14ac:dyDescent="0.3">
      <c r="A2193" s="1">
        <v>43992</v>
      </c>
      <c r="B2193">
        <v>1000000056</v>
      </c>
      <c r="C2193" t="s">
        <v>23</v>
      </c>
      <c r="D2193">
        <v>1</v>
      </c>
      <c r="E2193">
        <v>5000.47</v>
      </c>
      <c r="F2193" t="s">
        <v>16</v>
      </c>
      <c r="G2193" t="s">
        <v>24</v>
      </c>
      <c r="H2193" t="s">
        <v>18</v>
      </c>
      <c r="I2193" t="s">
        <v>34</v>
      </c>
      <c r="J2193" t="s">
        <v>26</v>
      </c>
      <c r="K2193" t="s">
        <v>35</v>
      </c>
      <c r="L2193" t="s">
        <v>28</v>
      </c>
      <c r="M2193">
        <v>5000.47</v>
      </c>
      <c r="N2193">
        <v>2020</v>
      </c>
      <c r="O2193">
        <v>6</v>
      </c>
    </row>
    <row r="2194" spans="1:15" x14ac:dyDescent="0.3">
      <c r="A2194" s="1">
        <v>43992</v>
      </c>
      <c r="B2194">
        <v>1000000056</v>
      </c>
      <c r="C2194" t="s">
        <v>15</v>
      </c>
      <c r="D2194">
        <v>2</v>
      </c>
      <c r="E2194">
        <v>13000.44</v>
      </c>
      <c r="F2194" t="s">
        <v>16</v>
      </c>
      <c r="G2194" t="s">
        <v>17</v>
      </c>
      <c r="H2194" t="s">
        <v>18</v>
      </c>
      <c r="I2194" t="s">
        <v>34</v>
      </c>
      <c r="J2194" t="s">
        <v>26</v>
      </c>
      <c r="K2194" t="s">
        <v>35</v>
      </c>
      <c r="L2194" t="s">
        <v>28</v>
      </c>
      <c r="M2194">
        <v>6500.22</v>
      </c>
      <c r="N2194">
        <v>2020</v>
      </c>
      <c r="O2194">
        <v>6</v>
      </c>
    </row>
    <row r="2195" spans="1:15" x14ac:dyDescent="0.3">
      <c r="A2195" s="1">
        <v>43992</v>
      </c>
      <c r="B2195">
        <v>1000000067</v>
      </c>
      <c r="C2195" t="s">
        <v>23</v>
      </c>
      <c r="D2195">
        <v>1</v>
      </c>
      <c r="E2195">
        <v>20000.7</v>
      </c>
      <c r="F2195" t="s">
        <v>16</v>
      </c>
      <c r="G2195" t="s">
        <v>24</v>
      </c>
      <c r="H2195" t="s">
        <v>18</v>
      </c>
      <c r="I2195" t="s">
        <v>25</v>
      </c>
      <c r="J2195" t="s">
        <v>20</v>
      </c>
      <c r="K2195" t="s">
        <v>51</v>
      </c>
      <c r="L2195" t="s">
        <v>22</v>
      </c>
      <c r="M2195">
        <v>20000.7</v>
      </c>
      <c r="N2195">
        <v>2020</v>
      </c>
      <c r="O2195">
        <v>6</v>
      </c>
    </row>
    <row r="2196" spans="1:15" x14ac:dyDescent="0.3">
      <c r="A2196" s="1">
        <v>43992</v>
      </c>
      <c r="B2196">
        <v>1000000067</v>
      </c>
      <c r="C2196" t="s">
        <v>15</v>
      </c>
      <c r="D2196">
        <v>3</v>
      </c>
      <c r="E2196">
        <v>47001.25</v>
      </c>
      <c r="F2196" t="s">
        <v>16</v>
      </c>
      <c r="G2196" t="s">
        <v>17</v>
      </c>
      <c r="H2196" t="s">
        <v>18</v>
      </c>
      <c r="I2196" t="s">
        <v>25</v>
      </c>
      <c r="J2196" t="s">
        <v>20</v>
      </c>
      <c r="K2196" t="s">
        <v>51</v>
      </c>
      <c r="L2196" t="s">
        <v>22</v>
      </c>
      <c r="M2196">
        <v>15667.083333333334</v>
      </c>
      <c r="N2196">
        <v>2020</v>
      </c>
      <c r="O2196">
        <v>6</v>
      </c>
    </row>
    <row r="2197" spans="1:15" x14ac:dyDescent="0.3">
      <c r="A2197" s="1">
        <v>43992</v>
      </c>
      <c r="B2197">
        <v>1000000068</v>
      </c>
      <c r="C2197" t="s">
        <v>23</v>
      </c>
      <c r="D2197">
        <v>1</v>
      </c>
      <c r="E2197">
        <v>1000.07</v>
      </c>
      <c r="F2197" t="s">
        <v>16</v>
      </c>
      <c r="G2197" t="s">
        <v>24</v>
      </c>
      <c r="H2197" t="s">
        <v>30</v>
      </c>
      <c r="I2197" t="s">
        <v>55</v>
      </c>
      <c r="J2197" t="s">
        <v>26</v>
      </c>
      <c r="K2197" t="s">
        <v>56</v>
      </c>
      <c r="L2197" t="s">
        <v>28</v>
      </c>
      <c r="M2197">
        <v>1000.07</v>
      </c>
      <c r="N2197">
        <v>2020</v>
      </c>
      <c r="O2197">
        <v>6</v>
      </c>
    </row>
    <row r="2198" spans="1:15" x14ac:dyDescent="0.3">
      <c r="A2198" s="1">
        <v>43992</v>
      </c>
      <c r="B2198">
        <v>1000000068</v>
      </c>
      <c r="C2198" t="s">
        <v>15</v>
      </c>
      <c r="D2198">
        <v>1</v>
      </c>
      <c r="E2198">
        <v>12000.58</v>
      </c>
      <c r="F2198" t="s">
        <v>16</v>
      </c>
      <c r="G2198" t="s">
        <v>17</v>
      </c>
      <c r="H2198" t="s">
        <v>30</v>
      </c>
      <c r="I2198" t="s">
        <v>55</v>
      </c>
      <c r="J2198" t="s">
        <v>26</v>
      </c>
      <c r="K2198" t="s">
        <v>56</v>
      </c>
      <c r="L2198" t="s">
        <v>28</v>
      </c>
      <c r="M2198">
        <v>12000.58</v>
      </c>
      <c r="N2198">
        <v>2020</v>
      </c>
      <c r="O2198">
        <v>6</v>
      </c>
    </row>
    <row r="2199" spans="1:15" x14ac:dyDescent="0.3">
      <c r="A2199" s="1">
        <v>43992</v>
      </c>
      <c r="B2199">
        <v>1000000104</v>
      </c>
      <c r="C2199" t="s">
        <v>42</v>
      </c>
      <c r="D2199">
        <v>1</v>
      </c>
      <c r="E2199">
        <v>13000.59</v>
      </c>
      <c r="F2199" t="s">
        <v>16</v>
      </c>
      <c r="G2199" t="s">
        <v>43</v>
      </c>
      <c r="H2199" t="s">
        <v>18</v>
      </c>
      <c r="I2199" t="s">
        <v>40</v>
      </c>
      <c r="J2199" t="s">
        <v>26</v>
      </c>
      <c r="K2199" t="s">
        <v>41</v>
      </c>
      <c r="L2199" t="s">
        <v>22</v>
      </c>
      <c r="M2199">
        <v>13000.59</v>
      </c>
      <c r="N2199">
        <v>2020</v>
      </c>
      <c r="O2199">
        <v>6</v>
      </c>
    </row>
    <row r="2200" spans="1:15" x14ac:dyDescent="0.3">
      <c r="A2200" s="1">
        <v>43992</v>
      </c>
      <c r="B2200">
        <v>1000000237</v>
      </c>
      <c r="C2200" t="s">
        <v>42</v>
      </c>
      <c r="D2200">
        <v>1</v>
      </c>
      <c r="E2200">
        <v>17000.64</v>
      </c>
      <c r="F2200" t="s">
        <v>16</v>
      </c>
      <c r="G2200" t="s">
        <v>43</v>
      </c>
      <c r="H2200" t="s">
        <v>18</v>
      </c>
      <c r="I2200" t="s">
        <v>40</v>
      </c>
      <c r="J2200" t="s">
        <v>26</v>
      </c>
      <c r="K2200" t="s">
        <v>41</v>
      </c>
      <c r="L2200" t="s">
        <v>22</v>
      </c>
      <c r="M2200">
        <v>17000.64</v>
      </c>
      <c r="N2200">
        <v>2020</v>
      </c>
      <c r="O2200">
        <v>6</v>
      </c>
    </row>
    <row r="2201" spans="1:15" x14ac:dyDescent="0.3">
      <c r="A2201" s="1">
        <v>43992</v>
      </c>
      <c r="B2201">
        <v>1000000566</v>
      </c>
      <c r="C2201" t="s">
        <v>23</v>
      </c>
      <c r="D2201">
        <v>1</v>
      </c>
      <c r="E2201">
        <v>19999.95</v>
      </c>
      <c r="F2201" t="s">
        <v>16</v>
      </c>
      <c r="G2201" t="s">
        <v>24</v>
      </c>
      <c r="H2201" t="s">
        <v>47</v>
      </c>
      <c r="I2201" t="s">
        <v>48</v>
      </c>
      <c r="J2201" t="s">
        <v>36</v>
      </c>
      <c r="K2201" t="s">
        <v>49</v>
      </c>
      <c r="L2201" t="s">
        <v>22</v>
      </c>
      <c r="M2201">
        <v>19999.95</v>
      </c>
      <c r="N2201">
        <v>2020</v>
      </c>
      <c r="O2201">
        <v>6</v>
      </c>
    </row>
    <row r="2202" spans="1:15" x14ac:dyDescent="0.3">
      <c r="A2202" s="1">
        <v>43992</v>
      </c>
      <c r="B2202">
        <v>1000000566</v>
      </c>
      <c r="C2202" t="s">
        <v>15</v>
      </c>
      <c r="D2202">
        <v>1</v>
      </c>
      <c r="E2202">
        <v>581.16999999999996</v>
      </c>
      <c r="F2202" t="s">
        <v>16</v>
      </c>
      <c r="G2202" t="s">
        <v>17</v>
      </c>
      <c r="H2202" t="s">
        <v>47</v>
      </c>
      <c r="I2202" t="s">
        <v>48</v>
      </c>
      <c r="J2202" t="s">
        <v>36</v>
      </c>
      <c r="K2202" t="s">
        <v>49</v>
      </c>
      <c r="L2202" t="s">
        <v>22</v>
      </c>
      <c r="M2202">
        <v>581.16999999999996</v>
      </c>
      <c r="N2202">
        <v>2020</v>
      </c>
      <c r="O2202">
        <v>6</v>
      </c>
    </row>
    <row r="2203" spans="1:15" x14ac:dyDescent="0.3">
      <c r="A2203" s="1">
        <v>43992</v>
      </c>
      <c r="B2203">
        <v>1000000576</v>
      </c>
      <c r="C2203" t="s">
        <v>42</v>
      </c>
      <c r="D2203">
        <v>1</v>
      </c>
      <c r="E2203">
        <v>16000.17</v>
      </c>
      <c r="F2203" t="s">
        <v>16</v>
      </c>
      <c r="G2203" t="s">
        <v>43</v>
      </c>
      <c r="H2203" t="s">
        <v>18</v>
      </c>
      <c r="I2203" t="s">
        <v>25</v>
      </c>
      <c r="J2203" t="s">
        <v>36</v>
      </c>
      <c r="K2203" t="s">
        <v>37</v>
      </c>
      <c r="L2203" t="s">
        <v>22</v>
      </c>
      <c r="M2203">
        <v>16000.17</v>
      </c>
      <c r="N2203">
        <v>2020</v>
      </c>
      <c r="O2203">
        <v>6</v>
      </c>
    </row>
    <row r="2204" spans="1:15" x14ac:dyDescent="0.3">
      <c r="A2204" s="1">
        <v>43992</v>
      </c>
      <c r="B2204">
        <v>1000000928</v>
      </c>
      <c r="C2204" t="s">
        <v>23</v>
      </c>
      <c r="D2204">
        <v>2</v>
      </c>
      <c r="E2204">
        <v>21000.75</v>
      </c>
      <c r="F2204" t="s">
        <v>16</v>
      </c>
      <c r="G2204" t="s">
        <v>24</v>
      </c>
      <c r="H2204" t="s">
        <v>30</v>
      </c>
      <c r="I2204" t="s">
        <v>57</v>
      </c>
      <c r="J2204" t="s">
        <v>26</v>
      </c>
      <c r="K2204" t="s">
        <v>58</v>
      </c>
      <c r="L2204" t="s">
        <v>22</v>
      </c>
      <c r="M2204">
        <v>10500.375</v>
      </c>
      <c r="N2204">
        <v>2020</v>
      </c>
      <c r="O2204">
        <v>6</v>
      </c>
    </row>
    <row r="2205" spans="1:15" x14ac:dyDescent="0.3">
      <c r="A2205" s="1">
        <v>43992</v>
      </c>
      <c r="B2205">
        <v>1000001524</v>
      </c>
      <c r="C2205" t="s">
        <v>15</v>
      </c>
      <c r="D2205">
        <v>2</v>
      </c>
      <c r="E2205">
        <v>26000.17</v>
      </c>
      <c r="F2205" t="s">
        <v>16</v>
      </c>
      <c r="G2205" t="s">
        <v>17</v>
      </c>
      <c r="H2205" t="s">
        <v>18</v>
      </c>
      <c r="I2205" t="s">
        <v>25</v>
      </c>
      <c r="J2205" t="s">
        <v>20</v>
      </c>
      <c r="K2205" t="s">
        <v>51</v>
      </c>
      <c r="L2205" t="s">
        <v>22</v>
      </c>
      <c r="M2205">
        <v>13000.084999999999</v>
      </c>
      <c r="N2205">
        <v>2020</v>
      </c>
      <c r="O2205">
        <v>6</v>
      </c>
    </row>
    <row r="2206" spans="1:15" x14ac:dyDescent="0.3">
      <c r="A2206" s="1">
        <v>43992</v>
      </c>
      <c r="B2206">
        <v>1000003489</v>
      </c>
      <c r="C2206" t="s">
        <v>23</v>
      </c>
      <c r="D2206">
        <v>1</v>
      </c>
      <c r="E2206">
        <v>15000.29</v>
      </c>
      <c r="F2206" t="s">
        <v>16</v>
      </c>
      <c r="G2206" t="s">
        <v>24</v>
      </c>
      <c r="H2206" t="s">
        <v>47</v>
      </c>
      <c r="I2206" t="s">
        <v>48</v>
      </c>
      <c r="J2206" t="s">
        <v>26</v>
      </c>
      <c r="K2206" t="s">
        <v>50</v>
      </c>
      <c r="L2206" t="s">
        <v>22</v>
      </c>
      <c r="M2206">
        <v>15000.29</v>
      </c>
      <c r="N2206">
        <v>2020</v>
      </c>
      <c r="O2206">
        <v>6</v>
      </c>
    </row>
    <row r="2207" spans="1:15" x14ac:dyDescent="0.3">
      <c r="A2207" s="1">
        <v>43992</v>
      </c>
      <c r="B2207">
        <v>1000003489</v>
      </c>
      <c r="C2207" t="s">
        <v>42</v>
      </c>
      <c r="D2207">
        <v>1</v>
      </c>
      <c r="E2207">
        <v>7500.35</v>
      </c>
      <c r="F2207" t="s">
        <v>16</v>
      </c>
      <c r="G2207" t="s">
        <v>43</v>
      </c>
      <c r="H2207" t="s">
        <v>47</v>
      </c>
      <c r="I2207" t="s">
        <v>48</v>
      </c>
      <c r="J2207" t="s">
        <v>26</v>
      </c>
      <c r="K2207" t="s">
        <v>50</v>
      </c>
      <c r="L2207" t="s">
        <v>22</v>
      </c>
      <c r="M2207">
        <v>7500.35</v>
      </c>
      <c r="N2207">
        <v>2020</v>
      </c>
      <c r="O2207">
        <v>6</v>
      </c>
    </row>
    <row r="2208" spans="1:15" x14ac:dyDescent="0.3">
      <c r="A2208" s="1">
        <v>43992</v>
      </c>
      <c r="B2208">
        <v>1000003926</v>
      </c>
      <c r="C2208" t="s">
        <v>23</v>
      </c>
      <c r="D2208">
        <v>3</v>
      </c>
      <c r="E2208">
        <v>23100.84</v>
      </c>
      <c r="F2208" t="s">
        <v>16</v>
      </c>
      <c r="G2208" t="s">
        <v>24</v>
      </c>
      <c r="H2208" t="s">
        <v>47</v>
      </c>
      <c r="I2208" t="s">
        <v>48</v>
      </c>
      <c r="J2208" t="s">
        <v>26</v>
      </c>
      <c r="K2208" t="s">
        <v>50</v>
      </c>
      <c r="L2208" t="s">
        <v>28</v>
      </c>
      <c r="M2208">
        <v>7700.28</v>
      </c>
      <c r="N2208">
        <v>2020</v>
      </c>
      <c r="O2208">
        <v>6</v>
      </c>
    </row>
    <row r="2209" spans="1:15" x14ac:dyDescent="0.3">
      <c r="A2209" s="1">
        <v>43992</v>
      </c>
      <c r="B2209">
        <v>1000003989</v>
      </c>
      <c r="C2209" t="s">
        <v>15</v>
      </c>
      <c r="D2209">
        <v>1</v>
      </c>
      <c r="E2209">
        <v>7500.38</v>
      </c>
      <c r="F2209" t="s">
        <v>16</v>
      </c>
      <c r="G2209" t="s">
        <v>17</v>
      </c>
      <c r="H2209" t="s">
        <v>30</v>
      </c>
      <c r="I2209" t="s">
        <v>31</v>
      </c>
      <c r="J2209" t="s">
        <v>36</v>
      </c>
      <c r="K2209" t="s">
        <v>52</v>
      </c>
      <c r="L2209" t="s">
        <v>22</v>
      </c>
      <c r="M2209">
        <v>7500.38</v>
      </c>
      <c r="N2209">
        <v>2020</v>
      </c>
      <c r="O2209">
        <v>6</v>
      </c>
    </row>
    <row r="2210" spans="1:15" x14ac:dyDescent="0.3">
      <c r="A2210" s="1">
        <v>43992</v>
      </c>
      <c r="B2210">
        <v>1000004170</v>
      </c>
      <c r="C2210" t="s">
        <v>23</v>
      </c>
      <c r="D2210">
        <v>2</v>
      </c>
      <c r="E2210">
        <v>45000.86</v>
      </c>
      <c r="F2210" t="s">
        <v>16</v>
      </c>
      <c r="G2210" t="s">
        <v>24</v>
      </c>
      <c r="H2210" t="s">
        <v>18</v>
      </c>
      <c r="I2210" t="s">
        <v>34</v>
      </c>
      <c r="J2210" t="s">
        <v>20</v>
      </c>
      <c r="K2210" t="s">
        <v>44</v>
      </c>
      <c r="L2210" t="s">
        <v>28</v>
      </c>
      <c r="M2210">
        <v>22500.43</v>
      </c>
      <c r="N2210">
        <v>2020</v>
      </c>
      <c r="O2210">
        <v>6</v>
      </c>
    </row>
    <row r="2211" spans="1:15" x14ac:dyDescent="0.3">
      <c r="A2211" s="1">
        <v>43992</v>
      </c>
      <c r="B2211">
        <v>1000004256</v>
      </c>
      <c r="C2211" t="s">
        <v>15</v>
      </c>
      <c r="D2211">
        <v>1</v>
      </c>
      <c r="E2211">
        <v>12999.93</v>
      </c>
      <c r="F2211" t="s">
        <v>16</v>
      </c>
      <c r="G2211" t="s">
        <v>17</v>
      </c>
      <c r="H2211" t="s">
        <v>18</v>
      </c>
      <c r="I2211" t="s">
        <v>40</v>
      </c>
      <c r="J2211" t="s">
        <v>26</v>
      </c>
      <c r="K2211" t="s">
        <v>41</v>
      </c>
      <c r="L2211" t="s">
        <v>22</v>
      </c>
      <c r="M2211">
        <v>12999.93</v>
      </c>
      <c r="N2211">
        <v>2020</v>
      </c>
      <c r="O2211">
        <v>6</v>
      </c>
    </row>
    <row r="2212" spans="1:15" x14ac:dyDescent="0.3">
      <c r="A2212" s="1">
        <v>43992</v>
      </c>
      <c r="B2212">
        <v>1000004256</v>
      </c>
      <c r="C2212" t="s">
        <v>42</v>
      </c>
      <c r="D2212">
        <v>1</v>
      </c>
      <c r="E2212">
        <v>3000.23</v>
      </c>
      <c r="F2212" t="s">
        <v>16</v>
      </c>
      <c r="G2212" t="s">
        <v>43</v>
      </c>
      <c r="H2212" t="s">
        <v>18</v>
      </c>
      <c r="I2212" t="s">
        <v>40</v>
      </c>
      <c r="J2212" t="s">
        <v>26</v>
      </c>
      <c r="K2212" t="s">
        <v>41</v>
      </c>
      <c r="L2212" t="s">
        <v>22</v>
      </c>
      <c r="M2212">
        <v>3000.23</v>
      </c>
      <c r="N2212">
        <v>2020</v>
      </c>
      <c r="O2212">
        <v>6</v>
      </c>
    </row>
    <row r="2213" spans="1:15" x14ac:dyDescent="0.3">
      <c r="A2213" s="1">
        <v>43992</v>
      </c>
      <c r="B2213">
        <v>1000005873</v>
      </c>
      <c r="C2213" t="s">
        <v>15</v>
      </c>
      <c r="D2213">
        <v>1</v>
      </c>
      <c r="E2213">
        <v>1980.68</v>
      </c>
      <c r="F2213" t="s">
        <v>16</v>
      </c>
      <c r="G2213" t="s">
        <v>17</v>
      </c>
      <c r="H2213" t="s">
        <v>18</v>
      </c>
      <c r="I2213" t="s">
        <v>19</v>
      </c>
      <c r="J2213" t="s">
        <v>20</v>
      </c>
      <c r="K2213" t="s">
        <v>21</v>
      </c>
      <c r="L2213" t="s">
        <v>28</v>
      </c>
      <c r="M2213">
        <v>1980.68</v>
      </c>
      <c r="N2213">
        <v>2020</v>
      </c>
      <c r="O2213">
        <v>6</v>
      </c>
    </row>
    <row r="2214" spans="1:15" x14ac:dyDescent="0.3">
      <c r="A2214" s="1">
        <v>43992</v>
      </c>
      <c r="B2214">
        <v>1000006064</v>
      </c>
      <c r="C2214" t="s">
        <v>15</v>
      </c>
      <c r="D2214">
        <v>1</v>
      </c>
      <c r="E2214">
        <v>7000.17</v>
      </c>
      <c r="F2214" t="s">
        <v>16</v>
      </c>
      <c r="G2214" t="s">
        <v>17</v>
      </c>
      <c r="H2214" t="s">
        <v>18</v>
      </c>
      <c r="I2214" t="s">
        <v>40</v>
      </c>
      <c r="J2214" t="s">
        <v>26</v>
      </c>
      <c r="K2214" t="s">
        <v>41</v>
      </c>
      <c r="L2214" t="s">
        <v>22</v>
      </c>
      <c r="M2214">
        <v>7000.17</v>
      </c>
      <c r="N2214">
        <v>2020</v>
      </c>
      <c r="O2214">
        <v>6</v>
      </c>
    </row>
    <row r="2215" spans="1:15" x14ac:dyDescent="0.3">
      <c r="A2215" s="1">
        <v>43992</v>
      </c>
      <c r="B2215">
        <v>1000006064</v>
      </c>
      <c r="C2215" t="s">
        <v>42</v>
      </c>
      <c r="D2215">
        <v>1</v>
      </c>
      <c r="E2215">
        <v>7000.07</v>
      </c>
      <c r="F2215" t="s">
        <v>16</v>
      </c>
      <c r="G2215" t="s">
        <v>43</v>
      </c>
      <c r="H2215" t="s">
        <v>18</v>
      </c>
      <c r="I2215" t="s">
        <v>40</v>
      </c>
      <c r="J2215" t="s">
        <v>26</v>
      </c>
      <c r="K2215" t="s">
        <v>41</v>
      </c>
      <c r="L2215" t="s">
        <v>22</v>
      </c>
      <c r="M2215">
        <v>7000.07</v>
      </c>
      <c r="N2215">
        <v>2020</v>
      </c>
      <c r="O2215">
        <v>6</v>
      </c>
    </row>
    <row r="2216" spans="1:15" x14ac:dyDescent="0.3">
      <c r="A2216" s="1">
        <v>43992</v>
      </c>
      <c r="B2216">
        <v>1000006698</v>
      </c>
      <c r="C2216" t="s">
        <v>23</v>
      </c>
      <c r="D2216">
        <v>2</v>
      </c>
      <c r="E2216">
        <v>13000.01</v>
      </c>
      <c r="F2216" t="s">
        <v>16</v>
      </c>
      <c r="G2216" t="s">
        <v>24</v>
      </c>
      <c r="H2216" t="s">
        <v>30</v>
      </c>
      <c r="I2216" t="s">
        <v>38</v>
      </c>
      <c r="J2216" t="s">
        <v>26</v>
      </c>
      <c r="K2216" t="s">
        <v>39</v>
      </c>
      <c r="L2216" t="s">
        <v>28</v>
      </c>
      <c r="M2216">
        <v>6500.0050000000001</v>
      </c>
      <c r="N2216">
        <v>2020</v>
      </c>
      <c r="O2216">
        <v>6</v>
      </c>
    </row>
    <row r="2217" spans="1:15" x14ac:dyDescent="0.3">
      <c r="A2217" s="1">
        <v>43992</v>
      </c>
      <c r="B2217">
        <v>1000006867</v>
      </c>
      <c r="C2217" t="s">
        <v>15</v>
      </c>
      <c r="D2217">
        <v>2</v>
      </c>
      <c r="E2217">
        <v>38001.06</v>
      </c>
      <c r="F2217" t="s">
        <v>16</v>
      </c>
      <c r="G2217" t="s">
        <v>17</v>
      </c>
      <c r="H2217" t="s">
        <v>18</v>
      </c>
      <c r="I2217" t="s">
        <v>61</v>
      </c>
      <c r="J2217" t="s">
        <v>26</v>
      </c>
      <c r="K2217" t="s">
        <v>62</v>
      </c>
      <c r="L2217" t="s">
        <v>22</v>
      </c>
      <c r="M2217">
        <v>19000.53</v>
      </c>
      <c r="N2217">
        <v>2020</v>
      </c>
      <c r="O2217">
        <v>6</v>
      </c>
    </row>
    <row r="2218" spans="1:15" x14ac:dyDescent="0.3">
      <c r="A2218" s="1">
        <v>43992</v>
      </c>
      <c r="B2218">
        <v>1000006867</v>
      </c>
      <c r="C2218" t="s">
        <v>42</v>
      </c>
      <c r="D2218">
        <v>1</v>
      </c>
      <c r="E2218">
        <v>16000.06</v>
      </c>
      <c r="F2218" t="s">
        <v>16</v>
      </c>
      <c r="G2218" t="s">
        <v>43</v>
      </c>
      <c r="H2218" t="s">
        <v>18</v>
      </c>
      <c r="I2218" t="s">
        <v>61</v>
      </c>
      <c r="J2218" t="s">
        <v>26</v>
      </c>
      <c r="K2218" t="s">
        <v>62</v>
      </c>
      <c r="L2218" t="s">
        <v>22</v>
      </c>
      <c r="M2218">
        <v>16000.06</v>
      </c>
      <c r="N2218">
        <v>2020</v>
      </c>
      <c r="O2218">
        <v>6</v>
      </c>
    </row>
    <row r="2219" spans="1:15" x14ac:dyDescent="0.3">
      <c r="A2219" s="1">
        <v>43992</v>
      </c>
      <c r="B2219">
        <v>1000006869</v>
      </c>
      <c r="C2219" t="s">
        <v>15</v>
      </c>
      <c r="D2219">
        <v>1</v>
      </c>
      <c r="E2219">
        <v>15000.37</v>
      </c>
      <c r="F2219" t="s">
        <v>16</v>
      </c>
      <c r="G2219" t="s">
        <v>17</v>
      </c>
      <c r="H2219" t="s">
        <v>18</v>
      </c>
      <c r="I2219" t="s">
        <v>61</v>
      </c>
      <c r="J2219" t="s">
        <v>26</v>
      </c>
      <c r="K2219" t="s">
        <v>62</v>
      </c>
      <c r="L2219" t="s">
        <v>22</v>
      </c>
      <c r="M2219">
        <v>15000.37</v>
      </c>
      <c r="N2219">
        <v>2020</v>
      </c>
      <c r="O2219">
        <v>6</v>
      </c>
    </row>
    <row r="2220" spans="1:15" x14ac:dyDescent="0.3">
      <c r="A2220" s="1">
        <v>43992</v>
      </c>
      <c r="B2220">
        <v>1000006869</v>
      </c>
      <c r="C2220" t="s">
        <v>42</v>
      </c>
      <c r="D2220">
        <v>1</v>
      </c>
      <c r="E2220">
        <v>15000.06</v>
      </c>
      <c r="F2220" t="s">
        <v>16</v>
      </c>
      <c r="G2220" t="s">
        <v>43</v>
      </c>
      <c r="H2220" t="s">
        <v>18</v>
      </c>
      <c r="I2220" t="s">
        <v>61</v>
      </c>
      <c r="J2220" t="s">
        <v>26</v>
      </c>
      <c r="K2220" t="s">
        <v>62</v>
      </c>
      <c r="L2220" t="s">
        <v>22</v>
      </c>
      <c r="M2220">
        <v>15000.06</v>
      </c>
      <c r="N2220">
        <v>2020</v>
      </c>
      <c r="O2220">
        <v>6</v>
      </c>
    </row>
    <row r="2221" spans="1:15" x14ac:dyDescent="0.3">
      <c r="A2221" s="1">
        <v>43992</v>
      </c>
      <c r="B2221">
        <v>1000007320</v>
      </c>
      <c r="C2221" t="s">
        <v>15</v>
      </c>
      <c r="D2221">
        <v>1</v>
      </c>
      <c r="E2221">
        <v>16000.22</v>
      </c>
      <c r="F2221" t="s">
        <v>16</v>
      </c>
      <c r="G2221" t="s">
        <v>17</v>
      </c>
      <c r="H2221" t="s">
        <v>18</v>
      </c>
      <c r="I2221" t="s">
        <v>34</v>
      </c>
      <c r="J2221" t="s">
        <v>26</v>
      </c>
      <c r="K2221" t="s">
        <v>35</v>
      </c>
      <c r="L2221" t="s">
        <v>22</v>
      </c>
      <c r="M2221">
        <v>16000.22</v>
      </c>
      <c r="N2221">
        <v>2020</v>
      </c>
      <c r="O2221">
        <v>6</v>
      </c>
    </row>
    <row r="2222" spans="1:15" x14ac:dyDescent="0.3">
      <c r="A2222" s="1">
        <v>43992</v>
      </c>
      <c r="B2222">
        <v>1000008239</v>
      </c>
      <c r="C2222" t="s">
        <v>23</v>
      </c>
      <c r="D2222">
        <v>1</v>
      </c>
      <c r="E2222">
        <v>11000.26</v>
      </c>
      <c r="F2222" t="s">
        <v>16</v>
      </c>
      <c r="G2222" t="s">
        <v>24</v>
      </c>
      <c r="H2222" t="s">
        <v>18</v>
      </c>
      <c r="I2222" t="s">
        <v>61</v>
      </c>
      <c r="J2222" t="s">
        <v>26</v>
      </c>
      <c r="K2222" t="s">
        <v>62</v>
      </c>
      <c r="L2222" t="s">
        <v>28</v>
      </c>
      <c r="M2222">
        <v>11000.26</v>
      </c>
      <c r="N2222">
        <v>2020</v>
      </c>
      <c r="O2222">
        <v>6</v>
      </c>
    </row>
    <row r="2223" spans="1:15" x14ac:dyDescent="0.3">
      <c r="A2223" s="1">
        <v>43992</v>
      </c>
      <c r="B2223">
        <v>1000008239</v>
      </c>
      <c r="C2223" t="s">
        <v>15</v>
      </c>
      <c r="D2223">
        <v>2</v>
      </c>
      <c r="E2223">
        <v>32000.48</v>
      </c>
      <c r="F2223" t="s">
        <v>16</v>
      </c>
      <c r="G2223" t="s">
        <v>17</v>
      </c>
      <c r="H2223" t="s">
        <v>18</v>
      </c>
      <c r="I2223" t="s">
        <v>61</v>
      </c>
      <c r="J2223" t="s">
        <v>26</v>
      </c>
      <c r="K2223" t="s">
        <v>62</v>
      </c>
      <c r="L2223" t="s">
        <v>28</v>
      </c>
      <c r="M2223">
        <v>16000.24</v>
      </c>
      <c r="N2223">
        <v>2020</v>
      </c>
      <c r="O2223">
        <v>6</v>
      </c>
    </row>
    <row r="2224" spans="1:15" x14ac:dyDescent="0.3">
      <c r="A2224" s="1">
        <v>43992</v>
      </c>
      <c r="B2224">
        <v>1000008957</v>
      </c>
      <c r="C2224" t="s">
        <v>23</v>
      </c>
      <c r="D2224">
        <v>1</v>
      </c>
      <c r="E2224">
        <v>599.95000000000005</v>
      </c>
      <c r="F2224" t="s">
        <v>16</v>
      </c>
      <c r="G2224" t="s">
        <v>24</v>
      </c>
      <c r="H2224" t="s">
        <v>18</v>
      </c>
      <c r="I2224" t="s">
        <v>34</v>
      </c>
      <c r="J2224" t="s">
        <v>20</v>
      </c>
      <c r="K2224" t="s">
        <v>44</v>
      </c>
      <c r="L2224" t="s">
        <v>22</v>
      </c>
      <c r="M2224">
        <v>599.95000000000005</v>
      </c>
      <c r="N2224">
        <v>2020</v>
      </c>
      <c r="O2224">
        <v>6</v>
      </c>
    </row>
    <row r="2225" spans="1:15" x14ac:dyDescent="0.3">
      <c r="A2225" s="1">
        <v>43992</v>
      </c>
      <c r="B2225">
        <v>1000009288</v>
      </c>
      <c r="C2225" t="s">
        <v>23</v>
      </c>
      <c r="D2225">
        <v>1</v>
      </c>
      <c r="E2225">
        <v>12000.39</v>
      </c>
      <c r="F2225" t="s">
        <v>16</v>
      </c>
      <c r="G2225" t="s">
        <v>24</v>
      </c>
      <c r="H2225" t="s">
        <v>18</v>
      </c>
      <c r="I2225" t="s">
        <v>25</v>
      </c>
      <c r="J2225" t="s">
        <v>20</v>
      </c>
      <c r="K2225" t="s">
        <v>51</v>
      </c>
      <c r="L2225" t="s">
        <v>22</v>
      </c>
      <c r="M2225">
        <v>12000.39</v>
      </c>
      <c r="N2225">
        <v>2020</v>
      </c>
      <c r="O2225">
        <v>6</v>
      </c>
    </row>
    <row r="2226" spans="1:15" x14ac:dyDescent="0.3">
      <c r="A2226" s="1">
        <v>43992</v>
      </c>
      <c r="B2226">
        <v>1000010814</v>
      </c>
      <c r="C2226" t="s">
        <v>42</v>
      </c>
      <c r="D2226">
        <v>1</v>
      </c>
      <c r="E2226">
        <v>5500.6</v>
      </c>
      <c r="F2226" t="s">
        <v>16</v>
      </c>
      <c r="G2226" t="s">
        <v>43</v>
      </c>
      <c r="H2226" t="s">
        <v>18</v>
      </c>
      <c r="I2226" t="s">
        <v>61</v>
      </c>
      <c r="J2226" t="s">
        <v>32</v>
      </c>
      <c r="K2226" t="s">
        <v>63</v>
      </c>
      <c r="L2226" t="s">
        <v>22</v>
      </c>
      <c r="M2226">
        <v>5500.6</v>
      </c>
      <c r="N2226">
        <v>2020</v>
      </c>
      <c r="O2226">
        <v>6</v>
      </c>
    </row>
    <row r="2227" spans="1:15" x14ac:dyDescent="0.3">
      <c r="A2227" s="1">
        <v>43992</v>
      </c>
      <c r="B2227">
        <v>1000010837</v>
      </c>
      <c r="C2227" t="s">
        <v>15</v>
      </c>
      <c r="D2227">
        <v>1</v>
      </c>
      <c r="E2227">
        <v>10000.200000000001</v>
      </c>
      <c r="F2227" t="s">
        <v>16</v>
      </c>
      <c r="G2227" t="s">
        <v>17</v>
      </c>
      <c r="H2227" t="s">
        <v>18</v>
      </c>
      <c r="I2227" t="s">
        <v>61</v>
      </c>
      <c r="J2227" t="s">
        <v>26</v>
      </c>
      <c r="K2227" t="s">
        <v>62</v>
      </c>
      <c r="L2227" t="s">
        <v>22</v>
      </c>
      <c r="M2227">
        <v>10000.200000000001</v>
      </c>
      <c r="N2227">
        <v>2020</v>
      </c>
      <c r="O2227">
        <v>6</v>
      </c>
    </row>
    <row r="2228" spans="1:15" x14ac:dyDescent="0.3">
      <c r="A2228" s="1">
        <v>43992</v>
      </c>
      <c r="B2228">
        <v>1000010881</v>
      </c>
      <c r="C2228" t="s">
        <v>15</v>
      </c>
      <c r="D2228">
        <v>1</v>
      </c>
      <c r="E2228">
        <v>17000.580000000002</v>
      </c>
      <c r="F2228" t="s">
        <v>16</v>
      </c>
      <c r="G2228" t="s">
        <v>17</v>
      </c>
      <c r="H2228" t="s">
        <v>47</v>
      </c>
      <c r="I2228" t="s">
        <v>48</v>
      </c>
      <c r="J2228" t="s">
        <v>26</v>
      </c>
      <c r="K2228" t="s">
        <v>50</v>
      </c>
      <c r="L2228" t="s">
        <v>22</v>
      </c>
      <c r="M2228">
        <v>17000.580000000002</v>
      </c>
      <c r="N2228">
        <v>2020</v>
      </c>
      <c r="O2228">
        <v>6</v>
      </c>
    </row>
    <row r="2229" spans="1:15" x14ac:dyDescent="0.3">
      <c r="A2229" s="1">
        <v>43992</v>
      </c>
      <c r="B2229">
        <v>1000011697</v>
      </c>
      <c r="C2229" t="s">
        <v>23</v>
      </c>
      <c r="D2229">
        <v>1</v>
      </c>
      <c r="E2229">
        <v>16000.54</v>
      </c>
      <c r="F2229" t="s">
        <v>16</v>
      </c>
      <c r="G2229" t="s">
        <v>24</v>
      </c>
      <c r="H2229" t="s">
        <v>18</v>
      </c>
      <c r="I2229" t="s">
        <v>34</v>
      </c>
      <c r="J2229" t="s">
        <v>20</v>
      </c>
      <c r="K2229" t="s">
        <v>44</v>
      </c>
      <c r="L2229" t="s">
        <v>22</v>
      </c>
      <c r="M2229">
        <v>16000.54</v>
      </c>
      <c r="N2229">
        <v>2020</v>
      </c>
      <c r="O2229">
        <v>6</v>
      </c>
    </row>
    <row r="2230" spans="1:15" x14ac:dyDescent="0.3">
      <c r="A2230" s="1">
        <v>43992</v>
      </c>
      <c r="B2230">
        <v>1000011698</v>
      </c>
      <c r="C2230" t="s">
        <v>23</v>
      </c>
      <c r="D2230">
        <v>2</v>
      </c>
      <c r="E2230">
        <v>24000.5</v>
      </c>
      <c r="F2230" t="s">
        <v>16</v>
      </c>
      <c r="G2230" t="s">
        <v>24</v>
      </c>
      <c r="H2230" t="s">
        <v>18</v>
      </c>
      <c r="I2230" t="s">
        <v>34</v>
      </c>
      <c r="J2230" t="s">
        <v>20</v>
      </c>
      <c r="K2230" t="s">
        <v>44</v>
      </c>
      <c r="L2230" t="s">
        <v>22</v>
      </c>
      <c r="M2230">
        <v>12000.25</v>
      </c>
      <c r="N2230">
        <v>2020</v>
      </c>
      <c r="O2230">
        <v>6</v>
      </c>
    </row>
    <row r="2231" spans="1:15" x14ac:dyDescent="0.3">
      <c r="A2231" s="1">
        <v>43992</v>
      </c>
      <c r="B2231">
        <v>1000011698</v>
      </c>
      <c r="C2231" t="s">
        <v>15</v>
      </c>
      <c r="D2231">
        <v>1</v>
      </c>
      <c r="E2231">
        <v>8000.51</v>
      </c>
      <c r="F2231" t="s">
        <v>16</v>
      </c>
      <c r="G2231" t="s">
        <v>17</v>
      </c>
      <c r="H2231" t="s">
        <v>18</v>
      </c>
      <c r="I2231" t="s">
        <v>34</v>
      </c>
      <c r="J2231" t="s">
        <v>20</v>
      </c>
      <c r="K2231" t="s">
        <v>44</v>
      </c>
      <c r="L2231" t="s">
        <v>22</v>
      </c>
      <c r="M2231">
        <v>8000.51</v>
      </c>
      <c r="N2231">
        <v>2020</v>
      </c>
      <c r="O2231">
        <v>6</v>
      </c>
    </row>
    <row r="2232" spans="1:15" x14ac:dyDescent="0.3">
      <c r="A2232" s="1">
        <v>43992</v>
      </c>
      <c r="B2232">
        <v>1000011698</v>
      </c>
      <c r="C2232" t="s">
        <v>42</v>
      </c>
      <c r="D2232">
        <v>1</v>
      </c>
      <c r="E2232">
        <v>7000.12</v>
      </c>
      <c r="F2232" t="s">
        <v>16</v>
      </c>
      <c r="G2232" t="s">
        <v>43</v>
      </c>
      <c r="H2232" t="s">
        <v>18</v>
      </c>
      <c r="I2232" t="s">
        <v>34</v>
      </c>
      <c r="J2232" t="s">
        <v>20</v>
      </c>
      <c r="K2232" t="s">
        <v>44</v>
      </c>
      <c r="L2232" t="s">
        <v>22</v>
      </c>
      <c r="M2232">
        <v>7000.12</v>
      </c>
      <c r="N2232">
        <v>2020</v>
      </c>
      <c r="O2232">
        <v>6</v>
      </c>
    </row>
    <row r="2233" spans="1:15" x14ac:dyDescent="0.3">
      <c r="A2233" s="1">
        <v>43992</v>
      </c>
      <c r="B2233">
        <v>1000012096</v>
      </c>
      <c r="C2233" t="s">
        <v>23</v>
      </c>
      <c r="D2233">
        <v>2</v>
      </c>
      <c r="E2233">
        <v>14000.51</v>
      </c>
      <c r="F2233" t="s">
        <v>16</v>
      </c>
      <c r="G2233" t="s">
        <v>24</v>
      </c>
      <c r="H2233" t="s">
        <v>18</v>
      </c>
      <c r="I2233" t="s">
        <v>19</v>
      </c>
      <c r="J2233" t="s">
        <v>26</v>
      </c>
      <c r="K2233" t="s">
        <v>29</v>
      </c>
      <c r="L2233" t="s">
        <v>22</v>
      </c>
      <c r="M2233">
        <v>7000.2550000000001</v>
      </c>
      <c r="N2233">
        <v>2020</v>
      </c>
      <c r="O2233">
        <v>6</v>
      </c>
    </row>
    <row r="2234" spans="1:15" x14ac:dyDescent="0.3">
      <c r="A2234" s="1">
        <v>43992</v>
      </c>
      <c r="B2234">
        <v>1000012099</v>
      </c>
      <c r="C2234" t="s">
        <v>15</v>
      </c>
      <c r="D2234">
        <v>4</v>
      </c>
      <c r="E2234">
        <v>72001.540000000008</v>
      </c>
      <c r="F2234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21</v>
      </c>
      <c r="L2234" t="s">
        <v>22</v>
      </c>
      <c r="M2234">
        <v>18000.385000000002</v>
      </c>
      <c r="N2234">
        <v>2020</v>
      </c>
      <c r="O2234">
        <v>6</v>
      </c>
    </row>
    <row r="2235" spans="1:15" x14ac:dyDescent="0.3">
      <c r="A2235" s="1">
        <v>43992</v>
      </c>
      <c r="B2235">
        <v>1000012112</v>
      </c>
      <c r="C2235" t="s">
        <v>23</v>
      </c>
      <c r="D2235">
        <v>2</v>
      </c>
      <c r="E2235">
        <v>23000.799999999999</v>
      </c>
      <c r="F2235" t="s">
        <v>16</v>
      </c>
      <c r="G2235" t="s">
        <v>24</v>
      </c>
      <c r="H2235" t="s">
        <v>18</v>
      </c>
      <c r="I2235" t="s">
        <v>19</v>
      </c>
      <c r="J2235" t="s">
        <v>36</v>
      </c>
      <c r="K2235" t="s">
        <v>64</v>
      </c>
      <c r="L2235" t="s">
        <v>28</v>
      </c>
      <c r="M2235">
        <v>11500.4</v>
      </c>
      <c r="N2235">
        <v>2020</v>
      </c>
      <c r="O2235">
        <v>6</v>
      </c>
    </row>
    <row r="2236" spans="1:15" x14ac:dyDescent="0.3">
      <c r="A2236" s="1">
        <v>43992</v>
      </c>
      <c r="B2236">
        <v>1000012112</v>
      </c>
      <c r="C2236" t="s">
        <v>15</v>
      </c>
      <c r="D2236">
        <v>1</v>
      </c>
      <c r="E2236">
        <v>9000.2999999999993</v>
      </c>
      <c r="F2236" t="s">
        <v>16</v>
      </c>
      <c r="G2236" t="s">
        <v>17</v>
      </c>
      <c r="H2236" t="s">
        <v>18</v>
      </c>
      <c r="I2236" t="s">
        <v>19</v>
      </c>
      <c r="J2236" t="s">
        <v>36</v>
      </c>
      <c r="K2236" t="s">
        <v>64</v>
      </c>
      <c r="L2236" t="s">
        <v>28</v>
      </c>
      <c r="M2236">
        <v>9000.2999999999993</v>
      </c>
      <c r="N2236">
        <v>2020</v>
      </c>
      <c r="O2236">
        <v>6</v>
      </c>
    </row>
    <row r="2237" spans="1:15" x14ac:dyDescent="0.3">
      <c r="A2237" s="1">
        <v>43992</v>
      </c>
      <c r="B2237">
        <v>1000012112</v>
      </c>
      <c r="C2237" t="s">
        <v>42</v>
      </c>
      <c r="D2237">
        <v>1</v>
      </c>
      <c r="E2237">
        <v>15000.7</v>
      </c>
      <c r="F2237" t="s">
        <v>16</v>
      </c>
      <c r="G2237" t="s">
        <v>43</v>
      </c>
      <c r="H2237" t="s">
        <v>18</v>
      </c>
      <c r="I2237" t="s">
        <v>19</v>
      </c>
      <c r="J2237" t="s">
        <v>36</v>
      </c>
      <c r="K2237" t="s">
        <v>64</v>
      </c>
      <c r="L2237" t="s">
        <v>28</v>
      </c>
      <c r="M2237">
        <v>15000.7</v>
      </c>
      <c r="N2237">
        <v>2020</v>
      </c>
      <c r="O2237">
        <v>6</v>
      </c>
    </row>
    <row r="2238" spans="1:15" x14ac:dyDescent="0.3">
      <c r="A2238" s="1">
        <v>43992</v>
      </c>
      <c r="B2238">
        <v>1000012234</v>
      </c>
      <c r="C2238" t="s">
        <v>15</v>
      </c>
      <c r="D2238">
        <v>2</v>
      </c>
      <c r="E2238">
        <v>21500.350000000002</v>
      </c>
      <c r="F2238" t="s">
        <v>16</v>
      </c>
      <c r="G2238" t="s">
        <v>17</v>
      </c>
      <c r="H2238" t="s">
        <v>18</v>
      </c>
      <c r="I2238" t="s">
        <v>25</v>
      </c>
      <c r="J2238" t="s">
        <v>26</v>
      </c>
      <c r="K2238" t="s">
        <v>27</v>
      </c>
      <c r="L2238" t="s">
        <v>22</v>
      </c>
      <c r="M2238">
        <v>10750.175000000001</v>
      </c>
      <c r="N2238">
        <v>2020</v>
      </c>
      <c r="O2238">
        <v>6</v>
      </c>
    </row>
    <row r="2239" spans="1:15" x14ac:dyDescent="0.3">
      <c r="A2239" s="1">
        <v>43992</v>
      </c>
      <c r="B2239">
        <v>1000012394</v>
      </c>
      <c r="C2239" t="s">
        <v>15</v>
      </c>
      <c r="D2239">
        <v>1</v>
      </c>
      <c r="E2239">
        <v>11000.29</v>
      </c>
      <c r="F2239" t="s">
        <v>16</v>
      </c>
      <c r="G2239" t="s">
        <v>17</v>
      </c>
      <c r="H2239" t="s">
        <v>18</v>
      </c>
      <c r="I2239" t="s">
        <v>61</v>
      </c>
      <c r="J2239" t="s">
        <v>26</v>
      </c>
      <c r="K2239" t="s">
        <v>62</v>
      </c>
      <c r="L2239" t="s">
        <v>22</v>
      </c>
      <c r="M2239">
        <v>11000.29</v>
      </c>
      <c r="N2239">
        <v>2020</v>
      </c>
      <c r="O2239">
        <v>6</v>
      </c>
    </row>
    <row r="2240" spans="1:15" x14ac:dyDescent="0.3">
      <c r="A2240" s="1">
        <v>43992</v>
      </c>
      <c r="B2240">
        <v>1000012446</v>
      </c>
      <c r="C2240" t="s">
        <v>15</v>
      </c>
      <c r="D2240">
        <v>4</v>
      </c>
      <c r="E2240">
        <v>37501.050000000003</v>
      </c>
      <c r="F2240" t="s">
        <v>16</v>
      </c>
      <c r="G2240" t="s">
        <v>17</v>
      </c>
      <c r="H2240" t="s">
        <v>30</v>
      </c>
      <c r="I2240" t="s">
        <v>31</v>
      </c>
      <c r="J2240" t="s">
        <v>36</v>
      </c>
      <c r="K2240" t="s">
        <v>52</v>
      </c>
      <c r="L2240" t="s">
        <v>22</v>
      </c>
      <c r="M2240">
        <v>9375.2625000000007</v>
      </c>
      <c r="N2240">
        <v>2020</v>
      </c>
      <c r="O2240">
        <v>6</v>
      </c>
    </row>
    <row r="2241" spans="1:15" x14ac:dyDescent="0.3">
      <c r="A2241" s="1">
        <v>43992</v>
      </c>
      <c r="B2241">
        <v>1000012675</v>
      </c>
      <c r="C2241" t="s">
        <v>23</v>
      </c>
      <c r="D2241">
        <v>1</v>
      </c>
      <c r="E2241">
        <v>10000.31</v>
      </c>
      <c r="F2241" t="s">
        <v>16</v>
      </c>
      <c r="G2241" t="s">
        <v>24</v>
      </c>
      <c r="H2241" t="s">
        <v>18</v>
      </c>
      <c r="I2241" t="s">
        <v>34</v>
      </c>
      <c r="J2241" t="s">
        <v>26</v>
      </c>
      <c r="K2241" t="s">
        <v>35</v>
      </c>
      <c r="L2241" t="s">
        <v>22</v>
      </c>
      <c r="M2241">
        <v>10000.31</v>
      </c>
      <c r="N2241">
        <v>2020</v>
      </c>
      <c r="O2241">
        <v>6</v>
      </c>
    </row>
    <row r="2242" spans="1:15" x14ac:dyDescent="0.3">
      <c r="A2242" s="1">
        <v>43992</v>
      </c>
      <c r="B2242">
        <v>1000012675</v>
      </c>
      <c r="C2242" t="s">
        <v>15</v>
      </c>
      <c r="D2242">
        <v>1</v>
      </c>
      <c r="E2242">
        <v>14000.66</v>
      </c>
      <c r="F2242" t="s">
        <v>16</v>
      </c>
      <c r="G2242" t="s">
        <v>17</v>
      </c>
      <c r="H2242" t="s">
        <v>18</v>
      </c>
      <c r="I2242" t="s">
        <v>34</v>
      </c>
      <c r="J2242" t="s">
        <v>26</v>
      </c>
      <c r="K2242" t="s">
        <v>35</v>
      </c>
      <c r="L2242" t="s">
        <v>22</v>
      </c>
      <c r="M2242">
        <v>14000.66</v>
      </c>
      <c r="N2242">
        <v>2020</v>
      </c>
      <c r="O2242">
        <v>6</v>
      </c>
    </row>
    <row r="2243" spans="1:15" x14ac:dyDescent="0.3">
      <c r="A2243" s="1">
        <v>43993</v>
      </c>
      <c r="B2243">
        <v>1000000029</v>
      </c>
      <c r="C2243" t="s">
        <v>23</v>
      </c>
      <c r="D2243">
        <v>2</v>
      </c>
      <c r="E2243">
        <v>9501.1299999999992</v>
      </c>
      <c r="F2243" t="s">
        <v>16</v>
      </c>
      <c r="G2243" t="s">
        <v>24</v>
      </c>
      <c r="H2243" t="s">
        <v>18</v>
      </c>
      <c r="I2243" t="s">
        <v>19</v>
      </c>
      <c r="J2243" t="s">
        <v>20</v>
      </c>
      <c r="K2243" t="s">
        <v>21</v>
      </c>
      <c r="L2243" t="s">
        <v>22</v>
      </c>
      <c r="M2243">
        <v>4750.5649999999996</v>
      </c>
      <c r="N2243">
        <v>2020</v>
      </c>
      <c r="O2243">
        <v>6</v>
      </c>
    </row>
    <row r="2244" spans="1:15" x14ac:dyDescent="0.3">
      <c r="A2244" s="1">
        <v>43993</v>
      </c>
      <c r="B2244">
        <v>1000000029</v>
      </c>
      <c r="C2244" t="s">
        <v>15</v>
      </c>
      <c r="D2244">
        <v>1</v>
      </c>
      <c r="E2244">
        <v>15000.12</v>
      </c>
      <c r="F2244" t="s">
        <v>16</v>
      </c>
      <c r="G2244" t="s">
        <v>17</v>
      </c>
      <c r="H2244" t="s">
        <v>18</v>
      </c>
      <c r="I2244" t="s">
        <v>19</v>
      </c>
      <c r="J2244" t="s">
        <v>20</v>
      </c>
      <c r="K2244" t="s">
        <v>21</v>
      </c>
      <c r="L2244" t="s">
        <v>22</v>
      </c>
      <c r="M2244">
        <v>15000.12</v>
      </c>
      <c r="N2244">
        <v>2020</v>
      </c>
      <c r="O2244">
        <v>6</v>
      </c>
    </row>
    <row r="2245" spans="1:15" x14ac:dyDescent="0.3">
      <c r="A2245" s="1">
        <v>43993</v>
      </c>
      <c r="B2245">
        <v>1000000030</v>
      </c>
      <c r="C2245" t="s">
        <v>23</v>
      </c>
      <c r="D2245">
        <v>1</v>
      </c>
      <c r="E2245">
        <v>7000.25</v>
      </c>
      <c r="F2245" t="s">
        <v>16</v>
      </c>
      <c r="G2245" t="s">
        <v>24</v>
      </c>
      <c r="H2245" t="s">
        <v>47</v>
      </c>
      <c r="I2245" t="s">
        <v>48</v>
      </c>
      <c r="J2245" t="s">
        <v>36</v>
      </c>
      <c r="K2245" t="s">
        <v>49</v>
      </c>
      <c r="L2245" t="s">
        <v>22</v>
      </c>
      <c r="M2245">
        <v>7000.25</v>
      </c>
      <c r="N2245">
        <v>2020</v>
      </c>
      <c r="O2245">
        <v>6</v>
      </c>
    </row>
    <row r="2246" spans="1:15" x14ac:dyDescent="0.3">
      <c r="A2246" s="1">
        <v>43993</v>
      </c>
      <c r="B2246">
        <v>1000000031</v>
      </c>
      <c r="C2246" t="s">
        <v>23</v>
      </c>
      <c r="D2246">
        <v>1</v>
      </c>
      <c r="E2246">
        <v>8000.56</v>
      </c>
      <c r="F2246" t="s">
        <v>16</v>
      </c>
      <c r="G2246" t="s">
        <v>24</v>
      </c>
      <c r="H2246" t="s">
        <v>18</v>
      </c>
      <c r="I2246" t="s">
        <v>19</v>
      </c>
      <c r="J2246" t="s">
        <v>26</v>
      </c>
      <c r="K2246" t="s">
        <v>29</v>
      </c>
      <c r="L2246" t="s">
        <v>28</v>
      </c>
      <c r="M2246">
        <v>8000.56</v>
      </c>
      <c r="N2246">
        <v>2020</v>
      </c>
      <c r="O2246">
        <v>6</v>
      </c>
    </row>
    <row r="2247" spans="1:15" x14ac:dyDescent="0.3">
      <c r="A2247" s="1">
        <v>43993</v>
      </c>
      <c r="B2247">
        <v>1000000031</v>
      </c>
      <c r="C2247" t="s">
        <v>15</v>
      </c>
      <c r="D2247">
        <v>3</v>
      </c>
      <c r="E2247">
        <v>9380.9599999999991</v>
      </c>
      <c r="F2247" t="s">
        <v>16</v>
      </c>
      <c r="G2247" t="s">
        <v>17</v>
      </c>
      <c r="H2247" t="s">
        <v>18</v>
      </c>
      <c r="I2247" t="s">
        <v>19</v>
      </c>
      <c r="J2247" t="s">
        <v>26</v>
      </c>
      <c r="K2247" t="s">
        <v>29</v>
      </c>
      <c r="L2247" t="s">
        <v>28</v>
      </c>
      <c r="M2247">
        <v>3126.9866666666662</v>
      </c>
      <c r="N2247">
        <v>2020</v>
      </c>
      <c r="O2247">
        <v>6</v>
      </c>
    </row>
    <row r="2248" spans="1:15" x14ac:dyDescent="0.3">
      <c r="A2248" s="1">
        <v>43993</v>
      </c>
      <c r="B2248">
        <v>1000000032</v>
      </c>
      <c r="C2248" t="s">
        <v>15</v>
      </c>
      <c r="D2248">
        <v>2</v>
      </c>
      <c r="E2248">
        <v>32001.129999999997</v>
      </c>
      <c r="F2248" t="s">
        <v>16</v>
      </c>
      <c r="G2248" t="s">
        <v>17</v>
      </c>
      <c r="H2248" t="s">
        <v>18</v>
      </c>
      <c r="I2248" t="s">
        <v>25</v>
      </c>
      <c r="J2248" t="s">
        <v>26</v>
      </c>
      <c r="K2248" t="s">
        <v>27</v>
      </c>
      <c r="L2248" t="s">
        <v>28</v>
      </c>
      <c r="M2248">
        <v>16000.564999999999</v>
      </c>
      <c r="N2248">
        <v>2020</v>
      </c>
      <c r="O2248">
        <v>6</v>
      </c>
    </row>
    <row r="2249" spans="1:15" x14ac:dyDescent="0.3">
      <c r="A2249" s="1">
        <v>43993</v>
      </c>
      <c r="B2249">
        <v>1000000033</v>
      </c>
      <c r="C2249" t="s">
        <v>15</v>
      </c>
      <c r="D2249">
        <v>1</v>
      </c>
      <c r="E2249">
        <v>20000.48</v>
      </c>
      <c r="F2249" t="s">
        <v>16</v>
      </c>
      <c r="G2249" t="s">
        <v>17</v>
      </c>
      <c r="H2249" t="s">
        <v>18</v>
      </c>
      <c r="I2249" t="s">
        <v>25</v>
      </c>
      <c r="J2249" t="s">
        <v>26</v>
      </c>
      <c r="K2249" t="s">
        <v>27</v>
      </c>
      <c r="L2249" t="s">
        <v>22</v>
      </c>
      <c r="M2249">
        <v>20000.48</v>
      </c>
      <c r="N2249">
        <v>2020</v>
      </c>
      <c r="O2249">
        <v>6</v>
      </c>
    </row>
    <row r="2250" spans="1:15" x14ac:dyDescent="0.3">
      <c r="A2250" s="1">
        <v>43993</v>
      </c>
      <c r="B2250">
        <v>1000000036</v>
      </c>
      <c r="C2250" t="s">
        <v>23</v>
      </c>
      <c r="D2250">
        <v>1</v>
      </c>
      <c r="E2250">
        <v>13000.69</v>
      </c>
      <c r="F2250" t="s">
        <v>16</v>
      </c>
      <c r="G2250" t="s">
        <v>24</v>
      </c>
      <c r="H2250" t="s">
        <v>47</v>
      </c>
      <c r="I2250" t="s">
        <v>48</v>
      </c>
      <c r="J2250" t="s">
        <v>36</v>
      </c>
      <c r="K2250" t="s">
        <v>49</v>
      </c>
      <c r="L2250" t="s">
        <v>28</v>
      </c>
      <c r="M2250">
        <v>13000.69</v>
      </c>
      <c r="N2250">
        <v>2020</v>
      </c>
      <c r="O2250">
        <v>6</v>
      </c>
    </row>
    <row r="2251" spans="1:15" x14ac:dyDescent="0.3">
      <c r="A2251" s="1">
        <v>43993</v>
      </c>
      <c r="B2251">
        <v>1000000036</v>
      </c>
      <c r="C2251" t="s">
        <v>15</v>
      </c>
      <c r="D2251">
        <v>1</v>
      </c>
      <c r="E2251">
        <v>10999.98</v>
      </c>
      <c r="F2251" t="s">
        <v>16</v>
      </c>
      <c r="G2251" t="s">
        <v>17</v>
      </c>
      <c r="H2251" t="s">
        <v>47</v>
      </c>
      <c r="I2251" t="s">
        <v>48</v>
      </c>
      <c r="J2251" t="s">
        <v>36</v>
      </c>
      <c r="K2251" t="s">
        <v>49</v>
      </c>
      <c r="L2251" t="s">
        <v>28</v>
      </c>
      <c r="M2251">
        <v>10999.98</v>
      </c>
      <c r="N2251">
        <v>2020</v>
      </c>
      <c r="O2251">
        <v>6</v>
      </c>
    </row>
    <row r="2252" spans="1:15" x14ac:dyDescent="0.3">
      <c r="A2252" s="1">
        <v>43993</v>
      </c>
      <c r="B2252">
        <v>1000000039</v>
      </c>
      <c r="C2252" t="s">
        <v>23</v>
      </c>
      <c r="D2252">
        <v>1</v>
      </c>
      <c r="E2252">
        <v>25000.23</v>
      </c>
      <c r="F2252" t="s">
        <v>16</v>
      </c>
      <c r="G2252" t="s">
        <v>24</v>
      </c>
      <c r="H2252" t="s">
        <v>18</v>
      </c>
      <c r="I2252" t="s">
        <v>25</v>
      </c>
      <c r="J2252" t="s">
        <v>20</v>
      </c>
      <c r="K2252" t="s">
        <v>51</v>
      </c>
      <c r="L2252" t="s">
        <v>28</v>
      </c>
      <c r="M2252">
        <v>25000.23</v>
      </c>
      <c r="N2252">
        <v>2020</v>
      </c>
      <c r="O2252">
        <v>6</v>
      </c>
    </row>
    <row r="2253" spans="1:15" x14ac:dyDescent="0.3">
      <c r="A2253" s="1">
        <v>43993</v>
      </c>
      <c r="B2253">
        <v>1000000039</v>
      </c>
      <c r="C2253" t="s">
        <v>15</v>
      </c>
      <c r="D2253">
        <v>2</v>
      </c>
      <c r="E2253">
        <v>28000.350000000002</v>
      </c>
      <c r="F2253" t="s">
        <v>16</v>
      </c>
      <c r="G2253" t="s">
        <v>17</v>
      </c>
      <c r="H2253" t="s">
        <v>18</v>
      </c>
      <c r="I2253" t="s">
        <v>25</v>
      </c>
      <c r="J2253" t="s">
        <v>20</v>
      </c>
      <c r="K2253" t="s">
        <v>51</v>
      </c>
      <c r="L2253" t="s">
        <v>28</v>
      </c>
      <c r="M2253">
        <v>14000.175000000001</v>
      </c>
      <c r="N2253">
        <v>2020</v>
      </c>
      <c r="O2253">
        <v>6</v>
      </c>
    </row>
    <row r="2254" spans="1:15" x14ac:dyDescent="0.3">
      <c r="A2254" s="1">
        <v>43993</v>
      </c>
      <c r="B2254">
        <v>1000000039</v>
      </c>
      <c r="C2254" t="s">
        <v>42</v>
      </c>
      <c r="D2254">
        <v>1</v>
      </c>
      <c r="E2254">
        <v>700.39</v>
      </c>
      <c r="F2254" t="s">
        <v>16</v>
      </c>
      <c r="G2254" t="s">
        <v>43</v>
      </c>
      <c r="H2254" t="s">
        <v>18</v>
      </c>
      <c r="I2254" t="s">
        <v>25</v>
      </c>
      <c r="J2254" t="s">
        <v>20</v>
      </c>
      <c r="K2254" t="s">
        <v>51</v>
      </c>
      <c r="L2254" t="s">
        <v>28</v>
      </c>
      <c r="M2254">
        <v>700.39</v>
      </c>
      <c r="N2254">
        <v>2020</v>
      </c>
      <c r="O2254">
        <v>6</v>
      </c>
    </row>
    <row r="2255" spans="1:15" x14ac:dyDescent="0.3">
      <c r="A2255" s="1">
        <v>43993</v>
      </c>
      <c r="B2255">
        <v>1000000040</v>
      </c>
      <c r="C2255" t="s">
        <v>23</v>
      </c>
      <c r="D2255">
        <v>4</v>
      </c>
      <c r="E2255">
        <v>31014.38</v>
      </c>
      <c r="F2255" t="s">
        <v>16</v>
      </c>
      <c r="G2255" t="s">
        <v>24</v>
      </c>
      <c r="H2255" t="s">
        <v>30</v>
      </c>
      <c r="I2255" t="s">
        <v>31</v>
      </c>
      <c r="J2255" t="s">
        <v>32</v>
      </c>
      <c r="K2255" t="s">
        <v>33</v>
      </c>
      <c r="L2255" t="s">
        <v>28</v>
      </c>
      <c r="M2255">
        <v>7753.5950000000003</v>
      </c>
      <c r="N2255">
        <v>2020</v>
      </c>
      <c r="O2255">
        <v>6</v>
      </c>
    </row>
    <row r="2256" spans="1:15" x14ac:dyDescent="0.3">
      <c r="A2256" s="1">
        <v>43993</v>
      </c>
      <c r="B2256">
        <v>1000000041</v>
      </c>
      <c r="C2256" t="s">
        <v>15</v>
      </c>
      <c r="D2256">
        <v>1</v>
      </c>
      <c r="E2256">
        <v>14000.05</v>
      </c>
      <c r="F2256" t="s">
        <v>16</v>
      </c>
      <c r="G2256" t="s">
        <v>17</v>
      </c>
      <c r="H2256" t="s">
        <v>30</v>
      </c>
      <c r="I2256" t="s">
        <v>31</v>
      </c>
      <c r="J2256" t="s">
        <v>32</v>
      </c>
      <c r="K2256" t="s">
        <v>33</v>
      </c>
      <c r="L2256" t="s">
        <v>22</v>
      </c>
      <c r="M2256">
        <v>14000.05</v>
      </c>
      <c r="N2256">
        <v>2020</v>
      </c>
      <c r="O2256">
        <v>6</v>
      </c>
    </row>
    <row r="2257" spans="1:15" x14ac:dyDescent="0.3">
      <c r="A2257" s="1">
        <v>43993</v>
      </c>
      <c r="B2257">
        <v>1000000041</v>
      </c>
      <c r="C2257" t="s">
        <v>42</v>
      </c>
      <c r="D2257">
        <v>1</v>
      </c>
      <c r="E2257">
        <v>1600.29</v>
      </c>
      <c r="F2257" t="s">
        <v>16</v>
      </c>
      <c r="G2257" t="s">
        <v>43</v>
      </c>
      <c r="H2257" t="s">
        <v>30</v>
      </c>
      <c r="I2257" t="s">
        <v>31</v>
      </c>
      <c r="J2257" t="s">
        <v>32</v>
      </c>
      <c r="K2257" t="s">
        <v>33</v>
      </c>
      <c r="L2257" t="s">
        <v>22</v>
      </c>
      <c r="M2257">
        <v>1600.29</v>
      </c>
      <c r="N2257">
        <v>2020</v>
      </c>
      <c r="O2257">
        <v>6</v>
      </c>
    </row>
    <row r="2258" spans="1:15" x14ac:dyDescent="0.3">
      <c r="A2258" s="1">
        <v>43993</v>
      </c>
      <c r="B2258">
        <v>1000000043</v>
      </c>
      <c r="C2258" t="s">
        <v>15</v>
      </c>
      <c r="D2258">
        <v>1</v>
      </c>
      <c r="E2258">
        <v>1255.32</v>
      </c>
      <c r="F2258" t="s">
        <v>16</v>
      </c>
      <c r="G2258" t="s">
        <v>17</v>
      </c>
      <c r="H2258" t="s">
        <v>30</v>
      </c>
      <c r="I2258" t="s">
        <v>38</v>
      </c>
      <c r="J2258" t="s">
        <v>26</v>
      </c>
      <c r="K2258" t="s">
        <v>39</v>
      </c>
      <c r="L2258" t="s">
        <v>22</v>
      </c>
      <c r="M2258">
        <v>1255.32</v>
      </c>
      <c r="N2258">
        <v>2020</v>
      </c>
      <c r="O2258">
        <v>6</v>
      </c>
    </row>
    <row r="2259" spans="1:15" x14ac:dyDescent="0.3">
      <c r="A2259" s="1">
        <v>43993</v>
      </c>
      <c r="B2259">
        <v>1000000045</v>
      </c>
      <c r="C2259" t="s">
        <v>23</v>
      </c>
      <c r="D2259">
        <v>2</v>
      </c>
      <c r="E2259">
        <v>8598.74</v>
      </c>
      <c r="F2259" t="s">
        <v>16</v>
      </c>
      <c r="G2259" t="s">
        <v>24</v>
      </c>
      <c r="H2259" t="s">
        <v>47</v>
      </c>
      <c r="I2259" t="s">
        <v>59</v>
      </c>
      <c r="J2259" t="s">
        <v>26</v>
      </c>
      <c r="K2259" t="s">
        <v>60</v>
      </c>
      <c r="L2259" t="s">
        <v>22</v>
      </c>
      <c r="M2259">
        <v>4299.37</v>
      </c>
      <c r="N2259">
        <v>2020</v>
      </c>
      <c r="O2259">
        <v>6</v>
      </c>
    </row>
    <row r="2260" spans="1:15" x14ac:dyDescent="0.3">
      <c r="A2260" s="1">
        <v>43993</v>
      </c>
      <c r="B2260">
        <v>1000000046</v>
      </c>
      <c r="C2260" t="s">
        <v>42</v>
      </c>
      <c r="D2260">
        <v>1</v>
      </c>
      <c r="E2260">
        <v>12000.03</v>
      </c>
      <c r="F2260" t="s">
        <v>16</v>
      </c>
      <c r="G2260" t="s">
        <v>43</v>
      </c>
      <c r="H2260" t="s">
        <v>30</v>
      </c>
      <c r="I2260" t="s">
        <v>38</v>
      </c>
      <c r="J2260" t="s">
        <v>26</v>
      </c>
      <c r="K2260" t="s">
        <v>39</v>
      </c>
      <c r="L2260" t="s">
        <v>22</v>
      </c>
      <c r="M2260">
        <v>12000.03</v>
      </c>
      <c r="N2260">
        <v>2020</v>
      </c>
      <c r="O2260">
        <v>6</v>
      </c>
    </row>
    <row r="2261" spans="1:15" x14ac:dyDescent="0.3">
      <c r="A2261" s="1">
        <v>43993</v>
      </c>
      <c r="B2261">
        <v>1000000049</v>
      </c>
      <c r="C2261" t="s">
        <v>23</v>
      </c>
      <c r="D2261">
        <v>1</v>
      </c>
      <c r="E2261">
        <v>700.68</v>
      </c>
      <c r="F2261" t="s">
        <v>16</v>
      </c>
      <c r="G2261" t="s">
        <v>24</v>
      </c>
      <c r="H2261" t="s">
        <v>18</v>
      </c>
      <c r="I2261" t="s">
        <v>40</v>
      </c>
      <c r="J2261" t="s">
        <v>26</v>
      </c>
      <c r="K2261" t="s">
        <v>41</v>
      </c>
      <c r="L2261" t="s">
        <v>22</v>
      </c>
      <c r="M2261">
        <v>700.68</v>
      </c>
      <c r="N2261">
        <v>2020</v>
      </c>
      <c r="O2261">
        <v>6</v>
      </c>
    </row>
    <row r="2262" spans="1:15" x14ac:dyDescent="0.3">
      <c r="A2262" s="1">
        <v>43993</v>
      </c>
      <c r="B2262">
        <v>1000000050</v>
      </c>
      <c r="C2262" t="s">
        <v>42</v>
      </c>
      <c r="D2262">
        <v>1</v>
      </c>
      <c r="E2262">
        <v>15000.24</v>
      </c>
      <c r="F2262" t="s">
        <v>16</v>
      </c>
      <c r="G2262" t="s">
        <v>43</v>
      </c>
      <c r="H2262" t="s">
        <v>18</v>
      </c>
      <c r="I2262" t="s">
        <v>40</v>
      </c>
      <c r="J2262" t="s">
        <v>26</v>
      </c>
      <c r="K2262" t="s">
        <v>41</v>
      </c>
      <c r="L2262" t="s">
        <v>22</v>
      </c>
      <c r="M2262">
        <v>15000.24</v>
      </c>
      <c r="N2262">
        <v>2020</v>
      </c>
      <c r="O2262">
        <v>6</v>
      </c>
    </row>
    <row r="2263" spans="1:15" x14ac:dyDescent="0.3">
      <c r="A2263" s="1">
        <v>43993</v>
      </c>
      <c r="B2263">
        <v>1000000052</v>
      </c>
      <c r="C2263" t="s">
        <v>23</v>
      </c>
      <c r="D2263">
        <v>1</v>
      </c>
      <c r="E2263">
        <v>2000.74</v>
      </c>
      <c r="F2263" t="s">
        <v>16</v>
      </c>
      <c r="G2263" t="s">
        <v>24</v>
      </c>
      <c r="H2263" t="s">
        <v>18</v>
      </c>
      <c r="I2263" t="s">
        <v>34</v>
      </c>
      <c r="J2263" t="s">
        <v>20</v>
      </c>
      <c r="K2263" t="s">
        <v>44</v>
      </c>
      <c r="L2263" t="s">
        <v>22</v>
      </c>
      <c r="M2263">
        <v>2000.74</v>
      </c>
      <c r="N2263">
        <v>2020</v>
      </c>
      <c r="O2263">
        <v>6</v>
      </c>
    </row>
    <row r="2264" spans="1:15" x14ac:dyDescent="0.3">
      <c r="A2264" s="1">
        <v>43993</v>
      </c>
      <c r="B2264">
        <v>1000000056</v>
      </c>
      <c r="C2264" t="s">
        <v>23</v>
      </c>
      <c r="D2264">
        <v>2</v>
      </c>
      <c r="E2264">
        <v>24000.6</v>
      </c>
      <c r="F2264" t="s">
        <v>16</v>
      </c>
      <c r="G2264" t="s">
        <v>24</v>
      </c>
      <c r="H2264" t="s">
        <v>18</v>
      </c>
      <c r="I2264" t="s">
        <v>34</v>
      </c>
      <c r="J2264" t="s">
        <v>26</v>
      </c>
      <c r="K2264" t="s">
        <v>35</v>
      </c>
      <c r="L2264" t="s">
        <v>28</v>
      </c>
      <c r="M2264">
        <v>12000.3</v>
      </c>
      <c r="N2264">
        <v>2020</v>
      </c>
      <c r="O2264">
        <v>6</v>
      </c>
    </row>
    <row r="2265" spans="1:15" x14ac:dyDescent="0.3">
      <c r="A2265" s="1">
        <v>43993</v>
      </c>
      <c r="B2265">
        <v>1000000056</v>
      </c>
      <c r="C2265" t="s">
        <v>42</v>
      </c>
      <c r="D2265">
        <v>1</v>
      </c>
      <c r="E2265">
        <v>15000.55</v>
      </c>
      <c r="F2265" t="s">
        <v>16</v>
      </c>
      <c r="G2265" t="s">
        <v>43</v>
      </c>
      <c r="H2265" t="s">
        <v>18</v>
      </c>
      <c r="I2265" t="s">
        <v>34</v>
      </c>
      <c r="J2265" t="s">
        <v>26</v>
      </c>
      <c r="K2265" t="s">
        <v>35</v>
      </c>
      <c r="L2265" t="s">
        <v>28</v>
      </c>
      <c r="M2265">
        <v>15000.55</v>
      </c>
      <c r="N2265">
        <v>2020</v>
      </c>
      <c r="O2265">
        <v>6</v>
      </c>
    </row>
    <row r="2266" spans="1:15" x14ac:dyDescent="0.3">
      <c r="A2266" s="1">
        <v>43993</v>
      </c>
      <c r="B2266">
        <v>1000000067</v>
      </c>
      <c r="C2266" t="s">
        <v>15</v>
      </c>
      <c r="D2266">
        <v>2</v>
      </c>
      <c r="E2266">
        <v>27000.33</v>
      </c>
      <c r="F2266" t="s">
        <v>16</v>
      </c>
      <c r="G2266" t="s">
        <v>17</v>
      </c>
      <c r="H2266" t="s">
        <v>18</v>
      </c>
      <c r="I2266" t="s">
        <v>25</v>
      </c>
      <c r="J2266" t="s">
        <v>20</v>
      </c>
      <c r="K2266" t="s">
        <v>51</v>
      </c>
      <c r="L2266" t="s">
        <v>22</v>
      </c>
      <c r="M2266">
        <v>13500.165000000001</v>
      </c>
      <c r="N2266">
        <v>2020</v>
      </c>
      <c r="O2266">
        <v>6</v>
      </c>
    </row>
    <row r="2267" spans="1:15" x14ac:dyDescent="0.3">
      <c r="A2267" s="1">
        <v>43993</v>
      </c>
      <c r="B2267">
        <v>1000000068</v>
      </c>
      <c r="C2267" t="s">
        <v>15</v>
      </c>
      <c r="D2267">
        <v>1</v>
      </c>
      <c r="E2267">
        <v>14000.32</v>
      </c>
      <c r="F2267" t="s">
        <v>16</v>
      </c>
      <c r="G2267" t="s">
        <v>17</v>
      </c>
      <c r="H2267" t="s">
        <v>30</v>
      </c>
      <c r="I2267" t="s">
        <v>55</v>
      </c>
      <c r="J2267" t="s">
        <v>26</v>
      </c>
      <c r="K2267" t="s">
        <v>56</v>
      </c>
      <c r="L2267" t="s">
        <v>28</v>
      </c>
      <c r="M2267">
        <v>14000.32</v>
      </c>
      <c r="N2267">
        <v>2020</v>
      </c>
      <c r="O2267">
        <v>6</v>
      </c>
    </row>
    <row r="2268" spans="1:15" x14ac:dyDescent="0.3">
      <c r="A2268" s="1">
        <v>43993</v>
      </c>
      <c r="B2268">
        <v>1000000068</v>
      </c>
      <c r="C2268" t="s">
        <v>42</v>
      </c>
      <c r="D2268">
        <v>1</v>
      </c>
      <c r="E2268">
        <v>5000.13</v>
      </c>
      <c r="F2268" t="s">
        <v>16</v>
      </c>
      <c r="G2268" t="s">
        <v>43</v>
      </c>
      <c r="H2268" t="s">
        <v>30</v>
      </c>
      <c r="I2268" t="s">
        <v>55</v>
      </c>
      <c r="J2268" t="s">
        <v>26</v>
      </c>
      <c r="K2268" t="s">
        <v>56</v>
      </c>
      <c r="L2268" t="s">
        <v>28</v>
      </c>
      <c r="M2268">
        <v>5000.13</v>
      </c>
      <c r="N2268">
        <v>2020</v>
      </c>
      <c r="O2268">
        <v>6</v>
      </c>
    </row>
    <row r="2269" spans="1:15" x14ac:dyDescent="0.3">
      <c r="A2269" s="1">
        <v>43993</v>
      </c>
      <c r="B2269">
        <v>1000000104</v>
      </c>
      <c r="C2269" t="s">
        <v>15</v>
      </c>
      <c r="D2269">
        <v>2</v>
      </c>
      <c r="E2269">
        <v>27500.68</v>
      </c>
      <c r="F2269" t="s">
        <v>16</v>
      </c>
      <c r="G2269" t="s">
        <v>17</v>
      </c>
      <c r="H2269" t="s">
        <v>18</v>
      </c>
      <c r="I2269" t="s">
        <v>40</v>
      </c>
      <c r="J2269" t="s">
        <v>26</v>
      </c>
      <c r="K2269" t="s">
        <v>41</v>
      </c>
      <c r="L2269" t="s">
        <v>22</v>
      </c>
      <c r="M2269">
        <v>13750.34</v>
      </c>
      <c r="N2269">
        <v>2020</v>
      </c>
      <c r="O2269">
        <v>6</v>
      </c>
    </row>
    <row r="2270" spans="1:15" x14ac:dyDescent="0.3">
      <c r="A2270" s="1">
        <v>43993</v>
      </c>
      <c r="B2270">
        <v>1000000104</v>
      </c>
      <c r="C2270" t="s">
        <v>42</v>
      </c>
      <c r="D2270">
        <v>1</v>
      </c>
      <c r="E2270">
        <v>11000.38</v>
      </c>
      <c r="F2270" t="s">
        <v>16</v>
      </c>
      <c r="G2270" t="s">
        <v>43</v>
      </c>
      <c r="H2270" t="s">
        <v>18</v>
      </c>
      <c r="I2270" t="s">
        <v>40</v>
      </c>
      <c r="J2270" t="s">
        <v>26</v>
      </c>
      <c r="K2270" t="s">
        <v>41</v>
      </c>
      <c r="L2270" t="s">
        <v>22</v>
      </c>
      <c r="M2270">
        <v>11000.38</v>
      </c>
      <c r="N2270">
        <v>2020</v>
      </c>
      <c r="O2270">
        <v>6</v>
      </c>
    </row>
    <row r="2271" spans="1:15" x14ac:dyDescent="0.3">
      <c r="A2271" s="1">
        <v>43993</v>
      </c>
      <c r="B2271">
        <v>1000000237</v>
      </c>
      <c r="C2271" t="s">
        <v>15</v>
      </c>
      <c r="D2271">
        <v>1</v>
      </c>
      <c r="E2271">
        <v>15000.17</v>
      </c>
      <c r="F2271" t="s">
        <v>16</v>
      </c>
      <c r="G2271" t="s">
        <v>17</v>
      </c>
      <c r="H2271" t="s">
        <v>18</v>
      </c>
      <c r="I2271" t="s">
        <v>40</v>
      </c>
      <c r="J2271" t="s">
        <v>26</v>
      </c>
      <c r="K2271" t="s">
        <v>41</v>
      </c>
      <c r="L2271" t="s">
        <v>22</v>
      </c>
      <c r="M2271">
        <v>15000.17</v>
      </c>
      <c r="N2271">
        <v>2020</v>
      </c>
      <c r="O2271">
        <v>6</v>
      </c>
    </row>
    <row r="2272" spans="1:15" x14ac:dyDescent="0.3">
      <c r="A2272" s="1">
        <v>43993</v>
      </c>
      <c r="B2272">
        <v>1000000566</v>
      </c>
      <c r="C2272" t="s">
        <v>23</v>
      </c>
      <c r="D2272">
        <v>1</v>
      </c>
      <c r="E2272">
        <v>7000.59</v>
      </c>
      <c r="F2272" t="s">
        <v>16</v>
      </c>
      <c r="G2272" t="s">
        <v>24</v>
      </c>
      <c r="H2272" t="s">
        <v>47</v>
      </c>
      <c r="I2272" t="s">
        <v>48</v>
      </c>
      <c r="J2272" t="s">
        <v>36</v>
      </c>
      <c r="K2272" t="s">
        <v>49</v>
      </c>
      <c r="L2272" t="s">
        <v>22</v>
      </c>
      <c r="M2272">
        <v>7000.59</v>
      </c>
      <c r="N2272">
        <v>2020</v>
      </c>
      <c r="O2272">
        <v>6</v>
      </c>
    </row>
    <row r="2273" spans="1:15" x14ac:dyDescent="0.3">
      <c r="A2273" s="1">
        <v>43993</v>
      </c>
      <c r="B2273">
        <v>1000000576</v>
      </c>
      <c r="C2273" t="s">
        <v>42</v>
      </c>
      <c r="D2273">
        <v>1</v>
      </c>
      <c r="E2273">
        <v>1745.14</v>
      </c>
      <c r="F2273" t="s">
        <v>16</v>
      </c>
      <c r="G2273" t="s">
        <v>43</v>
      </c>
      <c r="H2273" t="s">
        <v>18</v>
      </c>
      <c r="I2273" t="s">
        <v>25</v>
      </c>
      <c r="J2273" t="s">
        <v>36</v>
      </c>
      <c r="K2273" t="s">
        <v>37</v>
      </c>
      <c r="L2273" t="s">
        <v>22</v>
      </c>
      <c r="M2273">
        <v>1745.14</v>
      </c>
      <c r="N2273">
        <v>2020</v>
      </c>
      <c r="O2273">
        <v>6</v>
      </c>
    </row>
    <row r="2274" spans="1:15" x14ac:dyDescent="0.3">
      <c r="A2274" s="1">
        <v>43993</v>
      </c>
      <c r="B2274">
        <v>1000000581</v>
      </c>
      <c r="C2274" t="s">
        <v>42</v>
      </c>
      <c r="D2274">
        <v>1</v>
      </c>
      <c r="E2274">
        <v>840.68</v>
      </c>
      <c r="F2274" t="s">
        <v>16</v>
      </c>
      <c r="G2274" t="s">
        <v>43</v>
      </c>
      <c r="H2274" t="s">
        <v>47</v>
      </c>
      <c r="I2274" t="s">
        <v>48</v>
      </c>
      <c r="J2274" t="s">
        <v>36</v>
      </c>
      <c r="K2274" t="s">
        <v>49</v>
      </c>
      <c r="L2274" t="s">
        <v>22</v>
      </c>
      <c r="M2274">
        <v>840.68</v>
      </c>
      <c r="N2274">
        <v>2020</v>
      </c>
      <c r="O2274">
        <v>6</v>
      </c>
    </row>
    <row r="2275" spans="1:15" x14ac:dyDescent="0.3">
      <c r="A2275" s="1">
        <v>43993</v>
      </c>
      <c r="B2275">
        <v>1000000594</v>
      </c>
      <c r="C2275" t="s">
        <v>23</v>
      </c>
      <c r="D2275">
        <v>1</v>
      </c>
      <c r="E2275">
        <v>20000.7</v>
      </c>
      <c r="F2275" t="s">
        <v>16</v>
      </c>
      <c r="G2275" t="s">
        <v>24</v>
      </c>
      <c r="H2275" t="s">
        <v>18</v>
      </c>
      <c r="I2275" t="s">
        <v>25</v>
      </c>
      <c r="J2275" t="s">
        <v>20</v>
      </c>
      <c r="K2275" t="s">
        <v>51</v>
      </c>
      <c r="L2275" t="s">
        <v>22</v>
      </c>
      <c r="M2275">
        <v>20000.7</v>
      </c>
      <c r="N2275">
        <v>2020</v>
      </c>
      <c r="O2275">
        <v>6</v>
      </c>
    </row>
    <row r="2276" spans="1:15" x14ac:dyDescent="0.3">
      <c r="A2276" s="1">
        <v>43993</v>
      </c>
      <c r="B2276">
        <v>1000000594</v>
      </c>
      <c r="C2276" t="s">
        <v>15</v>
      </c>
      <c r="D2276">
        <v>1</v>
      </c>
      <c r="E2276">
        <v>9000.5300000000007</v>
      </c>
      <c r="F2276" t="s">
        <v>16</v>
      </c>
      <c r="G2276" t="s">
        <v>17</v>
      </c>
      <c r="H2276" t="s">
        <v>18</v>
      </c>
      <c r="I2276" t="s">
        <v>25</v>
      </c>
      <c r="J2276" t="s">
        <v>20</v>
      </c>
      <c r="K2276" t="s">
        <v>51</v>
      </c>
      <c r="L2276" t="s">
        <v>22</v>
      </c>
      <c r="M2276">
        <v>9000.5300000000007</v>
      </c>
      <c r="N2276">
        <v>2020</v>
      </c>
      <c r="O2276">
        <v>6</v>
      </c>
    </row>
    <row r="2277" spans="1:15" x14ac:dyDescent="0.3">
      <c r="A2277" s="1">
        <v>43993</v>
      </c>
      <c r="B2277">
        <v>1000000928</v>
      </c>
      <c r="C2277" t="s">
        <v>15</v>
      </c>
      <c r="D2277">
        <v>1</v>
      </c>
      <c r="E2277">
        <v>22000.62</v>
      </c>
      <c r="F2277" t="s">
        <v>16</v>
      </c>
      <c r="G2277" t="s">
        <v>17</v>
      </c>
      <c r="H2277" t="s">
        <v>30</v>
      </c>
      <c r="I2277" t="s">
        <v>57</v>
      </c>
      <c r="J2277" t="s">
        <v>26</v>
      </c>
      <c r="K2277" t="s">
        <v>58</v>
      </c>
      <c r="L2277" t="s">
        <v>22</v>
      </c>
      <c r="M2277">
        <v>22000.62</v>
      </c>
      <c r="N2277">
        <v>2020</v>
      </c>
      <c r="O2277">
        <v>6</v>
      </c>
    </row>
    <row r="2278" spans="1:15" x14ac:dyDescent="0.3">
      <c r="A2278" s="1">
        <v>43993</v>
      </c>
      <c r="B2278">
        <v>1000002861</v>
      </c>
      <c r="C2278" t="s">
        <v>15</v>
      </c>
      <c r="D2278">
        <v>1</v>
      </c>
      <c r="E2278">
        <v>25000.560000000001</v>
      </c>
      <c r="F2278" t="s">
        <v>16</v>
      </c>
      <c r="G2278" t="s">
        <v>17</v>
      </c>
      <c r="H2278" t="s">
        <v>47</v>
      </c>
      <c r="I2278" t="s">
        <v>48</v>
      </c>
      <c r="J2278" t="s">
        <v>36</v>
      </c>
      <c r="K2278" t="s">
        <v>49</v>
      </c>
      <c r="L2278" t="s">
        <v>22</v>
      </c>
      <c r="M2278">
        <v>25000.560000000001</v>
      </c>
      <c r="N2278">
        <v>2020</v>
      </c>
      <c r="O2278">
        <v>6</v>
      </c>
    </row>
    <row r="2279" spans="1:15" x14ac:dyDescent="0.3">
      <c r="A2279" s="1">
        <v>43993</v>
      </c>
      <c r="B2279">
        <v>1000003803</v>
      </c>
      <c r="C2279" t="s">
        <v>23</v>
      </c>
      <c r="D2279">
        <v>1</v>
      </c>
      <c r="E2279">
        <v>2000.29</v>
      </c>
      <c r="F2279" t="s">
        <v>16</v>
      </c>
      <c r="G2279" t="s">
        <v>24</v>
      </c>
      <c r="H2279" t="s">
        <v>30</v>
      </c>
      <c r="I2279" t="s">
        <v>31</v>
      </c>
      <c r="J2279" t="s">
        <v>36</v>
      </c>
      <c r="K2279" t="s">
        <v>52</v>
      </c>
      <c r="L2279" t="s">
        <v>22</v>
      </c>
      <c r="M2279">
        <v>2000.29</v>
      </c>
      <c r="N2279">
        <v>2020</v>
      </c>
      <c r="O2279">
        <v>6</v>
      </c>
    </row>
    <row r="2280" spans="1:15" x14ac:dyDescent="0.3">
      <c r="A2280" s="1">
        <v>43993</v>
      </c>
      <c r="B2280">
        <v>1000003803</v>
      </c>
      <c r="C2280" t="s">
        <v>15</v>
      </c>
      <c r="D2280">
        <v>1</v>
      </c>
      <c r="E2280">
        <v>8000.55</v>
      </c>
      <c r="F2280" t="s">
        <v>16</v>
      </c>
      <c r="G2280" t="s">
        <v>17</v>
      </c>
      <c r="H2280" t="s">
        <v>30</v>
      </c>
      <c r="I2280" t="s">
        <v>31</v>
      </c>
      <c r="J2280" t="s">
        <v>36</v>
      </c>
      <c r="K2280" t="s">
        <v>52</v>
      </c>
      <c r="L2280" t="s">
        <v>22</v>
      </c>
      <c r="M2280">
        <v>8000.55</v>
      </c>
      <c r="N2280">
        <v>2020</v>
      </c>
      <c r="O2280">
        <v>6</v>
      </c>
    </row>
    <row r="2281" spans="1:15" x14ac:dyDescent="0.3">
      <c r="A2281" s="1">
        <v>43993</v>
      </c>
      <c r="B2281">
        <v>1000003926</v>
      </c>
      <c r="C2281" t="s">
        <v>23</v>
      </c>
      <c r="D2281">
        <v>1</v>
      </c>
      <c r="E2281">
        <v>500.48</v>
      </c>
      <c r="F2281" t="s">
        <v>16</v>
      </c>
      <c r="G2281" t="s">
        <v>24</v>
      </c>
      <c r="H2281" t="s">
        <v>47</v>
      </c>
      <c r="I2281" t="s">
        <v>48</v>
      </c>
      <c r="J2281" t="s">
        <v>26</v>
      </c>
      <c r="K2281" t="s">
        <v>50</v>
      </c>
      <c r="L2281" t="s">
        <v>28</v>
      </c>
      <c r="M2281">
        <v>500.48</v>
      </c>
      <c r="N2281">
        <v>2020</v>
      </c>
      <c r="O2281">
        <v>6</v>
      </c>
    </row>
    <row r="2282" spans="1:15" x14ac:dyDescent="0.3">
      <c r="A2282" s="1">
        <v>43993</v>
      </c>
      <c r="B2282">
        <v>1000003989</v>
      </c>
      <c r="C2282" t="s">
        <v>42</v>
      </c>
      <c r="D2282">
        <v>1</v>
      </c>
      <c r="E2282">
        <v>12000.53</v>
      </c>
      <c r="F2282" t="s">
        <v>16</v>
      </c>
      <c r="G2282" t="s">
        <v>43</v>
      </c>
      <c r="H2282" t="s">
        <v>30</v>
      </c>
      <c r="I2282" t="s">
        <v>31</v>
      </c>
      <c r="J2282" t="s">
        <v>36</v>
      </c>
      <c r="K2282" t="s">
        <v>52</v>
      </c>
      <c r="L2282" t="s">
        <v>22</v>
      </c>
      <c r="M2282">
        <v>12000.53</v>
      </c>
      <c r="N2282">
        <v>2020</v>
      </c>
      <c r="O2282">
        <v>6</v>
      </c>
    </row>
    <row r="2283" spans="1:15" x14ac:dyDescent="0.3">
      <c r="A2283" s="1">
        <v>43993</v>
      </c>
      <c r="B2283">
        <v>1000004170</v>
      </c>
      <c r="C2283" t="s">
        <v>23</v>
      </c>
      <c r="D2283">
        <v>4</v>
      </c>
      <c r="E2283">
        <v>33632.06</v>
      </c>
      <c r="F2283" t="s">
        <v>16</v>
      </c>
      <c r="G2283" t="s">
        <v>24</v>
      </c>
      <c r="H2283" t="s">
        <v>18</v>
      </c>
      <c r="I2283" t="s">
        <v>34</v>
      </c>
      <c r="J2283" t="s">
        <v>20</v>
      </c>
      <c r="K2283" t="s">
        <v>44</v>
      </c>
      <c r="L2283" t="s">
        <v>28</v>
      </c>
      <c r="M2283">
        <v>8408.0149999999994</v>
      </c>
      <c r="N2283">
        <v>2020</v>
      </c>
      <c r="O2283">
        <v>6</v>
      </c>
    </row>
    <row r="2284" spans="1:15" x14ac:dyDescent="0.3">
      <c r="A2284" s="1">
        <v>43993</v>
      </c>
      <c r="B2284">
        <v>1000004170</v>
      </c>
      <c r="C2284" t="s">
        <v>15</v>
      </c>
      <c r="D2284">
        <v>1</v>
      </c>
      <c r="E2284">
        <v>13000.12</v>
      </c>
      <c r="F2284" t="s">
        <v>16</v>
      </c>
      <c r="G2284" t="s">
        <v>17</v>
      </c>
      <c r="H2284" t="s">
        <v>18</v>
      </c>
      <c r="I2284" t="s">
        <v>34</v>
      </c>
      <c r="J2284" t="s">
        <v>20</v>
      </c>
      <c r="K2284" t="s">
        <v>44</v>
      </c>
      <c r="L2284" t="s">
        <v>28</v>
      </c>
      <c r="M2284">
        <v>13000.12</v>
      </c>
      <c r="N2284">
        <v>2020</v>
      </c>
      <c r="O2284">
        <v>6</v>
      </c>
    </row>
    <row r="2285" spans="1:15" x14ac:dyDescent="0.3">
      <c r="A2285" s="1">
        <v>43993</v>
      </c>
      <c r="B2285">
        <v>1000004256</v>
      </c>
      <c r="C2285" t="s">
        <v>15</v>
      </c>
      <c r="D2285">
        <v>1</v>
      </c>
      <c r="E2285">
        <v>1064</v>
      </c>
      <c r="F2285" t="s">
        <v>16</v>
      </c>
      <c r="G2285" t="s">
        <v>17</v>
      </c>
      <c r="H2285" t="s">
        <v>18</v>
      </c>
      <c r="I2285" t="s">
        <v>40</v>
      </c>
      <c r="J2285" t="s">
        <v>26</v>
      </c>
      <c r="K2285" t="s">
        <v>41</v>
      </c>
      <c r="L2285" t="s">
        <v>22</v>
      </c>
      <c r="M2285">
        <v>1064</v>
      </c>
      <c r="N2285">
        <v>2020</v>
      </c>
      <c r="O2285">
        <v>6</v>
      </c>
    </row>
    <row r="2286" spans="1:15" x14ac:dyDescent="0.3">
      <c r="A2286" s="1">
        <v>43993</v>
      </c>
      <c r="B2286">
        <v>1000004256</v>
      </c>
      <c r="C2286" t="s">
        <v>42</v>
      </c>
      <c r="D2286">
        <v>1</v>
      </c>
      <c r="E2286">
        <v>12000.4</v>
      </c>
      <c r="F2286" t="s">
        <v>16</v>
      </c>
      <c r="G2286" t="s">
        <v>43</v>
      </c>
      <c r="H2286" t="s">
        <v>18</v>
      </c>
      <c r="I2286" t="s">
        <v>40</v>
      </c>
      <c r="J2286" t="s">
        <v>26</v>
      </c>
      <c r="K2286" t="s">
        <v>41</v>
      </c>
      <c r="L2286" t="s">
        <v>22</v>
      </c>
      <c r="M2286">
        <v>12000.4</v>
      </c>
      <c r="N2286">
        <v>2020</v>
      </c>
      <c r="O2286">
        <v>6</v>
      </c>
    </row>
    <row r="2287" spans="1:15" x14ac:dyDescent="0.3">
      <c r="A2287" s="1">
        <v>43993</v>
      </c>
      <c r="B2287">
        <v>1000005873</v>
      </c>
      <c r="C2287" t="s">
        <v>15</v>
      </c>
      <c r="D2287">
        <v>1</v>
      </c>
      <c r="E2287">
        <v>16000.25</v>
      </c>
      <c r="F2287" t="s">
        <v>16</v>
      </c>
      <c r="G2287" t="s">
        <v>17</v>
      </c>
      <c r="H2287" t="s">
        <v>18</v>
      </c>
      <c r="I2287" t="s">
        <v>19</v>
      </c>
      <c r="J2287" t="s">
        <v>20</v>
      </c>
      <c r="K2287" t="s">
        <v>21</v>
      </c>
      <c r="L2287" t="s">
        <v>28</v>
      </c>
      <c r="M2287">
        <v>16000.25</v>
      </c>
      <c r="N2287">
        <v>2020</v>
      </c>
      <c r="O2287">
        <v>6</v>
      </c>
    </row>
    <row r="2288" spans="1:15" x14ac:dyDescent="0.3">
      <c r="A2288" s="1">
        <v>43993</v>
      </c>
      <c r="B2288">
        <v>1000005873</v>
      </c>
      <c r="C2288" t="s">
        <v>42</v>
      </c>
      <c r="D2288">
        <v>1</v>
      </c>
      <c r="E2288">
        <v>25000.52</v>
      </c>
      <c r="F2288" t="s">
        <v>16</v>
      </c>
      <c r="G2288" t="s">
        <v>43</v>
      </c>
      <c r="H2288" t="s">
        <v>18</v>
      </c>
      <c r="I2288" t="s">
        <v>19</v>
      </c>
      <c r="J2288" t="s">
        <v>20</v>
      </c>
      <c r="K2288" t="s">
        <v>21</v>
      </c>
      <c r="L2288" t="s">
        <v>28</v>
      </c>
      <c r="M2288">
        <v>25000.52</v>
      </c>
      <c r="N2288">
        <v>2020</v>
      </c>
      <c r="O2288">
        <v>6</v>
      </c>
    </row>
    <row r="2289" spans="1:15" x14ac:dyDescent="0.3">
      <c r="A2289" s="1">
        <v>43993</v>
      </c>
      <c r="B2289">
        <v>1000006064</v>
      </c>
      <c r="C2289" t="s">
        <v>23</v>
      </c>
      <c r="D2289">
        <v>1</v>
      </c>
      <c r="E2289">
        <v>5000.37</v>
      </c>
      <c r="F2289" t="s">
        <v>16</v>
      </c>
      <c r="G2289" t="s">
        <v>24</v>
      </c>
      <c r="H2289" t="s">
        <v>18</v>
      </c>
      <c r="I2289" t="s">
        <v>40</v>
      </c>
      <c r="J2289" t="s">
        <v>26</v>
      </c>
      <c r="K2289" t="s">
        <v>41</v>
      </c>
      <c r="L2289" t="s">
        <v>22</v>
      </c>
      <c r="M2289">
        <v>5000.37</v>
      </c>
      <c r="N2289">
        <v>2020</v>
      </c>
      <c r="O2289">
        <v>6</v>
      </c>
    </row>
    <row r="2290" spans="1:15" x14ac:dyDescent="0.3">
      <c r="A2290" s="1">
        <v>43993</v>
      </c>
      <c r="B2290">
        <v>1000006064</v>
      </c>
      <c r="C2290" t="s">
        <v>15</v>
      </c>
      <c r="D2290">
        <v>1</v>
      </c>
      <c r="E2290">
        <v>6000.11</v>
      </c>
      <c r="F2290" t="s">
        <v>16</v>
      </c>
      <c r="G2290" t="s">
        <v>17</v>
      </c>
      <c r="H2290" t="s">
        <v>18</v>
      </c>
      <c r="I2290" t="s">
        <v>40</v>
      </c>
      <c r="J2290" t="s">
        <v>26</v>
      </c>
      <c r="K2290" t="s">
        <v>41</v>
      </c>
      <c r="L2290" t="s">
        <v>22</v>
      </c>
      <c r="M2290">
        <v>6000.11</v>
      </c>
      <c r="N2290">
        <v>2020</v>
      </c>
      <c r="O2290">
        <v>6</v>
      </c>
    </row>
    <row r="2291" spans="1:15" x14ac:dyDescent="0.3">
      <c r="A2291" s="1">
        <v>43993</v>
      </c>
      <c r="B2291">
        <v>1000006064</v>
      </c>
      <c r="C2291" t="s">
        <v>42</v>
      </c>
      <c r="D2291">
        <v>1</v>
      </c>
      <c r="E2291">
        <v>8000.56</v>
      </c>
      <c r="F2291" t="s">
        <v>16</v>
      </c>
      <c r="G2291" t="s">
        <v>43</v>
      </c>
      <c r="H2291" t="s">
        <v>18</v>
      </c>
      <c r="I2291" t="s">
        <v>40</v>
      </c>
      <c r="J2291" t="s">
        <v>26</v>
      </c>
      <c r="K2291" t="s">
        <v>41</v>
      </c>
      <c r="L2291" t="s">
        <v>22</v>
      </c>
      <c r="M2291">
        <v>8000.56</v>
      </c>
      <c r="N2291">
        <v>2020</v>
      </c>
      <c r="O2291">
        <v>6</v>
      </c>
    </row>
    <row r="2292" spans="1:15" x14ac:dyDescent="0.3">
      <c r="A2292" s="1">
        <v>43993</v>
      </c>
      <c r="B2292">
        <v>1000006698</v>
      </c>
      <c r="C2292" t="s">
        <v>23</v>
      </c>
      <c r="D2292">
        <v>2</v>
      </c>
      <c r="E2292">
        <v>16000.35</v>
      </c>
      <c r="F2292" t="s">
        <v>16</v>
      </c>
      <c r="G2292" t="s">
        <v>24</v>
      </c>
      <c r="H2292" t="s">
        <v>30</v>
      </c>
      <c r="I2292" t="s">
        <v>38</v>
      </c>
      <c r="J2292" t="s">
        <v>26</v>
      </c>
      <c r="K2292" t="s">
        <v>39</v>
      </c>
      <c r="L2292" t="s">
        <v>28</v>
      </c>
      <c r="M2292">
        <v>8000.1750000000002</v>
      </c>
      <c r="N2292">
        <v>2020</v>
      </c>
      <c r="O2292">
        <v>6</v>
      </c>
    </row>
    <row r="2293" spans="1:15" x14ac:dyDescent="0.3">
      <c r="A2293" s="1">
        <v>43993</v>
      </c>
      <c r="B2293">
        <v>1000006859</v>
      </c>
      <c r="C2293" t="s">
        <v>15</v>
      </c>
      <c r="D2293">
        <v>1</v>
      </c>
      <c r="E2293">
        <v>9000.68</v>
      </c>
      <c r="F2293" t="s">
        <v>16</v>
      </c>
      <c r="G2293" t="s">
        <v>17</v>
      </c>
      <c r="H2293" t="s">
        <v>18</v>
      </c>
      <c r="I2293" t="s">
        <v>61</v>
      </c>
      <c r="J2293" t="s">
        <v>26</v>
      </c>
      <c r="K2293" t="s">
        <v>62</v>
      </c>
      <c r="L2293" t="s">
        <v>22</v>
      </c>
      <c r="M2293">
        <v>9000.68</v>
      </c>
      <c r="N2293">
        <v>2020</v>
      </c>
      <c r="O2293">
        <v>6</v>
      </c>
    </row>
    <row r="2294" spans="1:15" x14ac:dyDescent="0.3">
      <c r="A2294" s="1">
        <v>43993</v>
      </c>
      <c r="B2294">
        <v>1000006867</v>
      </c>
      <c r="C2294" t="s">
        <v>15</v>
      </c>
      <c r="D2294">
        <v>2</v>
      </c>
      <c r="E2294">
        <v>18000.38</v>
      </c>
      <c r="F2294" t="s">
        <v>16</v>
      </c>
      <c r="G2294" t="s">
        <v>17</v>
      </c>
      <c r="H2294" t="s">
        <v>18</v>
      </c>
      <c r="I2294" t="s">
        <v>61</v>
      </c>
      <c r="J2294" t="s">
        <v>26</v>
      </c>
      <c r="K2294" t="s">
        <v>62</v>
      </c>
      <c r="L2294" t="s">
        <v>22</v>
      </c>
      <c r="M2294">
        <v>9000.19</v>
      </c>
      <c r="N2294">
        <v>2020</v>
      </c>
      <c r="O2294">
        <v>6</v>
      </c>
    </row>
    <row r="2295" spans="1:15" x14ac:dyDescent="0.3">
      <c r="A2295" s="1">
        <v>43993</v>
      </c>
      <c r="B2295">
        <v>1000006869</v>
      </c>
      <c r="C2295" t="s">
        <v>23</v>
      </c>
      <c r="D2295">
        <v>1</v>
      </c>
      <c r="E2295">
        <v>10000.540000000001</v>
      </c>
      <c r="F2295" t="s">
        <v>16</v>
      </c>
      <c r="G2295" t="s">
        <v>24</v>
      </c>
      <c r="H2295" t="s">
        <v>18</v>
      </c>
      <c r="I2295" t="s">
        <v>61</v>
      </c>
      <c r="J2295" t="s">
        <v>26</v>
      </c>
      <c r="K2295" t="s">
        <v>62</v>
      </c>
      <c r="L2295" t="s">
        <v>22</v>
      </c>
      <c r="M2295">
        <v>10000.540000000001</v>
      </c>
      <c r="N2295">
        <v>2020</v>
      </c>
      <c r="O2295">
        <v>6</v>
      </c>
    </row>
    <row r="2296" spans="1:15" x14ac:dyDescent="0.3">
      <c r="A2296" s="1">
        <v>43993</v>
      </c>
      <c r="B2296">
        <v>1000006869</v>
      </c>
      <c r="C2296" t="s">
        <v>15</v>
      </c>
      <c r="D2296">
        <v>2</v>
      </c>
      <c r="E2296">
        <v>50000.22</v>
      </c>
      <c r="F2296" t="s">
        <v>16</v>
      </c>
      <c r="G2296" t="s">
        <v>17</v>
      </c>
      <c r="H2296" t="s">
        <v>18</v>
      </c>
      <c r="I2296" t="s">
        <v>61</v>
      </c>
      <c r="J2296" t="s">
        <v>26</v>
      </c>
      <c r="K2296" t="s">
        <v>62</v>
      </c>
      <c r="L2296" t="s">
        <v>22</v>
      </c>
      <c r="M2296">
        <v>25000.11</v>
      </c>
      <c r="N2296">
        <v>2020</v>
      </c>
      <c r="O2296">
        <v>6</v>
      </c>
    </row>
    <row r="2297" spans="1:15" x14ac:dyDescent="0.3">
      <c r="A2297" s="1">
        <v>43993</v>
      </c>
      <c r="B2297">
        <v>1000007320</v>
      </c>
      <c r="C2297" t="s">
        <v>23</v>
      </c>
      <c r="D2297">
        <v>1</v>
      </c>
      <c r="E2297">
        <v>24999.99</v>
      </c>
      <c r="F2297" t="s">
        <v>16</v>
      </c>
      <c r="G2297" t="s">
        <v>24</v>
      </c>
      <c r="H2297" t="s">
        <v>18</v>
      </c>
      <c r="I2297" t="s">
        <v>34</v>
      </c>
      <c r="J2297" t="s">
        <v>26</v>
      </c>
      <c r="K2297" t="s">
        <v>35</v>
      </c>
      <c r="L2297" t="s">
        <v>22</v>
      </c>
      <c r="M2297">
        <v>24999.99</v>
      </c>
      <c r="N2297">
        <v>2020</v>
      </c>
      <c r="O2297">
        <v>6</v>
      </c>
    </row>
    <row r="2298" spans="1:15" x14ac:dyDescent="0.3">
      <c r="A2298" s="1">
        <v>43993</v>
      </c>
      <c r="B2298">
        <v>1000008239</v>
      </c>
      <c r="C2298" t="s">
        <v>15</v>
      </c>
      <c r="D2298">
        <v>1</v>
      </c>
      <c r="E2298">
        <v>7500.02</v>
      </c>
      <c r="F2298" t="s">
        <v>16</v>
      </c>
      <c r="G2298" t="s">
        <v>17</v>
      </c>
      <c r="H2298" t="s">
        <v>18</v>
      </c>
      <c r="I2298" t="s">
        <v>61</v>
      </c>
      <c r="J2298" t="s">
        <v>26</v>
      </c>
      <c r="K2298" t="s">
        <v>62</v>
      </c>
      <c r="L2298" t="s">
        <v>28</v>
      </c>
      <c r="M2298">
        <v>7500.02</v>
      </c>
      <c r="N2298">
        <v>2020</v>
      </c>
      <c r="O2298">
        <v>6</v>
      </c>
    </row>
    <row r="2299" spans="1:15" x14ac:dyDescent="0.3">
      <c r="A2299" s="1">
        <v>43993</v>
      </c>
      <c r="B2299">
        <v>1000008957</v>
      </c>
      <c r="C2299" t="s">
        <v>23</v>
      </c>
      <c r="D2299">
        <v>1</v>
      </c>
      <c r="E2299">
        <v>7500.67</v>
      </c>
      <c r="F2299" t="s">
        <v>16</v>
      </c>
      <c r="G2299" t="s">
        <v>24</v>
      </c>
      <c r="H2299" t="s">
        <v>18</v>
      </c>
      <c r="I2299" t="s">
        <v>34</v>
      </c>
      <c r="J2299" t="s">
        <v>20</v>
      </c>
      <c r="K2299" t="s">
        <v>44</v>
      </c>
      <c r="L2299" t="s">
        <v>22</v>
      </c>
      <c r="M2299">
        <v>7500.67</v>
      </c>
      <c r="N2299">
        <v>2020</v>
      </c>
      <c r="O2299">
        <v>6</v>
      </c>
    </row>
    <row r="2300" spans="1:15" x14ac:dyDescent="0.3">
      <c r="A2300" s="1">
        <v>43993</v>
      </c>
      <c r="B2300">
        <v>1000008957</v>
      </c>
      <c r="C2300" t="s">
        <v>42</v>
      </c>
      <c r="D2300">
        <v>1</v>
      </c>
      <c r="E2300">
        <v>5000.38</v>
      </c>
      <c r="F2300" t="s">
        <v>16</v>
      </c>
      <c r="G2300" t="s">
        <v>43</v>
      </c>
      <c r="H2300" t="s">
        <v>18</v>
      </c>
      <c r="I2300" t="s">
        <v>34</v>
      </c>
      <c r="J2300" t="s">
        <v>20</v>
      </c>
      <c r="K2300" t="s">
        <v>44</v>
      </c>
      <c r="L2300" t="s">
        <v>22</v>
      </c>
      <c r="M2300">
        <v>5000.38</v>
      </c>
      <c r="N2300">
        <v>2020</v>
      </c>
      <c r="O2300">
        <v>6</v>
      </c>
    </row>
    <row r="2301" spans="1:15" x14ac:dyDescent="0.3">
      <c r="A2301" s="1">
        <v>43993</v>
      </c>
      <c r="B2301">
        <v>1000010814</v>
      </c>
      <c r="C2301" t="s">
        <v>15</v>
      </c>
      <c r="D2301">
        <v>2</v>
      </c>
      <c r="E2301">
        <v>17000.45</v>
      </c>
      <c r="F2301" t="s">
        <v>16</v>
      </c>
      <c r="G2301" t="s">
        <v>17</v>
      </c>
      <c r="H2301" t="s">
        <v>18</v>
      </c>
      <c r="I2301" t="s">
        <v>61</v>
      </c>
      <c r="J2301" t="s">
        <v>32</v>
      </c>
      <c r="K2301" t="s">
        <v>63</v>
      </c>
      <c r="L2301" t="s">
        <v>22</v>
      </c>
      <c r="M2301">
        <v>8500.2250000000004</v>
      </c>
      <c r="N2301">
        <v>2020</v>
      </c>
      <c r="O2301">
        <v>6</v>
      </c>
    </row>
    <row r="2302" spans="1:15" x14ac:dyDescent="0.3">
      <c r="A2302" s="1">
        <v>43993</v>
      </c>
      <c r="B2302">
        <v>1000010837</v>
      </c>
      <c r="C2302" t="s">
        <v>15</v>
      </c>
      <c r="D2302">
        <v>2</v>
      </c>
      <c r="E2302">
        <v>24000.75</v>
      </c>
      <c r="F2302" t="s">
        <v>16</v>
      </c>
      <c r="G2302" t="s">
        <v>17</v>
      </c>
      <c r="H2302" t="s">
        <v>18</v>
      </c>
      <c r="I2302" t="s">
        <v>61</v>
      </c>
      <c r="J2302" t="s">
        <v>26</v>
      </c>
      <c r="K2302" t="s">
        <v>62</v>
      </c>
      <c r="L2302" t="s">
        <v>22</v>
      </c>
      <c r="M2302">
        <v>12000.375</v>
      </c>
      <c r="N2302">
        <v>2020</v>
      </c>
      <c r="O2302">
        <v>6</v>
      </c>
    </row>
    <row r="2303" spans="1:15" x14ac:dyDescent="0.3">
      <c r="A2303" s="1">
        <v>43993</v>
      </c>
      <c r="B2303">
        <v>1000010881</v>
      </c>
      <c r="C2303" t="s">
        <v>23</v>
      </c>
      <c r="D2303">
        <v>1</v>
      </c>
      <c r="E2303">
        <v>7000.27</v>
      </c>
      <c r="F2303" t="s">
        <v>16</v>
      </c>
      <c r="G2303" t="s">
        <v>24</v>
      </c>
      <c r="H2303" t="s">
        <v>47</v>
      </c>
      <c r="I2303" t="s">
        <v>48</v>
      </c>
      <c r="J2303" t="s">
        <v>26</v>
      </c>
      <c r="K2303" t="s">
        <v>50</v>
      </c>
      <c r="L2303" t="s">
        <v>22</v>
      </c>
      <c r="M2303">
        <v>7000.27</v>
      </c>
      <c r="N2303">
        <v>2020</v>
      </c>
      <c r="O2303">
        <v>6</v>
      </c>
    </row>
    <row r="2304" spans="1:15" x14ac:dyDescent="0.3">
      <c r="A2304" s="1">
        <v>43993</v>
      </c>
      <c r="B2304">
        <v>1000011698</v>
      </c>
      <c r="C2304" t="s">
        <v>15</v>
      </c>
      <c r="D2304">
        <v>1</v>
      </c>
      <c r="E2304">
        <v>8999.98</v>
      </c>
      <c r="F2304" t="s">
        <v>16</v>
      </c>
      <c r="G2304" t="s">
        <v>17</v>
      </c>
      <c r="H2304" t="s">
        <v>18</v>
      </c>
      <c r="I2304" t="s">
        <v>34</v>
      </c>
      <c r="J2304" t="s">
        <v>20</v>
      </c>
      <c r="K2304" t="s">
        <v>44</v>
      </c>
      <c r="L2304" t="s">
        <v>22</v>
      </c>
      <c r="M2304">
        <v>8999.98</v>
      </c>
      <c r="N2304">
        <v>2020</v>
      </c>
      <c r="O2304">
        <v>6</v>
      </c>
    </row>
    <row r="2305" spans="1:15" x14ac:dyDescent="0.3">
      <c r="A2305" s="1">
        <v>43993</v>
      </c>
      <c r="B2305">
        <v>1000012099</v>
      </c>
      <c r="C2305" t="s">
        <v>23</v>
      </c>
      <c r="D2305">
        <v>1</v>
      </c>
      <c r="E2305">
        <v>15000.26</v>
      </c>
      <c r="F2305" t="s">
        <v>16</v>
      </c>
      <c r="G2305" t="s">
        <v>24</v>
      </c>
      <c r="H2305" t="s">
        <v>18</v>
      </c>
      <c r="I2305" t="s">
        <v>19</v>
      </c>
      <c r="J2305" t="s">
        <v>20</v>
      </c>
      <c r="K2305" t="s">
        <v>21</v>
      </c>
      <c r="L2305" t="s">
        <v>22</v>
      </c>
      <c r="M2305">
        <v>15000.26</v>
      </c>
      <c r="N2305">
        <v>2020</v>
      </c>
      <c r="O2305">
        <v>6</v>
      </c>
    </row>
    <row r="2306" spans="1:15" x14ac:dyDescent="0.3">
      <c r="A2306" s="1">
        <v>43993</v>
      </c>
      <c r="B2306">
        <v>1000012099</v>
      </c>
      <c r="C2306" t="s">
        <v>15</v>
      </c>
      <c r="D2306">
        <v>6</v>
      </c>
      <c r="E2306">
        <v>103002.31</v>
      </c>
      <c r="F2306" t="s">
        <v>16</v>
      </c>
      <c r="G2306" t="s">
        <v>17</v>
      </c>
      <c r="H2306" t="s">
        <v>18</v>
      </c>
      <c r="I2306" t="s">
        <v>19</v>
      </c>
      <c r="J2306" t="s">
        <v>20</v>
      </c>
      <c r="K2306" t="s">
        <v>21</v>
      </c>
      <c r="L2306" t="s">
        <v>22</v>
      </c>
      <c r="M2306">
        <v>17167.051666666666</v>
      </c>
      <c r="N2306">
        <v>2020</v>
      </c>
      <c r="O2306">
        <v>6</v>
      </c>
    </row>
    <row r="2307" spans="1:15" x14ac:dyDescent="0.3">
      <c r="A2307" s="1">
        <v>43993</v>
      </c>
      <c r="B2307">
        <v>1000012112</v>
      </c>
      <c r="C2307" t="s">
        <v>15</v>
      </c>
      <c r="D2307">
        <v>2</v>
      </c>
      <c r="E2307">
        <v>24999.9</v>
      </c>
      <c r="F2307" t="s">
        <v>16</v>
      </c>
      <c r="G2307" t="s">
        <v>17</v>
      </c>
      <c r="H2307" t="s">
        <v>18</v>
      </c>
      <c r="I2307" t="s">
        <v>19</v>
      </c>
      <c r="J2307" t="s">
        <v>36</v>
      </c>
      <c r="K2307" t="s">
        <v>64</v>
      </c>
      <c r="L2307" t="s">
        <v>28</v>
      </c>
      <c r="M2307">
        <v>12499.95</v>
      </c>
      <c r="N2307">
        <v>2020</v>
      </c>
      <c r="O2307">
        <v>6</v>
      </c>
    </row>
    <row r="2308" spans="1:15" x14ac:dyDescent="0.3">
      <c r="A2308" s="1">
        <v>43993</v>
      </c>
      <c r="B2308">
        <v>1000012112</v>
      </c>
      <c r="C2308" t="s">
        <v>42</v>
      </c>
      <c r="D2308">
        <v>1</v>
      </c>
      <c r="E2308">
        <v>4999.9799999999996</v>
      </c>
      <c r="F2308" t="s">
        <v>16</v>
      </c>
      <c r="G2308" t="s">
        <v>43</v>
      </c>
      <c r="H2308" t="s">
        <v>18</v>
      </c>
      <c r="I2308" t="s">
        <v>19</v>
      </c>
      <c r="J2308" t="s">
        <v>36</v>
      </c>
      <c r="K2308" t="s">
        <v>64</v>
      </c>
      <c r="L2308" t="s">
        <v>28</v>
      </c>
      <c r="M2308">
        <v>4999.9799999999996</v>
      </c>
      <c r="N2308">
        <v>2020</v>
      </c>
      <c r="O2308">
        <v>6</v>
      </c>
    </row>
    <row r="2309" spans="1:15" x14ac:dyDescent="0.3">
      <c r="A2309" s="1">
        <v>43993</v>
      </c>
      <c r="B2309">
        <v>1000012234</v>
      </c>
      <c r="C2309" t="s">
        <v>23</v>
      </c>
      <c r="D2309">
        <v>1</v>
      </c>
      <c r="E2309">
        <v>4999.9399999999996</v>
      </c>
      <c r="F2309" t="s">
        <v>16</v>
      </c>
      <c r="G2309" t="s">
        <v>24</v>
      </c>
      <c r="H2309" t="s">
        <v>18</v>
      </c>
      <c r="I2309" t="s">
        <v>25</v>
      </c>
      <c r="J2309" t="s">
        <v>26</v>
      </c>
      <c r="K2309" t="s">
        <v>27</v>
      </c>
      <c r="L2309" t="s">
        <v>22</v>
      </c>
      <c r="M2309">
        <v>4999.9399999999996</v>
      </c>
      <c r="N2309">
        <v>2020</v>
      </c>
      <c r="O2309">
        <v>6</v>
      </c>
    </row>
    <row r="2310" spans="1:15" x14ac:dyDescent="0.3">
      <c r="A2310" s="1">
        <v>43993</v>
      </c>
      <c r="B2310">
        <v>1000012234</v>
      </c>
      <c r="C2310" t="s">
        <v>15</v>
      </c>
      <c r="D2310">
        <v>1</v>
      </c>
      <c r="E2310">
        <v>7000.09</v>
      </c>
      <c r="F2310" t="s">
        <v>16</v>
      </c>
      <c r="G2310" t="s">
        <v>17</v>
      </c>
      <c r="H2310" t="s">
        <v>18</v>
      </c>
      <c r="I2310" t="s">
        <v>25</v>
      </c>
      <c r="J2310" t="s">
        <v>26</v>
      </c>
      <c r="K2310" t="s">
        <v>27</v>
      </c>
      <c r="L2310" t="s">
        <v>22</v>
      </c>
      <c r="M2310">
        <v>7000.09</v>
      </c>
      <c r="N2310">
        <v>2020</v>
      </c>
      <c r="O2310">
        <v>6</v>
      </c>
    </row>
    <row r="2311" spans="1:15" x14ac:dyDescent="0.3">
      <c r="A2311" s="1">
        <v>43993</v>
      </c>
      <c r="B2311">
        <v>1000012313</v>
      </c>
      <c r="C2311" t="s">
        <v>23</v>
      </c>
      <c r="D2311">
        <v>1</v>
      </c>
      <c r="E2311">
        <v>24999.96</v>
      </c>
      <c r="F2311" t="s">
        <v>16</v>
      </c>
      <c r="G2311" t="s">
        <v>24</v>
      </c>
      <c r="H2311" t="s">
        <v>47</v>
      </c>
      <c r="I2311" t="s">
        <v>65</v>
      </c>
      <c r="J2311" t="s">
        <v>26</v>
      </c>
      <c r="K2311" t="s">
        <v>66</v>
      </c>
      <c r="L2311" t="s">
        <v>22</v>
      </c>
      <c r="M2311">
        <v>24999.96</v>
      </c>
      <c r="N2311">
        <v>2020</v>
      </c>
      <c r="O2311">
        <v>6</v>
      </c>
    </row>
    <row r="2312" spans="1:15" x14ac:dyDescent="0.3">
      <c r="A2312" s="1">
        <v>43993</v>
      </c>
      <c r="B2312">
        <v>1000012313</v>
      </c>
      <c r="C2312" t="s">
        <v>15</v>
      </c>
      <c r="D2312">
        <v>2</v>
      </c>
      <c r="E2312">
        <v>21000.920000000002</v>
      </c>
      <c r="F2312" t="s">
        <v>16</v>
      </c>
      <c r="G2312" t="s">
        <v>17</v>
      </c>
      <c r="H2312" t="s">
        <v>47</v>
      </c>
      <c r="I2312" t="s">
        <v>65</v>
      </c>
      <c r="J2312" t="s">
        <v>26</v>
      </c>
      <c r="K2312" t="s">
        <v>66</v>
      </c>
      <c r="L2312" t="s">
        <v>22</v>
      </c>
      <c r="M2312">
        <v>10500.460000000001</v>
      </c>
      <c r="N2312">
        <v>2020</v>
      </c>
      <c r="O2312">
        <v>6</v>
      </c>
    </row>
    <row r="2313" spans="1:15" x14ac:dyDescent="0.3">
      <c r="A2313" s="1">
        <v>43993</v>
      </c>
      <c r="B2313">
        <v>1000012675</v>
      </c>
      <c r="C2313" t="s">
        <v>23</v>
      </c>
      <c r="D2313">
        <v>1</v>
      </c>
      <c r="E2313">
        <v>20000.54</v>
      </c>
      <c r="F2313" t="s">
        <v>16</v>
      </c>
      <c r="G2313" t="s">
        <v>24</v>
      </c>
      <c r="H2313" t="s">
        <v>18</v>
      </c>
      <c r="I2313" t="s">
        <v>34</v>
      </c>
      <c r="J2313" t="s">
        <v>26</v>
      </c>
      <c r="K2313" t="s">
        <v>35</v>
      </c>
      <c r="L2313" t="s">
        <v>22</v>
      </c>
      <c r="M2313">
        <v>20000.54</v>
      </c>
      <c r="N2313">
        <v>2020</v>
      </c>
      <c r="O2313">
        <v>6</v>
      </c>
    </row>
    <row r="2314" spans="1:15" x14ac:dyDescent="0.3">
      <c r="A2314" s="1">
        <v>43993</v>
      </c>
      <c r="B2314">
        <v>1000012675</v>
      </c>
      <c r="C2314" t="s">
        <v>15</v>
      </c>
      <c r="D2314">
        <v>3</v>
      </c>
      <c r="E2314">
        <v>43001.23</v>
      </c>
      <c r="F2314" t="s">
        <v>16</v>
      </c>
      <c r="G2314" t="s">
        <v>17</v>
      </c>
      <c r="H2314" t="s">
        <v>18</v>
      </c>
      <c r="I2314" t="s">
        <v>34</v>
      </c>
      <c r="J2314" t="s">
        <v>26</v>
      </c>
      <c r="K2314" t="s">
        <v>35</v>
      </c>
      <c r="L2314" t="s">
        <v>22</v>
      </c>
      <c r="M2314">
        <v>14333.743333333334</v>
      </c>
      <c r="N2314">
        <v>2020</v>
      </c>
      <c r="O2314">
        <v>6</v>
      </c>
    </row>
    <row r="2315" spans="1:15" x14ac:dyDescent="0.3">
      <c r="A2315" s="1">
        <v>43993</v>
      </c>
      <c r="B2315">
        <v>1000013526</v>
      </c>
      <c r="C2315" t="s">
        <v>23</v>
      </c>
      <c r="D2315">
        <v>1</v>
      </c>
      <c r="E2315">
        <v>9000.4599999999991</v>
      </c>
      <c r="F2315" t="s">
        <v>16</v>
      </c>
      <c r="G2315" t="s">
        <v>24</v>
      </c>
      <c r="H2315" t="s">
        <v>47</v>
      </c>
      <c r="I2315" t="s">
        <v>65</v>
      </c>
      <c r="J2315" t="s">
        <v>26</v>
      </c>
      <c r="K2315" t="s">
        <v>66</v>
      </c>
      <c r="L2315" t="s">
        <v>22</v>
      </c>
      <c r="M2315">
        <v>9000.4599999999991</v>
      </c>
      <c r="N2315">
        <v>2020</v>
      </c>
      <c r="O2315">
        <v>6</v>
      </c>
    </row>
    <row r="2316" spans="1:15" x14ac:dyDescent="0.3">
      <c r="A2316" s="1">
        <v>43994</v>
      </c>
      <c r="B2316">
        <v>1000000029</v>
      </c>
      <c r="C2316" t="s">
        <v>23</v>
      </c>
      <c r="D2316">
        <v>1</v>
      </c>
      <c r="E2316">
        <v>1808.28</v>
      </c>
      <c r="F2316" t="s">
        <v>16</v>
      </c>
      <c r="G2316" t="s">
        <v>24</v>
      </c>
      <c r="H2316" t="s">
        <v>18</v>
      </c>
      <c r="I2316" t="s">
        <v>19</v>
      </c>
      <c r="J2316" t="s">
        <v>20</v>
      </c>
      <c r="K2316" t="s">
        <v>21</v>
      </c>
      <c r="L2316" t="s">
        <v>22</v>
      </c>
      <c r="M2316">
        <v>1808.28</v>
      </c>
      <c r="N2316">
        <v>2020</v>
      </c>
      <c r="O2316">
        <v>6</v>
      </c>
    </row>
    <row r="2317" spans="1:15" x14ac:dyDescent="0.3">
      <c r="A2317" s="1">
        <v>43994</v>
      </c>
      <c r="B2317">
        <v>1000000029</v>
      </c>
      <c r="C2317" t="s">
        <v>15</v>
      </c>
      <c r="D2317">
        <v>2</v>
      </c>
      <c r="E2317">
        <v>20500.469999999998</v>
      </c>
      <c r="F2317" t="s">
        <v>16</v>
      </c>
      <c r="G2317" t="s">
        <v>17</v>
      </c>
      <c r="H2317" t="s">
        <v>18</v>
      </c>
      <c r="I2317" t="s">
        <v>19</v>
      </c>
      <c r="J2317" t="s">
        <v>20</v>
      </c>
      <c r="K2317" t="s">
        <v>21</v>
      </c>
      <c r="L2317" t="s">
        <v>22</v>
      </c>
      <c r="M2317">
        <v>10250.234999999999</v>
      </c>
      <c r="N2317">
        <v>2020</v>
      </c>
      <c r="O2317">
        <v>6</v>
      </c>
    </row>
    <row r="2318" spans="1:15" x14ac:dyDescent="0.3">
      <c r="A2318" s="1">
        <v>43994</v>
      </c>
      <c r="B2318">
        <v>1000000030</v>
      </c>
      <c r="C2318" t="s">
        <v>15</v>
      </c>
      <c r="D2318">
        <v>1</v>
      </c>
      <c r="E2318">
        <v>3999.98</v>
      </c>
      <c r="F2318" t="s">
        <v>16</v>
      </c>
      <c r="G2318" t="s">
        <v>17</v>
      </c>
      <c r="H2318" t="s">
        <v>47</v>
      </c>
      <c r="I2318" t="s">
        <v>48</v>
      </c>
      <c r="J2318" t="s">
        <v>36</v>
      </c>
      <c r="K2318" t="s">
        <v>49</v>
      </c>
      <c r="L2318" t="s">
        <v>22</v>
      </c>
      <c r="M2318">
        <v>3999.98</v>
      </c>
      <c r="N2318">
        <v>2020</v>
      </c>
      <c r="O2318">
        <v>6</v>
      </c>
    </row>
    <row r="2319" spans="1:15" x14ac:dyDescent="0.3">
      <c r="A2319" s="1">
        <v>43994</v>
      </c>
      <c r="B2319">
        <v>1000000031</v>
      </c>
      <c r="C2319" t="s">
        <v>23</v>
      </c>
      <c r="D2319">
        <v>2</v>
      </c>
      <c r="E2319">
        <v>2000.58</v>
      </c>
      <c r="F2319" t="s">
        <v>16</v>
      </c>
      <c r="G2319" t="s">
        <v>24</v>
      </c>
      <c r="H2319" t="s">
        <v>18</v>
      </c>
      <c r="I2319" t="s">
        <v>19</v>
      </c>
      <c r="J2319" t="s">
        <v>26</v>
      </c>
      <c r="K2319" t="s">
        <v>29</v>
      </c>
      <c r="L2319" t="s">
        <v>28</v>
      </c>
      <c r="M2319">
        <v>1000.29</v>
      </c>
      <c r="N2319">
        <v>2020</v>
      </c>
      <c r="O2319">
        <v>6</v>
      </c>
    </row>
    <row r="2320" spans="1:15" x14ac:dyDescent="0.3">
      <c r="A2320" s="1">
        <v>43994</v>
      </c>
      <c r="B2320">
        <v>1000000031</v>
      </c>
      <c r="C2320" t="s">
        <v>15</v>
      </c>
      <c r="D2320">
        <v>1</v>
      </c>
      <c r="E2320">
        <v>17000.669999999998</v>
      </c>
      <c r="F2320" t="s">
        <v>16</v>
      </c>
      <c r="G2320" t="s">
        <v>17</v>
      </c>
      <c r="H2320" t="s">
        <v>18</v>
      </c>
      <c r="I2320" t="s">
        <v>19</v>
      </c>
      <c r="J2320" t="s">
        <v>26</v>
      </c>
      <c r="K2320" t="s">
        <v>29</v>
      </c>
      <c r="L2320" t="s">
        <v>28</v>
      </c>
      <c r="M2320">
        <v>17000.669999999998</v>
      </c>
      <c r="N2320">
        <v>2020</v>
      </c>
      <c r="O2320">
        <v>6</v>
      </c>
    </row>
    <row r="2321" spans="1:15" x14ac:dyDescent="0.3">
      <c r="A2321" s="1">
        <v>43994</v>
      </c>
      <c r="B2321">
        <v>1000000032</v>
      </c>
      <c r="C2321" t="s">
        <v>15</v>
      </c>
      <c r="D2321">
        <v>1</v>
      </c>
      <c r="E2321">
        <v>10000.36</v>
      </c>
      <c r="F2321" t="s">
        <v>16</v>
      </c>
      <c r="G2321" t="s">
        <v>17</v>
      </c>
      <c r="H2321" t="s">
        <v>18</v>
      </c>
      <c r="I2321" t="s">
        <v>25</v>
      </c>
      <c r="J2321" t="s">
        <v>26</v>
      </c>
      <c r="K2321" t="s">
        <v>27</v>
      </c>
      <c r="L2321" t="s">
        <v>28</v>
      </c>
      <c r="M2321">
        <v>10000.36</v>
      </c>
      <c r="N2321">
        <v>2020</v>
      </c>
      <c r="O2321">
        <v>6</v>
      </c>
    </row>
    <row r="2322" spans="1:15" x14ac:dyDescent="0.3">
      <c r="A2322" s="1">
        <v>43994</v>
      </c>
      <c r="B2322">
        <v>1000000033</v>
      </c>
      <c r="C2322" t="s">
        <v>23</v>
      </c>
      <c r="D2322">
        <v>1</v>
      </c>
      <c r="E2322">
        <v>1000.49</v>
      </c>
      <c r="F2322" t="s">
        <v>16</v>
      </c>
      <c r="G2322" t="s">
        <v>24</v>
      </c>
      <c r="H2322" t="s">
        <v>18</v>
      </c>
      <c r="I2322" t="s">
        <v>25</v>
      </c>
      <c r="J2322" t="s">
        <v>26</v>
      </c>
      <c r="K2322" t="s">
        <v>27</v>
      </c>
      <c r="L2322" t="s">
        <v>22</v>
      </c>
      <c r="M2322">
        <v>1000.49</v>
      </c>
      <c r="N2322">
        <v>2020</v>
      </c>
      <c r="O2322">
        <v>6</v>
      </c>
    </row>
    <row r="2323" spans="1:15" x14ac:dyDescent="0.3">
      <c r="A2323" s="1">
        <v>43994</v>
      </c>
      <c r="B2323">
        <v>1000000036</v>
      </c>
      <c r="C2323" t="s">
        <v>23</v>
      </c>
      <c r="D2323">
        <v>2</v>
      </c>
      <c r="E2323">
        <v>16001.15</v>
      </c>
      <c r="F2323" t="s">
        <v>16</v>
      </c>
      <c r="G2323" t="s">
        <v>24</v>
      </c>
      <c r="H2323" t="s">
        <v>47</v>
      </c>
      <c r="I2323" t="s">
        <v>48</v>
      </c>
      <c r="J2323" t="s">
        <v>36</v>
      </c>
      <c r="K2323" t="s">
        <v>49</v>
      </c>
      <c r="L2323" t="s">
        <v>28</v>
      </c>
      <c r="M2323">
        <v>8000.5749999999998</v>
      </c>
      <c r="N2323">
        <v>2020</v>
      </c>
      <c r="O2323">
        <v>6</v>
      </c>
    </row>
    <row r="2324" spans="1:15" x14ac:dyDescent="0.3">
      <c r="A2324" s="1">
        <v>43994</v>
      </c>
      <c r="B2324">
        <v>1000000037</v>
      </c>
      <c r="C2324" t="s">
        <v>23</v>
      </c>
      <c r="D2324">
        <v>1</v>
      </c>
      <c r="E2324">
        <v>2000.44</v>
      </c>
      <c r="F2324" t="s">
        <v>16</v>
      </c>
      <c r="G2324" t="s">
        <v>24</v>
      </c>
      <c r="H2324" t="s">
        <v>18</v>
      </c>
      <c r="I2324" t="s">
        <v>19</v>
      </c>
      <c r="J2324" t="s">
        <v>20</v>
      </c>
      <c r="K2324" t="s">
        <v>21</v>
      </c>
      <c r="L2324" t="s">
        <v>22</v>
      </c>
      <c r="M2324">
        <v>2000.44</v>
      </c>
      <c r="N2324">
        <v>2020</v>
      </c>
      <c r="O2324">
        <v>6</v>
      </c>
    </row>
    <row r="2325" spans="1:15" x14ac:dyDescent="0.3">
      <c r="A2325" s="1">
        <v>43994</v>
      </c>
      <c r="B2325">
        <v>1000000039</v>
      </c>
      <c r="C2325" t="s">
        <v>23</v>
      </c>
      <c r="D2325">
        <v>1</v>
      </c>
      <c r="E2325">
        <v>6000.15</v>
      </c>
      <c r="F2325" t="s">
        <v>16</v>
      </c>
      <c r="G2325" t="s">
        <v>24</v>
      </c>
      <c r="H2325" t="s">
        <v>18</v>
      </c>
      <c r="I2325" t="s">
        <v>25</v>
      </c>
      <c r="J2325" t="s">
        <v>20</v>
      </c>
      <c r="K2325" t="s">
        <v>51</v>
      </c>
      <c r="L2325" t="s">
        <v>28</v>
      </c>
      <c r="M2325">
        <v>6000.15</v>
      </c>
      <c r="N2325">
        <v>2020</v>
      </c>
      <c r="O2325">
        <v>6</v>
      </c>
    </row>
    <row r="2326" spans="1:15" x14ac:dyDescent="0.3">
      <c r="A2326" s="1">
        <v>43994</v>
      </c>
      <c r="B2326">
        <v>1000000040</v>
      </c>
      <c r="C2326" t="s">
        <v>23</v>
      </c>
      <c r="D2326">
        <v>1</v>
      </c>
      <c r="E2326">
        <v>15000.7</v>
      </c>
      <c r="F2326" t="s">
        <v>16</v>
      </c>
      <c r="G2326" t="s">
        <v>24</v>
      </c>
      <c r="H2326" t="s">
        <v>30</v>
      </c>
      <c r="I2326" t="s">
        <v>31</v>
      </c>
      <c r="J2326" t="s">
        <v>32</v>
      </c>
      <c r="K2326" t="s">
        <v>33</v>
      </c>
      <c r="L2326" t="s">
        <v>28</v>
      </c>
      <c r="M2326">
        <v>15000.7</v>
      </c>
      <c r="N2326">
        <v>2020</v>
      </c>
      <c r="O2326">
        <v>6</v>
      </c>
    </row>
    <row r="2327" spans="1:15" x14ac:dyDescent="0.3">
      <c r="A2327" s="1">
        <v>43994</v>
      </c>
      <c r="B2327">
        <v>1000000040</v>
      </c>
      <c r="C2327" t="s">
        <v>15</v>
      </c>
      <c r="D2327">
        <v>1</v>
      </c>
      <c r="E2327">
        <v>15000.05</v>
      </c>
      <c r="F2327" t="s">
        <v>16</v>
      </c>
      <c r="G2327" t="s">
        <v>17</v>
      </c>
      <c r="H2327" t="s">
        <v>30</v>
      </c>
      <c r="I2327" t="s">
        <v>31</v>
      </c>
      <c r="J2327" t="s">
        <v>32</v>
      </c>
      <c r="K2327" t="s">
        <v>33</v>
      </c>
      <c r="L2327" t="s">
        <v>28</v>
      </c>
      <c r="M2327">
        <v>15000.05</v>
      </c>
      <c r="N2327">
        <v>2020</v>
      </c>
      <c r="O2327">
        <v>6</v>
      </c>
    </row>
    <row r="2328" spans="1:15" x14ac:dyDescent="0.3">
      <c r="A2328" s="1">
        <v>43994</v>
      </c>
      <c r="B2328">
        <v>1000000041</v>
      </c>
      <c r="C2328" t="s">
        <v>23</v>
      </c>
      <c r="D2328">
        <v>2</v>
      </c>
      <c r="E2328">
        <v>20625.13</v>
      </c>
      <c r="F2328" t="s">
        <v>16</v>
      </c>
      <c r="G2328" t="s">
        <v>24</v>
      </c>
      <c r="H2328" t="s">
        <v>30</v>
      </c>
      <c r="I2328" t="s">
        <v>31</v>
      </c>
      <c r="J2328" t="s">
        <v>32</v>
      </c>
      <c r="K2328" t="s">
        <v>33</v>
      </c>
      <c r="L2328" t="s">
        <v>22</v>
      </c>
      <c r="M2328">
        <v>10312.565000000001</v>
      </c>
      <c r="N2328">
        <v>2020</v>
      </c>
      <c r="O2328">
        <v>6</v>
      </c>
    </row>
    <row r="2329" spans="1:15" x14ac:dyDescent="0.3">
      <c r="A2329" s="1">
        <v>43994</v>
      </c>
      <c r="B2329">
        <v>1000000041</v>
      </c>
      <c r="C2329" t="s">
        <v>15</v>
      </c>
      <c r="D2329">
        <v>1</v>
      </c>
      <c r="E2329">
        <v>10000.469999999999</v>
      </c>
      <c r="F2329" t="s">
        <v>16</v>
      </c>
      <c r="G2329" t="s">
        <v>17</v>
      </c>
      <c r="H2329" t="s">
        <v>30</v>
      </c>
      <c r="I2329" t="s">
        <v>31</v>
      </c>
      <c r="J2329" t="s">
        <v>32</v>
      </c>
      <c r="K2329" t="s">
        <v>33</v>
      </c>
      <c r="L2329" t="s">
        <v>22</v>
      </c>
      <c r="M2329">
        <v>10000.469999999999</v>
      </c>
      <c r="N2329">
        <v>2020</v>
      </c>
      <c r="O2329">
        <v>6</v>
      </c>
    </row>
    <row r="2330" spans="1:15" x14ac:dyDescent="0.3">
      <c r="A2330" s="1">
        <v>43994</v>
      </c>
      <c r="B2330">
        <v>1000000043</v>
      </c>
      <c r="C2330" t="s">
        <v>15</v>
      </c>
      <c r="D2330">
        <v>2</v>
      </c>
      <c r="E2330">
        <v>5538.3499999999995</v>
      </c>
      <c r="F2330" t="s">
        <v>16</v>
      </c>
      <c r="G2330" t="s">
        <v>17</v>
      </c>
      <c r="H2330" t="s">
        <v>30</v>
      </c>
      <c r="I2330" t="s">
        <v>38</v>
      </c>
      <c r="J2330" t="s">
        <v>26</v>
      </c>
      <c r="K2330" t="s">
        <v>39</v>
      </c>
      <c r="L2330" t="s">
        <v>22</v>
      </c>
      <c r="M2330">
        <v>2769.1749999999997</v>
      </c>
      <c r="N2330">
        <v>2020</v>
      </c>
      <c r="O2330">
        <v>6</v>
      </c>
    </row>
    <row r="2331" spans="1:15" x14ac:dyDescent="0.3">
      <c r="A2331" s="1">
        <v>43994</v>
      </c>
      <c r="B2331">
        <v>1000000044</v>
      </c>
      <c r="C2331" t="s">
        <v>23</v>
      </c>
      <c r="D2331">
        <v>2</v>
      </c>
      <c r="E2331">
        <v>18500.61</v>
      </c>
      <c r="F2331" t="s">
        <v>16</v>
      </c>
      <c r="G2331" t="s">
        <v>24</v>
      </c>
      <c r="H2331" t="s">
        <v>30</v>
      </c>
      <c r="I2331" t="s">
        <v>31</v>
      </c>
      <c r="J2331" t="s">
        <v>36</v>
      </c>
      <c r="K2331" t="s">
        <v>52</v>
      </c>
      <c r="L2331" t="s">
        <v>28</v>
      </c>
      <c r="M2331">
        <v>9250.3050000000003</v>
      </c>
      <c r="N2331">
        <v>2020</v>
      </c>
      <c r="O2331">
        <v>6</v>
      </c>
    </row>
    <row r="2332" spans="1:15" x14ac:dyDescent="0.3">
      <c r="A2332" s="1">
        <v>43994</v>
      </c>
      <c r="B2332">
        <v>1000000044</v>
      </c>
      <c r="C2332" t="s">
        <v>15</v>
      </c>
      <c r="D2332">
        <v>1</v>
      </c>
      <c r="E2332">
        <v>6000.77</v>
      </c>
      <c r="F2332" t="s">
        <v>16</v>
      </c>
      <c r="G2332" t="s">
        <v>17</v>
      </c>
      <c r="H2332" t="s">
        <v>30</v>
      </c>
      <c r="I2332" t="s">
        <v>31</v>
      </c>
      <c r="J2332" t="s">
        <v>36</v>
      </c>
      <c r="K2332" t="s">
        <v>52</v>
      </c>
      <c r="L2332" t="s">
        <v>28</v>
      </c>
      <c r="M2332">
        <v>6000.77</v>
      </c>
      <c r="N2332">
        <v>2020</v>
      </c>
      <c r="O2332">
        <v>6</v>
      </c>
    </row>
    <row r="2333" spans="1:15" x14ac:dyDescent="0.3">
      <c r="A2333" s="1">
        <v>43994</v>
      </c>
      <c r="B2333">
        <v>1000000044</v>
      </c>
      <c r="C2333" t="s">
        <v>42</v>
      </c>
      <c r="D2333">
        <v>1</v>
      </c>
      <c r="E2333">
        <v>9999.94</v>
      </c>
      <c r="F2333" t="s">
        <v>16</v>
      </c>
      <c r="G2333" t="s">
        <v>43</v>
      </c>
      <c r="H2333" t="s">
        <v>30</v>
      </c>
      <c r="I2333" t="s">
        <v>31</v>
      </c>
      <c r="J2333" t="s">
        <v>36</v>
      </c>
      <c r="K2333" t="s">
        <v>52</v>
      </c>
      <c r="L2333" t="s">
        <v>28</v>
      </c>
      <c r="M2333">
        <v>9999.94</v>
      </c>
      <c r="N2333">
        <v>2020</v>
      </c>
      <c r="O2333">
        <v>6</v>
      </c>
    </row>
    <row r="2334" spans="1:15" x14ac:dyDescent="0.3">
      <c r="A2334" s="1">
        <v>43994</v>
      </c>
      <c r="B2334">
        <v>1000000045</v>
      </c>
      <c r="C2334" t="s">
        <v>23</v>
      </c>
      <c r="D2334">
        <v>1</v>
      </c>
      <c r="E2334">
        <v>12000.13</v>
      </c>
      <c r="F2334" t="s">
        <v>16</v>
      </c>
      <c r="G2334" t="s">
        <v>24</v>
      </c>
      <c r="H2334" t="s">
        <v>47</v>
      </c>
      <c r="I2334" t="s">
        <v>59</v>
      </c>
      <c r="J2334" t="s">
        <v>26</v>
      </c>
      <c r="K2334" t="s">
        <v>60</v>
      </c>
      <c r="L2334" t="s">
        <v>22</v>
      </c>
      <c r="M2334">
        <v>12000.13</v>
      </c>
      <c r="N2334">
        <v>2020</v>
      </c>
      <c r="O2334">
        <v>6</v>
      </c>
    </row>
    <row r="2335" spans="1:15" x14ac:dyDescent="0.3">
      <c r="A2335" s="1">
        <v>43994</v>
      </c>
      <c r="B2335">
        <v>1000000050</v>
      </c>
      <c r="C2335" t="s">
        <v>15</v>
      </c>
      <c r="D2335">
        <v>1</v>
      </c>
      <c r="E2335">
        <v>5500.32</v>
      </c>
      <c r="F2335" t="s">
        <v>16</v>
      </c>
      <c r="G2335" t="s">
        <v>17</v>
      </c>
      <c r="H2335" t="s">
        <v>18</v>
      </c>
      <c r="I2335" t="s">
        <v>40</v>
      </c>
      <c r="J2335" t="s">
        <v>26</v>
      </c>
      <c r="K2335" t="s">
        <v>41</v>
      </c>
      <c r="L2335" t="s">
        <v>22</v>
      </c>
      <c r="M2335">
        <v>5500.32</v>
      </c>
      <c r="N2335">
        <v>2020</v>
      </c>
      <c r="O2335">
        <v>6</v>
      </c>
    </row>
    <row r="2336" spans="1:15" x14ac:dyDescent="0.3">
      <c r="A2336" s="1">
        <v>43994</v>
      </c>
      <c r="B2336">
        <v>1000000050</v>
      </c>
      <c r="C2336" t="s">
        <v>42</v>
      </c>
      <c r="D2336">
        <v>2</v>
      </c>
      <c r="E2336">
        <v>25001.29</v>
      </c>
      <c r="F2336" t="s">
        <v>16</v>
      </c>
      <c r="G2336" t="s">
        <v>43</v>
      </c>
      <c r="H2336" t="s">
        <v>18</v>
      </c>
      <c r="I2336" t="s">
        <v>40</v>
      </c>
      <c r="J2336" t="s">
        <v>26</v>
      </c>
      <c r="K2336" t="s">
        <v>41</v>
      </c>
      <c r="L2336" t="s">
        <v>22</v>
      </c>
      <c r="M2336">
        <v>12500.645</v>
      </c>
      <c r="N2336">
        <v>2020</v>
      </c>
      <c r="O2336">
        <v>6</v>
      </c>
    </row>
    <row r="2337" spans="1:15" x14ac:dyDescent="0.3">
      <c r="A2337" s="1">
        <v>43994</v>
      </c>
      <c r="B2337">
        <v>1000000054</v>
      </c>
      <c r="C2337" t="s">
        <v>15</v>
      </c>
      <c r="D2337">
        <v>2</v>
      </c>
      <c r="E2337">
        <v>29000.97</v>
      </c>
      <c r="F2337" t="s">
        <v>16</v>
      </c>
      <c r="G2337" t="s">
        <v>17</v>
      </c>
      <c r="H2337" t="s">
        <v>18</v>
      </c>
      <c r="I2337" t="s">
        <v>34</v>
      </c>
      <c r="J2337" t="s">
        <v>26</v>
      </c>
      <c r="K2337" t="s">
        <v>35</v>
      </c>
      <c r="L2337" t="s">
        <v>22</v>
      </c>
      <c r="M2337">
        <v>14500.485000000001</v>
      </c>
      <c r="N2337">
        <v>2020</v>
      </c>
      <c r="O2337">
        <v>6</v>
      </c>
    </row>
    <row r="2338" spans="1:15" x14ac:dyDescent="0.3">
      <c r="A2338" s="1">
        <v>43994</v>
      </c>
      <c r="B2338">
        <v>1000000056</v>
      </c>
      <c r="C2338" t="s">
        <v>15</v>
      </c>
      <c r="D2338">
        <v>2</v>
      </c>
      <c r="E2338">
        <v>19001.09</v>
      </c>
      <c r="F2338" t="s">
        <v>16</v>
      </c>
      <c r="G2338" t="s">
        <v>17</v>
      </c>
      <c r="H2338" t="s">
        <v>18</v>
      </c>
      <c r="I2338" t="s">
        <v>34</v>
      </c>
      <c r="J2338" t="s">
        <v>26</v>
      </c>
      <c r="K2338" t="s">
        <v>35</v>
      </c>
      <c r="L2338" t="s">
        <v>28</v>
      </c>
      <c r="M2338">
        <v>9500.5450000000001</v>
      </c>
      <c r="N2338">
        <v>2020</v>
      </c>
      <c r="O2338">
        <v>6</v>
      </c>
    </row>
    <row r="2339" spans="1:15" x14ac:dyDescent="0.3">
      <c r="A2339" s="1">
        <v>43994</v>
      </c>
      <c r="B2339">
        <v>1000000057</v>
      </c>
      <c r="C2339" t="s">
        <v>15</v>
      </c>
      <c r="D2339">
        <v>1</v>
      </c>
      <c r="E2339">
        <v>2400.36</v>
      </c>
      <c r="F2339" t="s">
        <v>16</v>
      </c>
      <c r="G2339" t="s">
        <v>17</v>
      </c>
      <c r="H2339" t="s">
        <v>18</v>
      </c>
      <c r="I2339" t="s">
        <v>34</v>
      </c>
      <c r="J2339" t="s">
        <v>20</v>
      </c>
      <c r="K2339" t="s">
        <v>44</v>
      </c>
      <c r="L2339" t="s">
        <v>22</v>
      </c>
      <c r="M2339">
        <v>2400.36</v>
      </c>
      <c r="N2339">
        <v>2020</v>
      </c>
      <c r="O2339">
        <v>6</v>
      </c>
    </row>
    <row r="2340" spans="1:15" x14ac:dyDescent="0.3">
      <c r="A2340" s="1">
        <v>43994</v>
      </c>
      <c r="B2340">
        <v>1000000068</v>
      </c>
      <c r="C2340" t="s">
        <v>23</v>
      </c>
      <c r="D2340">
        <v>2</v>
      </c>
      <c r="E2340">
        <v>13601.07</v>
      </c>
      <c r="F2340" t="s">
        <v>16</v>
      </c>
      <c r="G2340" t="s">
        <v>24</v>
      </c>
      <c r="H2340" t="s">
        <v>30</v>
      </c>
      <c r="I2340" t="s">
        <v>55</v>
      </c>
      <c r="J2340" t="s">
        <v>26</v>
      </c>
      <c r="K2340" t="s">
        <v>56</v>
      </c>
      <c r="L2340" t="s">
        <v>28</v>
      </c>
      <c r="M2340">
        <v>6800.5349999999999</v>
      </c>
      <c r="N2340">
        <v>2020</v>
      </c>
      <c r="O2340">
        <v>6</v>
      </c>
    </row>
    <row r="2341" spans="1:15" x14ac:dyDescent="0.3">
      <c r="A2341" s="1">
        <v>43994</v>
      </c>
      <c r="B2341">
        <v>1000000068</v>
      </c>
      <c r="C2341" t="s">
        <v>15</v>
      </c>
      <c r="D2341">
        <v>3</v>
      </c>
      <c r="E2341">
        <v>34000.44</v>
      </c>
      <c r="F2341" t="s">
        <v>16</v>
      </c>
      <c r="G2341" t="s">
        <v>17</v>
      </c>
      <c r="H2341" t="s">
        <v>30</v>
      </c>
      <c r="I2341" t="s">
        <v>55</v>
      </c>
      <c r="J2341" t="s">
        <v>26</v>
      </c>
      <c r="K2341" t="s">
        <v>56</v>
      </c>
      <c r="L2341" t="s">
        <v>28</v>
      </c>
      <c r="M2341">
        <v>11333.480000000001</v>
      </c>
      <c r="N2341">
        <v>2020</v>
      </c>
      <c r="O2341">
        <v>6</v>
      </c>
    </row>
    <row r="2342" spans="1:15" x14ac:dyDescent="0.3">
      <c r="A2342" s="1">
        <v>43994</v>
      </c>
      <c r="B2342">
        <v>1000000104</v>
      </c>
      <c r="C2342" t="s">
        <v>42</v>
      </c>
      <c r="D2342">
        <v>1</v>
      </c>
      <c r="E2342">
        <v>8000.71</v>
      </c>
      <c r="F2342" t="s">
        <v>16</v>
      </c>
      <c r="G2342" t="s">
        <v>43</v>
      </c>
      <c r="H2342" t="s">
        <v>18</v>
      </c>
      <c r="I2342" t="s">
        <v>40</v>
      </c>
      <c r="J2342" t="s">
        <v>26</v>
      </c>
      <c r="K2342" t="s">
        <v>41</v>
      </c>
      <c r="L2342" t="s">
        <v>22</v>
      </c>
      <c r="M2342">
        <v>8000.71</v>
      </c>
      <c r="N2342">
        <v>2020</v>
      </c>
      <c r="O2342">
        <v>6</v>
      </c>
    </row>
    <row r="2343" spans="1:15" x14ac:dyDescent="0.3">
      <c r="A2343" s="1">
        <v>43994</v>
      </c>
      <c r="B2343">
        <v>1000000237</v>
      </c>
      <c r="C2343" t="s">
        <v>15</v>
      </c>
      <c r="D2343">
        <v>1</v>
      </c>
      <c r="E2343">
        <v>788.46</v>
      </c>
      <c r="F2343" t="s">
        <v>16</v>
      </c>
      <c r="G2343" t="s">
        <v>17</v>
      </c>
      <c r="H2343" t="s">
        <v>18</v>
      </c>
      <c r="I2343" t="s">
        <v>40</v>
      </c>
      <c r="J2343" t="s">
        <v>26</v>
      </c>
      <c r="K2343" t="s">
        <v>41</v>
      </c>
      <c r="L2343" t="s">
        <v>22</v>
      </c>
      <c r="M2343">
        <v>788.46</v>
      </c>
      <c r="N2343">
        <v>2020</v>
      </c>
      <c r="O2343">
        <v>6</v>
      </c>
    </row>
    <row r="2344" spans="1:15" x14ac:dyDescent="0.3">
      <c r="A2344" s="1">
        <v>43994</v>
      </c>
      <c r="B2344">
        <v>1000000237</v>
      </c>
      <c r="C2344" t="s">
        <v>42</v>
      </c>
      <c r="D2344">
        <v>3</v>
      </c>
      <c r="E2344">
        <v>33800.65</v>
      </c>
      <c r="F2344" t="s">
        <v>16</v>
      </c>
      <c r="G2344" t="s">
        <v>43</v>
      </c>
      <c r="H2344" t="s">
        <v>18</v>
      </c>
      <c r="I2344" t="s">
        <v>40</v>
      </c>
      <c r="J2344" t="s">
        <v>26</v>
      </c>
      <c r="K2344" t="s">
        <v>41</v>
      </c>
      <c r="L2344" t="s">
        <v>22</v>
      </c>
      <c r="M2344">
        <v>11266.883333333333</v>
      </c>
      <c r="N2344">
        <v>2020</v>
      </c>
      <c r="O2344">
        <v>6</v>
      </c>
    </row>
    <row r="2345" spans="1:15" x14ac:dyDescent="0.3">
      <c r="A2345" s="1">
        <v>43994</v>
      </c>
      <c r="B2345">
        <v>1000000566</v>
      </c>
      <c r="C2345" t="s">
        <v>42</v>
      </c>
      <c r="D2345">
        <v>1</v>
      </c>
      <c r="E2345">
        <v>20000.189999999999</v>
      </c>
      <c r="F2345" t="s">
        <v>16</v>
      </c>
      <c r="G2345" t="s">
        <v>43</v>
      </c>
      <c r="H2345" t="s">
        <v>47</v>
      </c>
      <c r="I2345" t="s">
        <v>48</v>
      </c>
      <c r="J2345" t="s">
        <v>36</v>
      </c>
      <c r="K2345" t="s">
        <v>49</v>
      </c>
      <c r="L2345" t="s">
        <v>22</v>
      </c>
      <c r="M2345">
        <v>20000.189999999999</v>
      </c>
      <c r="N2345">
        <v>2020</v>
      </c>
      <c r="O2345">
        <v>6</v>
      </c>
    </row>
    <row r="2346" spans="1:15" x14ac:dyDescent="0.3">
      <c r="A2346" s="1">
        <v>43994</v>
      </c>
      <c r="B2346">
        <v>1000000576</v>
      </c>
      <c r="C2346" t="s">
        <v>15</v>
      </c>
      <c r="D2346">
        <v>3</v>
      </c>
      <c r="E2346">
        <v>36001.67</v>
      </c>
      <c r="F2346" t="s">
        <v>16</v>
      </c>
      <c r="G2346" t="s">
        <v>17</v>
      </c>
      <c r="H2346" t="s">
        <v>18</v>
      </c>
      <c r="I2346" t="s">
        <v>25</v>
      </c>
      <c r="J2346" t="s">
        <v>36</v>
      </c>
      <c r="K2346" t="s">
        <v>37</v>
      </c>
      <c r="L2346" t="s">
        <v>22</v>
      </c>
      <c r="M2346">
        <v>12000.556666666665</v>
      </c>
      <c r="N2346">
        <v>2020</v>
      </c>
      <c r="O2346">
        <v>6</v>
      </c>
    </row>
    <row r="2347" spans="1:15" x14ac:dyDescent="0.3">
      <c r="A2347" s="1">
        <v>43994</v>
      </c>
      <c r="B2347">
        <v>1000000594</v>
      </c>
      <c r="C2347" t="s">
        <v>15</v>
      </c>
      <c r="D2347">
        <v>2</v>
      </c>
      <c r="E2347">
        <v>17501.189999999999</v>
      </c>
      <c r="F2347" t="s">
        <v>16</v>
      </c>
      <c r="G2347" t="s">
        <v>17</v>
      </c>
      <c r="H2347" t="s">
        <v>18</v>
      </c>
      <c r="I2347" t="s">
        <v>25</v>
      </c>
      <c r="J2347" t="s">
        <v>20</v>
      </c>
      <c r="K2347" t="s">
        <v>51</v>
      </c>
      <c r="L2347" t="s">
        <v>22</v>
      </c>
      <c r="M2347">
        <v>8750.5949999999993</v>
      </c>
      <c r="N2347">
        <v>2020</v>
      </c>
      <c r="O2347">
        <v>6</v>
      </c>
    </row>
    <row r="2348" spans="1:15" x14ac:dyDescent="0.3">
      <c r="A2348" s="1">
        <v>43994</v>
      </c>
      <c r="B2348">
        <v>1000000928</v>
      </c>
      <c r="C2348" t="s">
        <v>15</v>
      </c>
      <c r="D2348">
        <v>1</v>
      </c>
      <c r="E2348">
        <v>24000.16</v>
      </c>
      <c r="F2348" t="s">
        <v>16</v>
      </c>
      <c r="G2348" t="s">
        <v>17</v>
      </c>
      <c r="H2348" t="s">
        <v>30</v>
      </c>
      <c r="I2348" t="s">
        <v>57</v>
      </c>
      <c r="J2348" t="s">
        <v>26</v>
      </c>
      <c r="K2348" t="s">
        <v>58</v>
      </c>
      <c r="L2348" t="s">
        <v>22</v>
      </c>
      <c r="M2348">
        <v>24000.16</v>
      </c>
      <c r="N2348">
        <v>2020</v>
      </c>
      <c r="O2348">
        <v>6</v>
      </c>
    </row>
    <row r="2349" spans="1:15" x14ac:dyDescent="0.3">
      <c r="A2349" s="1">
        <v>43994</v>
      </c>
      <c r="B2349">
        <v>1000001524</v>
      </c>
      <c r="C2349" t="s">
        <v>23</v>
      </c>
      <c r="D2349">
        <v>1</v>
      </c>
      <c r="E2349">
        <v>10000.200000000001</v>
      </c>
      <c r="F2349" t="s">
        <v>16</v>
      </c>
      <c r="G2349" t="s">
        <v>24</v>
      </c>
      <c r="H2349" t="s">
        <v>18</v>
      </c>
      <c r="I2349" t="s">
        <v>25</v>
      </c>
      <c r="J2349" t="s">
        <v>20</v>
      </c>
      <c r="K2349" t="s">
        <v>51</v>
      </c>
      <c r="L2349" t="s">
        <v>22</v>
      </c>
      <c r="M2349">
        <v>10000.200000000001</v>
      </c>
      <c r="N2349">
        <v>2020</v>
      </c>
      <c r="O2349">
        <v>6</v>
      </c>
    </row>
    <row r="2350" spans="1:15" x14ac:dyDescent="0.3">
      <c r="A2350" s="1">
        <v>43994</v>
      </c>
      <c r="B2350">
        <v>1000003489</v>
      </c>
      <c r="C2350" t="s">
        <v>42</v>
      </c>
      <c r="D2350">
        <v>1</v>
      </c>
      <c r="E2350">
        <v>6499.98</v>
      </c>
      <c r="F2350" t="s">
        <v>16</v>
      </c>
      <c r="G2350" t="s">
        <v>43</v>
      </c>
      <c r="H2350" t="s">
        <v>47</v>
      </c>
      <c r="I2350" t="s">
        <v>48</v>
      </c>
      <c r="J2350" t="s">
        <v>26</v>
      </c>
      <c r="K2350" t="s">
        <v>50</v>
      </c>
      <c r="L2350" t="s">
        <v>22</v>
      </c>
      <c r="M2350">
        <v>6499.98</v>
      </c>
      <c r="N2350">
        <v>2020</v>
      </c>
      <c r="O2350">
        <v>6</v>
      </c>
    </row>
    <row r="2351" spans="1:15" x14ac:dyDescent="0.3">
      <c r="A2351" s="1">
        <v>43994</v>
      </c>
      <c r="B2351">
        <v>1000003803</v>
      </c>
      <c r="C2351" t="s">
        <v>42</v>
      </c>
      <c r="D2351">
        <v>1</v>
      </c>
      <c r="E2351">
        <v>15000.71</v>
      </c>
      <c r="F2351" t="s">
        <v>16</v>
      </c>
      <c r="G2351" t="s">
        <v>43</v>
      </c>
      <c r="H2351" t="s">
        <v>30</v>
      </c>
      <c r="I2351" t="s">
        <v>31</v>
      </c>
      <c r="J2351" t="s">
        <v>36</v>
      </c>
      <c r="K2351" t="s">
        <v>52</v>
      </c>
      <c r="L2351" t="s">
        <v>22</v>
      </c>
      <c r="M2351">
        <v>15000.71</v>
      </c>
      <c r="N2351">
        <v>2020</v>
      </c>
      <c r="O2351">
        <v>6</v>
      </c>
    </row>
    <row r="2352" spans="1:15" x14ac:dyDescent="0.3">
      <c r="A2352" s="1">
        <v>43994</v>
      </c>
      <c r="B2352">
        <v>1000003926</v>
      </c>
      <c r="C2352" t="s">
        <v>23</v>
      </c>
      <c r="D2352">
        <v>1</v>
      </c>
      <c r="E2352">
        <v>13000.28</v>
      </c>
      <c r="F2352" t="s">
        <v>16</v>
      </c>
      <c r="G2352" t="s">
        <v>24</v>
      </c>
      <c r="H2352" t="s">
        <v>47</v>
      </c>
      <c r="I2352" t="s">
        <v>48</v>
      </c>
      <c r="J2352" t="s">
        <v>26</v>
      </c>
      <c r="K2352" t="s">
        <v>50</v>
      </c>
      <c r="L2352" t="s">
        <v>28</v>
      </c>
      <c r="M2352">
        <v>13000.28</v>
      </c>
      <c r="N2352">
        <v>2020</v>
      </c>
      <c r="O2352">
        <v>6</v>
      </c>
    </row>
    <row r="2353" spans="1:15" x14ac:dyDescent="0.3">
      <c r="A2353" s="1">
        <v>43994</v>
      </c>
      <c r="B2353">
        <v>1000003926</v>
      </c>
      <c r="C2353" t="s">
        <v>15</v>
      </c>
      <c r="D2353">
        <v>4</v>
      </c>
      <c r="E2353">
        <v>63001.48</v>
      </c>
      <c r="F2353" t="s">
        <v>16</v>
      </c>
      <c r="G2353" t="s">
        <v>17</v>
      </c>
      <c r="H2353" t="s">
        <v>47</v>
      </c>
      <c r="I2353" t="s">
        <v>48</v>
      </c>
      <c r="J2353" t="s">
        <v>26</v>
      </c>
      <c r="K2353" t="s">
        <v>50</v>
      </c>
      <c r="L2353" t="s">
        <v>28</v>
      </c>
      <c r="M2353">
        <v>15750.37</v>
      </c>
      <c r="N2353">
        <v>2020</v>
      </c>
      <c r="O2353">
        <v>6</v>
      </c>
    </row>
    <row r="2354" spans="1:15" x14ac:dyDescent="0.3">
      <c r="A2354" s="1">
        <v>43994</v>
      </c>
      <c r="B2354">
        <v>1000003926</v>
      </c>
      <c r="C2354" t="s">
        <v>42</v>
      </c>
      <c r="D2354">
        <v>1</v>
      </c>
      <c r="E2354">
        <v>25000.44</v>
      </c>
      <c r="F2354" t="s">
        <v>16</v>
      </c>
      <c r="G2354" t="s">
        <v>43</v>
      </c>
      <c r="H2354" t="s">
        <v>47</v>
      </c>
      <c r="I2354" t="s">
        <v>48</v>
      </c>
      <c r="J2354" t="s">
        <v>26</v>
      </c>
      <c r="K2354" t="s">
        <v>50</v>
      </c>
      <c r="L2354" t="s">
        <v>28</v>
      </c>
      <c r="M2354">
        <v>25000.44</v>
      </c>
      <c r="N2354">
        <v>2020</v>
      </c>
      <c r="O2354">
        <v>6</v>
      </c>
    </row>
    <row r="2355" spans="1:15" x14ac:dyDescent="0.3">
      <c r="A2355" s="1">
        <v>43994</v>
      </c>
      <c r="B2355">
        <v>1000004170</v>
      </c>
      <c r="C2355" t="s">
        <v>23</v>
      </c>
      <c r="D2355">
        <v>2</v>
      </c>
      <c r="E2355">
        <v>22000.63</v>
      </c>
      <c r="F2355" t="s">
        <v>16</v>
      </c>
      <c r="G2355" t="s">
        <v>24</v>
      </c>
      <c r="H2355" t="s">
        <v>18</v>
      </c>
      <c r="I2355" t="s">
        <v>34</v>
      </c>
      <c r="J2355" t="s">
        <v>20</v>
      </c>
      <c r="K2355" t="s">
        <v>44</v>
      </c>
      <c r="L2355" t="s">
        <v>28</v>
      </c>
      <c r="M2355">
        <v>11000.315000000001</v>
      </c>
      <c r="N2355">
        <v>2020</v>
      </c>
      <c r="O2355">
        <v>6</v>
      </c>
    </row>
    <row r="2356" spans="1:15" x14ac:dyDescent="0.3">
      <c r="A2356" s="1">
        <v>43994</v>
      </c>
      <c r="B2356">
        <v>1000004170</v>
      </c>
      <c r="C2356" t="s">
        <v>15</v>
      </c>
      <c r="D2356">
        <v>1</v>
      </c>
      <c r="E2356">
        <v>13000.65</v>
      </c>
      <c r="F2356" t="s">
        <v>16</v>
      </c>
      <c r="G2356" t="s">
        <v>17</v>
      </c>
      <c r="H2356" t="s">
        <v>18</v>
      </c>
      <c r="I2356" t="s">
        <v>34</v>
      </c>
      <c r="J2356" t="s">
        <v>20</v>
      </c>
      <c r="K2356" t="s">
        <v>44</v>
      </c>
      <c r="L2356" t="s">
        <v>28</v>
      </c>
      <c r="M2356">
        <v>13000.65</v>
      </c>
      <c r="N2356">
        <v>2020</v>
      </c>
      <c r="O2356">
        <v>6</v>
      </c>
    </row>
    <row r="2357" spans="1:15" x14ac:dyDescent="0.3">
      <c r="A2357" s="1">
        <v>43994</v>
      </c>
      <c r="B2357">
        <v>1000004170</v>
      </c>
      <c r="C2357" t="s">
        <v>42</v>
      </c>
      <c r="D2357">
        <v>2</v>
      </c>
      <c r="E2357">
        <v>22800.76</v>
      </c>
      <c r="F2357" t="s">
        <v>16</v>
      </c>
      <c r="G2357" t="s">
        <v>43</v>
      </c>
      <c r="H2357" t="s">
        <v>18</v>
      </c>
      <c r="I2357" t="s">
        <v>34</v>
      </c>
      <c r="J2357" t="s">
        <v>20</v>
      </c>
      <c r="K2357" t="s">
        <v>44</v>
      </c>
      <c r="L2357" t="s">
        <v>28</v>
      </c>
      <c r="M2357">
        <v>11400.38</v>
      </c>
      <c r="N2357">
        <v>2020</v>
      </c>
      <c r="O2357">
        <v>6</v>
      </c>
    </row>
    <row r="2358" spans="1:15" x14ac:dyDescent="0.3">
      <c r="A2358" s="1">
        <v>43994</v>
      </c>
      <c r="B2358">
        <v>1000004256</v>
      </c>
      <c r="C2358" t="s">
        <v>23</v>
      </c>
      <c r="D2358">
        <v>1</v>
      </c>
      <c r="E2358">
        <v>941.57</v>
      </c>
      <c r="F2358" t="s">
        <v>16</v>
      </c>
      <c r="G2358" t="s">
        <v>24</v>
      </c>
      <c r="H2358" t="s">
        <v>18</v>
      </c>
      <c r="I2358" t="s">
        <v>40</v>
      </c>
      <c r="J2358" t="s">
        <v>26</v>
      </c>
      <c r="K2358" t="s">
        <v>41</v>
      </c>
      <c r="L2358" t="s">
        <v>22</v>
      </c>
      <c r="M2358">
        <v>941.57</v>
      </c>
      <c r="N2358">
        <v>2020</v>
      </c>
      <c r="O2358">
        <v>6</v>
      </c>
    </row>
    <row r="2359" spans="1:15" x14ac:dyDescent="0.3">
      <c r="A2359" s="1">
        <v>43994</v>
      </c>
      <c r="B2359">
        <v>1000004256</v>
      </c>
      <c r="C2359" t="s">
        <v>42</v>
      </c>
      <c r="D2359">
        <v>3</v>
      </c>
      <c r="E2359">
        <v>14000.98</v>
      </c>
      <c r="F2359" t="s">
        <v>16</v>
      </c>
      <c r="G2359" t="s">
        <v>43</v>
      </c>
      <c r="H2359" t="s">
        <v>18</v>
      </c>
      <c r="I2359" t="s">
        <v>40</v>
      </c>
      <c r="J2359" t="s">
        <v>26</v>
      </c>
      <c r="K2359" t="s">
        <v>41</v>
      </c>
      <c r="L2359" t="s">
        <v>22</v>
      </c>
      <c r="M2359">
        <v>4666.9933333333329</v>
      </c>
      <c r="N2359">
        <v>2020</v>
      </c>
      <c r="O2359">
        <v>6</v>
      </c>
    </row>
    <row r="2360" spans="1:15" x14ac:dyDescent="0.3">
      <c r="A2360" s="1">
        <v>43994</v>
      </c>
      <c r="B2360">
        <v>1000006698</v>
      </c>
      <c r="C2360" t="s">
        <v>15</v>
      </c>
      <c r="D2360">
        <v>1</v>
      </c>
      <c r="E2360">
        <v>17000.45</v>
      </c>
      <c r="F2360" t="s">
        <v>16</v>
      </c>
      <c r="G2360" t="s">
        <v>17</v>
      </c>
      <c r="H2360" t="s">
        <v>30</v>
      </c>
      <c r="I2360" t="s">
        <v>38</v>
      </c>
      <c r="J2360" t="s">
        <v>26</v>
      </c>
      <c r="K2360" t="s">
        <v>39</v>
      </c>
      <c r="L2360" t="s">
        <v>28</v>
      </c>
      <c r="M2360">
        <v>17000.45</v>
      </c>
      <c r="N2360">
        <v>2020</v>
      </c>
      <c r="O2360">
        <v>6</v>
      </c>
    </row>
    <row r="2361" spans="1:15" x14ac:dyDescent="0.3">
      <c r="A2361" s="1">
        <v>43994</v>
      </c>
      <c r="B2361">
        <v>1000006698</v>
      </c>
      <c r="C2361" t="s">
        <v>42</v>
      </c>
      <c r="D2361">
        <v>1</v>
      </c>
      <c r="E2361">
        <v>14000.05</v>
      </c>
      <c r="F2361" t="s">
        <v>16</v>
      </c>
      <c r="G2361" t="s">
        <v>43</v>
      </c>
      <c r="H2361" t="s">
        <v>30</v>
      </c>
      <c r="I2361" t="s">
        <v>38</v>
      </c>
      <c r="J2361" t="s">
        <v>26</v>
      </c>
      <c r="K2361" t="s">
        <v>39</v>
      </c>
      <c r="L2361" t="s">
        <v>28</v>
      </c>
      <c r="M2361">
        <v>14000.05</v>
      </c>
      <c r="N2361">
        <v>2020</v>
      </c>
      <c r="O2361">
        <v>6</v>
      </c>
    </row>
    <row r="2362" spans="1:15" x14ac:dyDescent="0.3">
      <c r="A2362" s="1">
        <v>43994</v>
      </c>
      <c r="B2362">
        <v>1000006867</v>
      </c>
      <c r="C2362" t="s">
        <v>42</v>
      </c>
      <c r="D2362">
        <v>2</v>
      </c>
      <c r="E2362">
        <v>14500.720000000001</v>
      </c>
      <c r="F2362" t="s">
        <v>16</v>
      </c>
      <c r="G2362" t="s">
        <v>43</v>
      </c>
      <c r="H2362" t="s">
        <v>18</v>
      </c>
      <c r="I2362" t="s">
        <v>61</v>
      </c>
      <c r="J2362" t="s">
        <v>26</v>
      </c>
      <c r="K2362" t="s">
        <v>62</v>
      </c>
      <c r="L2362" t="s">
        <v>22</v>
      </c>
      <c r="M2362">
        <v>7250.3600000000006</v>
      </c>
      <c r="N2362">
        <v>2020</v>
      </c>
      <c r="O2362">
        <v>6</v>
      </c>
    </row>
    <row r="2363" spans="1:15" x14ac:dyDescent="0.3">
      <c r="A2363" s="1">
        <v>43994</v>
      </c>
      <c r="B2363">
        <v>1000006869</v>
      </c>
      <c r="C2363" t="s">
        <v>15</v>
      </c>
      <c r="D2363">
        <v>1</v>
      </c>
      <c r="E2363">
        <v>16000.57</v>
      </c>
      <c r="F2363" t="s">
        <v>16</v>
      </c>
      <c r="G2363" t="s">
        <v>17</v>
      </c>
      <c r="H2363" t="s">
        <v>18</v>
      </c>
      <c r="I2363" t="s">
        <v>61</v>
      </c>
      <c r="J2363" t="s">
        <v>26</v>
      </c>
      <c r="K2363" t="s">
        <v>62</v>
      </c>
      <c r="L2363" t="s">
        <v>22</v>
      </c>
      <c r="M2363">
        <v>16000.57</v>
      </c>
      <c r="N2363">
        <v>2020</v>
      </c>
      <c r="O2363">
        <v>6</v>
      </c>
    </row>
    <row r="2364" spans="1:15" x14ac:dyDescent="0.3">
      <c r="A2364" s="1">
        <v>43994</v>
      </c>
      <c r="B2364">
        <v>1000007320</v>
      </c>
      <c r="C2364" t="s">
        <v>23</v>
      </c>
      <c r="D2364">
        <v>1</v>
      </c>
      <c r="E2364">
        <v>9000.23</v>
      </c>
      <c r="F2364" t="s">
        <v>16</v>
      </c>
      <c r="G2364" t="s">
        <v>24</v>
      </c>
      <c r="H2364" t="s">
        <v>18</v>
      </c>
      <c r="I2364" t="s">
        <v>34</v>
      </c>
      <c r="J2364" t="s">
        <v>26</v>
      </c>
      <c r="K2364" t="s">
        <v>35</v>
      </c>
      <c r="L2364" t="s">
        <v>22</v>
      </c>
      <c r="M2364">
        <v>9000.23</v>
      </c>
      <c r="N2364">
        <v>2020</v>
      </c>
      <c r="O2364">
        <v>6</v>
      </c>
    </row>
    <row r="2365" spans="1:15" x14ac:dyDescent="0.3">
      <c r="A2365" s="1">
        <v>43994</v>
      </c>
      <c r="B2365">
        <v>1000007320</v>
      </c>
      <c r="C2365" t="s">
        <v>15</v>
      </c>
      <c r="D2365">
        <v>1</v>
      </c>
      <c r="E2365">
        <v>18000.41</v>
      </c>
      <c r="F2365" t="s">
        <v>16</v>
      </c>
      <c r="G2365" t="s">
        <v>17</v>
      </c>
      <c r="H2365" t="s">
        <v>18</v>
      </c>
      <c r="I2365" t="s">
        <v>34</v>
      </c>
      <c r="J2365" t="s">
        <v>26</v>
      </c>
      <c r="K2365" t="s">
        <v>35</v>
      </c>
      <c r="L2365" t="s">
        <v>22</v>
      </c>
      <c r="M2365">
        <v>18000.41</v>
      </c>
      <c r="N2365">
        <v>2020</v>
      </c>
      <c r="O2365">
        <v>6</v>
      </c>
    </row>
    <row r="2366" spans="1:15" x14ac:dyDescent="0.3">
      <c r="A2366" s="1">
        <v>43994</v>
      </c>
      <c r="B2366">
        <v>1000008239</v>
      </c>
      <c r="C2366" t="s">
        <v>23</v>
      </c>
      <c r="D2366">
        <v>1</v>
      </c>
      <c r="E2366">
        <v>1999.98</v>
      </c>
      <c r="F2366" t="s">
        <v>16</v>
      </c>
      <c r="G2366" t="s">
        <v>24</v>
      </c>
      <c r="H2366" t="s">
        <v>18</v>
      </c>
      <c r="I2366" t="s">
        <v>61</v>
      </c>
      <c r="J2366" t="s">
        <v>26</v>
      </c>
      <c r="K2366" t="s">
        <v>62</v>
      </c>
      <c r="L2366" t="s">
        <v>28</v>
      </c>
      <c r="M2366">
        <v>1999.98</v>
      </c>
      <c r="N2366">
        <v>2020</v>
      </c>
      <c r="O2366">
        <v>6</v>
      </c>
    </row>
    <row r="2367" spans="1:15" x14ac:dyDescent="0.3">
      <c r="A2367" s="1">
        <v>43994</v>
      </c>
      <c r="B2367">
        <v>1000008239</v>
      </c>
      <c r="C2367" t="s">
        <v>15</v>
      </c>
      <c r="D2367">
        <v>1</v>
      </c>
      <c r="E2367">
        <v>8999.98</v>
      </c>
      <c r="F2367" t="s">
        <v>16</v>
      </c>
      <c r="G2367" t="s">
        <v>17</v>
      </c>
      <c r="H2367" t="s">
        <v>18</v>
      </c>
      <c r="I2367" t="s">
        <v>61</v>
      </c>
      <c r="J2367" t="s">
        <v>26</v>
      </c>
      <c r="K2367" t="s">
        <v>62</v>
      </c>
      <c r="L2367" t="s">
        <v>28</v>
      </c>
      <c r="M2367">
        <v>8999.98</v>
      </c>
      <c r="N2367">
        <v>2020</v>
      </c>
      <c r="O2367">
        <v>6</v>
      </c>
    </row>
    <row r="2368" spans="1:15" x14ac:dyDescent="0.3">
      <c r="A2368" s="1">
        <v>43994</v>
      </c>
      <c r="B2368">
        <v>1000008704</v>
      </c>
      <c r="C2368" t="s">
        <v>15</v>
      </c>
      <c r="D2368">
        <v>1</v>
      </c>
      <c r="E2368">
        <v>10000.27</v>
      </c>
      <c r="F2368" t="s">
        <v>16</v>
      </c>
      <c r="G2368" t="s">
        <v>17</v>
      </c>
      <c r="H2368" t="s">
        <v>18</v>
      </c>
      <c r="I2368" t="s">
        <v>61</v>
      </c>
      <c r="J2368" t="s">
        <v>26</v>
      </c>
      <c r="K2368" t="s">
        <v>62</v>
      </c>
      <c r="L2368" t="s">
        <v>22</v>
      </c>
      <c r="M2368">
        <v>10000.27</v>
      </c>
      <c r="N2368">
        <v>2020</v>
      </c>
      <c r="O2368">
        <v>6</v>
      </c>
    </row>
    <row r="2369" spans="1:15" x14ac:dyDescent="0.3">
      <c r="A2369" s="1">
        <v>43994</v>
      </c>
      <c r="B2369">
        <v>1000008957</v>
      </c>
      <c r="C2369" t="s">
        <v>23</v>
      </c>
      <c r="D2369">
        <v>1</v>
      </c>
      <c r="E2369">
        <v>16999.939999999999</v>
      </c>
      <c r="F2369" t="s">
        <v>16</v>
      </c>
      <c r="G2369" t="s">
        <v>24</v>
      </c>
      <c r="H2369" t="s">
        <v>18</v>
      </c>
      <c r="I2369" t="s">
        <v>34</v>
      </c>
      <c r="J2369" t="s">
        <v>20</v>
      </c>
      <c r="K2369" t="s">
        <v>44</v>
      </c>
      <c r="L2369" t="s">
        <v>22</v>
      </c>
      <c r="M2369">
        <v>16999.939999999999</v>
      </c>
      <c r="N2369">
        <v>2020</v>
      </c>
      <c r="O2369">
        <v>6</v>
      </c>
    </row>
    <row r="2370" spans="1:15" x14ac:dyDescent="0.3">
      <c r="A2370" s="1">
        <v>43994</v>
      </c>
      <c r="B2370">
        <v>1000010814</v>
      </c>
      <c r="C2370" t="s">
        <v>15</v>
      </c>
      <c r="D2370">
        <v>1</v>
      </c>
      <c r="E2370">
        <v>10000.26</v>
      </c>
      <c r="F2370" t="s">
        <v>16</v>
      </c>
      <c r="G2370" t="s">
        <v>17</v>
      </c>
      <c r="H2370" t="s">
        <v>18</v>
      </c>
      <c r="I2370" t="s">
        <v>61</v>
      </c>
      <c r="J2370" t="s">
        <v>32</v>
      </c>
      <c r="K2370" t="s">
        <v>63</v>
      </c>
      <c r="L2370" t="s">
        <v>22</v>
      </c>
      <c r="M2370">
        <v>10000.26</v>
      </c>
      <c r="N2370">
        <v>2020</v>
      </c>
      <c r="O2370">
        <v>6</v>
      </c>
    </row>
    <row r="2371" spans="1:15" x14ac:dyDescent="0.3">
      <c r="A2371" s="1">
        <v>43994</v>
      </c>
      <c r="B2371">
        <v>1000010881</v>
      </c>
      <c r="C2371" t="s">
        <v>15</v>
      </c>
      <c r="D2371">
        <v>2</v>
      </c>
      <c r="E2371">
        <v>31000.22</v>
      </c>
      <c r="F2371" t="s">
        <v>16</v>
      </c>
      <c r="G2371" t="s">
        <v>17</v>
      </c>
      <c r="H2371" t="s">
        <v>47</v>
      </c>
      <c r="I2371" t="s">
        <v>48</v>
      </c>
      <c r="J2371" t="s">
        <v>26</v>
      </c>
      <c r="K2371" t="s">
        <v>50</v>
      </c>
      <c r="L2371" t="s">
        <v>22</v>
      </c>
      <c r="M2371">
        <v>15500.11</v>
      </c>
      <c r="N2371">
        <v>2020</v>
      </c>
      <c r="O2371">
        <v>6</v>
      </c>
    </row>
    <row r="2372" spans="1:15" x14ac:dyDescent="0.3">
      <c r="A2372" s="1">
        <v>43994</v>
      </c>
      <c r="B2372">
        <v>1000011697</v>
      </c>
      <c r="C2372" t="s">
        <v>23</v>
      </c>
      <c r="D2372">
        <v>2</v>
      </c>
      <c r="E2372">
        <v>30000.26</v>
      </c>
      <c r="F2372" t="s">
        <v>16</v>
      </c>
      <c r="G2372" t="s">
        <v>24</v>
      </c>
      <c r="H2372" t="s">
        <v>18</v>
      </c>
      <c r="I2372" t="s">
        <v>34</v>
      </c>
      <c r="J2372" t="s">
        <v>20</v>
      </c>
      <c r="K2372" t="s">
        <v>44</v>
      </c>
      <c r="L2372" t="s">
        <v>22</v>
      </c>
      <c r="M2372">
        <v>15000.13</v>
      </c>
      <c r="N2372">
        <v>2020</v>
      </c>
      <c r="O2372">
        <v>6</v>
      </c>
    </row>
    <row r="2373" spans="1:15" x14ac:dyDescent="0.3">
      <c r="A2373" s="1">
        <v>43994</v>
      </c>
      <c r="B2373">
        <v>1000011698</v>
      </c>
      <c r="C2373" t="s">
        <v>15</v>
      </c>
      <c r="D2373">
        <v>2</v>
      </c>
      <c r="E2373">
        <v>25000.62</v>
      </c>
      <c r="F2373" t="s">
        <v>16</v>
      </c>
      <c r="G2373" t="s">
        <v>17</v>
      </c>
      <c r="H2373" t="s">
        <v>18</v>
      </c>
      <c r="I2373" t="s">
        <v>34</v>
      </c>
      <c r="J2373" t="s">
        <v>20</v>
      </c>
      <c r="K2373" t="s">
        <v>44</v>
      </c>
      <c r="L2373" t="s">
        <v>22</v>
      </c>
      <c r="M2373">
        <v>12500.31</v>
      </c>
      <c r="N2373">
        <v>2020</v>
      </c>
      <c r="O2373">
        <v>6</v>
      </c>
    </row>
    <row r="2374" spans="1:15" x14ac:dyDescent="0.3">
      <c r="A2374" s="1">
        <v>43994</v>
      </c>
      <c r="B2374">
        <v>1000011698</v>
      </c>
      <c r="C2374" t="s">
        <v>42</v>
      </c>
      <c r="D2374">
        <v>1</v>
      </c>
      <c r="E2374">
        <v>20000.39</v>
      </c>
      <c r="F2374" t="s">
        <v>16</v>
      </c>
      <c r="G2374" t="s">
        <v>43</v>
      </c>
      <c r="H2374" t="s">
        <v>18</v>
      </c>
      <c r="I2374" t="s">
        <v>34</v>
      </c>
      <c r="J2374" t="s">
        <v>20</v>
      </c>
      <c r="K2374" t="s">
        <v>44</v>
      </c>
      <c r="L2374" t="s">
        <v>22</v>
      </c>
      <c r="M2374">
        <v>20000.39</v>
      </c>
      <c r="N2374">
        <v>2020</v>
      </c>
      <c r="O2374">
        <v>6</v>
      </c>
    </row>
    <row r="2375" spans="1:15" x14ac:dyDescent="0.3">
      <c r="A2375" s="1">
        <v>43994</v>
      </c>
      <c r="B2375">
        <v>1000012096</v>
      </c>
      <c r="C2375" t="s">
        <v>42</v>
      </c>
      <c r="D2375">
        <v>1</v>
      </c>
      <c r="E2375">
        <v>10000.11</v>
      </c>
      <c r="F2375" t="s">
        <v>16</v>
      </c>
      <c r="G2375" t="s">
        <v>43</v>
      </c>
      <c r="H2375" t="s">
        <v>18</v>
      </c>
      <c r="I2375" t="s">
        <v>19</v>
      </c>
      <c r="J2375" t="s">
        <v>26</v>
      </c>
      <c r="K2375" t="s">
        <v>29</v>
      </c>
      <c r="L2375" t="s">
        <v>22</v>
      </c>
      <c r="M2375">
        <v>10000.11</v>
      </c>
      <c r="N2375">
        <v>2020</v>
      </c>
      <c r="O2375">
        <v>6</v>
      </c>
    </row>
    <row r="2376" spans="1:15" x14ac:dyDescent="0.3">
      <c r="A2376" s="1">
        <v>43994</v>
      </c>
      <c r="B2376">
        <v>1000012099</v>
      </c>
      <c r="C2376" t="s">
        <v>23</v>
      </c>
      <c r="D2376">
        <v>2</v>
      </c>
      <c r="E2376">
        <v>40000.32</v>
      </c>
      <c r="F2376" t="s">
        <v>16</v>
      </c>
      <c r="G2376" t="s">
        <v>24</v>
      </c>
      <c r="H2376" t="s">
        <v>18</v>
      </c>
      <c r="I2376" t="s">
        <v>19</v>
      </c>
      <c r="J2376" t="s">
        <v>20</v>
      </c>
      <c r="K2376" t="s">
        <v>21</v>
      </c>
      <c r="L2376" t="s">
        <v>22</v>
      </c>
      <c r="M2376">
        <v>20000.16</v>
      </c>
      <c r="N2376">
        <v>2020</v>
      </c>
      <c r="O2376">
        <v>6</v>
      </c>
    </row>
    <row r="2377" spans="1:15" x14ac:dyDescent="0.3">
      <c r="A2377" s="1">
        <v>43994</v>
      </c>
      <c r="B2377">
        <v>1000012099</v>
      </c>
      <c r="C2377" t="s">
        <v>15</v>
      </c>
      <c r="D2377">
        <v>1</v>
      </c>
      <c r="E2377">
        <v>25000.71</v>
      </c>
      <c r="F2377" t="s">
        <v>16</v>
      </c>
      <c r="G2377" t="s">
        <v>17</v>
      </c>
      <c r="H2377" t="s">
        <v>18</v>
      </c>
      <c r="I2377" t="s">
        <v>19</v>
      </c>
      <c r="J2377" t="s">
        <v>20</v>
      </c>
      <c r="K2377" t="s">
        <v>21</v>
      </c>
      <c r="L2377" t="s">
        <v>22</v>
      </c>
      <c r="M2377">
        <v>25000.71</v>
      </c>
      <c r="N2377">
        <v>2020</v>
      </c>
      <c r="O2377">
        <v>6</v>
      </c>
    </row>
    <row r="2378" spans="1:15" x14ac:dyDescent="0.3">
      <c r="A2378" s="1">
        <v>43994</v>
      </c>
      <c r="B2378">
        <v>1000012112</v>
      </c>
      <c r="C2378" t="s">
        <v>23</v>
      </c>
      <c r="D2378">
        <v>1</v>
      </c>
      <c r="E2378">
        <v>13000</v>
      </c>
      <c r="F2378" t="s">
        <v>16</v>
      </c>
      <c r="G2378" t="s">
        <v>24</v>
      </c>
      <c r="H2378" t="s">
        <v>18</v>
      </c>
      <c r="I2378" t="s">
        <v>19</v>
      </c>
      <c r="J2378" t="s">
        <v>36</v>
      </c>
      <c r="K2378" t="s">
        <v>64</v>
      </c>
      <c r="L2378" t="s">
        <v>28</v>
      </c>
      <c r="M2378">
        <v>13000</v>
      </c>
      <c r="N2378">
        <v>2020</v>
      </c>
      <c r="O2378">
        <v>6</v>
      </c>
    </row>
    <row r="2379" spans="1:15" x14ac:dyDescent="0.3">
      <c r="A2379" s="1">
        <v>43994</v>
      </c>
      <c r="B2379">
        <v>1000012124</v>
      </c>
      <c r="C2379" t="s">
        <v>42</v>
      </c>
      <c r="D2379">
        <v>1</v>
      </c>
      <c r="E2379">
        <v>17000.03</v>
      </c>
      <c r="F2379" t="s">
        <v>16</v>
      </c>
      <c r="G2379" t="s">
        <v>43</v>
      </c>
      <c r="H2379" t="s">
        <v>18</v>
      </c>
      <c r="I2379" t="s">
        <v>19</v>
      </c>
      <c r="J2379" t="s">
        <v>26</v>
      </c>
      <c r="K2379" t="s">
        <v>29</v>
      </c>
      <c r="L2379" t="s">
        <v>22</v>
      </c>
      <c r="M2379">
        <v>17000.03</v>
      </c>
      <c r="N2379">
        <v>2020</v>
      </c>
      <c r="O2379">
        <v>6</v>
      </c>
    </row>
    <row r="2380" spans="1:15" x14ac:dyDescent="0.3">
      <c r="A2380" s="1">
        <v>43994</v>
      </c>
      <c r="B2380">
        <v>1000012234</v>
      </c>
      <c r="C2380" t="s">
        <v>42</v>
      </c>
      <c r="D2380">
        <v>1</v>
      </c>
      <c r="E2380">
        <v>17000.48</v>
      </c>
      <c r="F2380" t="s">
        <v>16</v>
      </c>
      <c r="G2380" t="s">
        <v>43</v>
      </c>
      <c r="H2380" t="s">
        <v>18</v>
      </c>
      <c r="I2380" t="s">
        <v>25</v>
      </c>
      <c r="J2380" t="s">
        <v>26</v>
      </c>
      <c r="K2380" t="s">
        <v>27</v>
      </c>
      <c r="L2380" t="s">
        <v>22</v>
      </c>
      <c r="M2380">
        <v>17000.48</v>
      </c>
      <c r="N2380">
        <v>2020</v>
      </c>
      <c r="O2380">
        <v>6</v>
      </c>
    </row>
    <row r="2381" spans="1:15" x14ac:dyDescent="0.3">
      <c r="A2381" s="1">
        <v>43994</v>
      </c>
      <c r="B2381">
        <v>1000012313</v>
      </c>
      <c r="C2381" t="s">
        <v>23</v>
      </c>
      <c r="D2381">
        <v>1</v>
      </c>
      <c r="E2381">
        <v>2000.32</v>
      </c>
      <c r="F2381" t="s">
        <v>16</v>
      </c>
      <c r="G2381" t="s">
        <v>24</v>
      </c>
      <c r="H2381" t="s">
        <v>47</v>
      </c>
      <c r="I2381" t="s">
        <v>65</v>
      </c>
      <c r="J2381" t="s">
        <v>26</v>
      </c>
      <c r="K2381" t="s">
        <v>66</v>
      </c>
      <c r="L2381" t="s">
        <v>22</v>
      </c>
      <c r="M2381">
        <v>2000.32</v>
      </c>
      <c r="N2381">
        <v>2020</v>
      </c>
      <c r="O2381">
        <v>6</v>
      </c>
    </row>
    <row r="2382" spans="1:15" x14ac:dyDescent="0.3">
      <c r="A2382" s="1">
        <v>43994</v>
      </c>
      <c r="B2382">
        <v>1000012446</v>
      </c>
      <c r="C2382" t="s">
        <v>15</v>
      </c>
      <c r="D2382">
        <v>2</v>
      </c>
      <c r="E2382">
        <v>19000.3</v>
      </c>
      <c r="F2382" t="s">
        <v>16</v>
      </c>
      <c r="G2382" t="s">
        <v>17</v>
      </c>
      <c r="H2382" t="s">
        <v>30</v>
      </c>
      <c r="I2382" t="s">
        <v>31</v>
      </c>
      <c r="J2382" t="s">
        <v>36</v>
      </c>
      <c r="K2382" t="s">
        <v>52</v>
      </c>
      <c r="L2382" t="s">
        <v>22</v>
      </c>
      <c r="M2382">
        <v>9500.15</v>
      </c>
      <c r="N2382">
        <v>2020</v>
      </c>
      <c r="O2382">
        <v>6</v>
      </c>
    </row>
    <row r="2383" spans="1:15" x14ac:dyDescent="0.3">
      <c r="A2383" s="1">
        <v>43994</v>
      </c>
      <c r="B2383">
        <v>1000012675</v>
      </c>
      <c r="C2383" t="s">
        <v>15</v>
      </c>
      <c r="D2383">
        <v>2</v>
      </c>
      <c r="E2383">
        <v>22000.52</v>
      </c>
      <c r="F2383" t="s">
        <v>16</v>
      </c>
      <c r="G2383" t="s">
        <v>17</v>
      </c>
      <c r="H2383" t="s">
        <v>18</v>
      </c>
      <c r="I2383" t="s">
        <v>34</v>
      </c>
      <c r="J2383" t="s">
        <v>26</v>
      </c>
      <c r="K2383" t="s">
        <v>35</v>
      </c>
      <c r="L2383" t="s">
        <v>22</v>
      </c>
      <c r="M2383">
        <v>11000.26</v>
      </c>
      <c r="N2383">
        <v>2020</v>
      </c>
      <c r="O2383">
        <v>6</v>
      </c>
    </row>
    <row r="2384" spans="1:15" x14ac:dyDescent="0.3">
      <c r="A2384" s="1">
        <v>43994</v>
      </c>
      <c r="B2384">
        <v>1000013526</v>
      </c>
      <c r="C2384" t="s">
        <v>15</v>
      </c>
      <c r="D2384">
        <v>1</v>
      </c>
      <c r="E2384">
        <v>13000.36</v>
      </c>
      <c r="F2384" t="s">
        <v>16</v>
      </c>
      <c r="G2384" t="s">
        <v>17</v>
      </c>
      <c r="H2384" t="s">
        <v>47</v>
      </c>
      <c r="I2384" t="s">
        <v>65</v>
      </c>
      <c r="J2384" t="s">
        <v>26</v>
      </c>
      <c r="K2384" t="s">
        <v>66</v>
      </c>
      <c r="L2384" t="s">
        <v>22</v>
      </c>
      <c r="M2384">
        <v>13000.36</v>
      </c>
      <c r="N2384">
        <v>2020</v>
      </c>
      <c r="O2384">
        <v>6</v>
      </c>
    </row>
    <row r="2385" spans="1:15" x14ac:dyDescent="0.3">
      <c r="A2385" s="1">
        <v>43994</v>
      </c>
      <c r="B2385">
        <v>1000014037</v>
      </c>
      <c r="C2385" t="s">
        <v>23</v>
      </c>
      <c r="D2385">
        <v>1</v>
      </c>
      <c r="E2385">
        <v>500.52</v>
      </c>
      <c r="F2385" t="s">
        <v>16</v>
      </c>
      <c r="G2385" t="s">
        <v>24</v>
      </c>
      <c r="H2385" t="s">
        <v>18</v>
      </c>
      <c r="I2385" t="s">
        <v>25</v>
      </c>
      <c r="J2385" t="s">
        <v>36</v>
      </c>
      <c r="K2385" t="s">
        <v>37</v>
      </c>
      <c r="L2385" t="s">
        <v>22</v>
      </c>
      <c r="M2385">
        <v>500.52</v>
      </c>
      <c r="N2385">
        <v>2020</v>
      </c>
      <c r="O2385">
        <v>6</v>
      </c>
    </row>
    <row r="2386" spans="1:15" x14ac:dyDescent="0.3">
      <c r="A2386" s="1">
        <v>43994</v>
      </c>
      <c r="B2386">
        <v>1000014037</v>
      </c>
      <c r="C2386" t="s">
        <v>15</v>
      </c>
      <c r="D2386">
        <v>1</v>
      </c>
      <c r="E2386">
        <v>8000.69</v>
      </c>
      <c r="F2386" t="s">
        <v>16</v>
      </c>
      <c r="G2386" t="s">
        <v>17</v>
      </c>
      <c r="H2386" t="s">
        <v>18</v>
      </c>
      <c r="I2386" t="s">
        <v>25</v>
      </c>
      <c r="J2386" t="s">
        <v>36</v>
      </c>
      <c r="K2386" t="s">
        <v>37</v>
      </c>
      <c r="L2386" t="s">
        <v>22</v>
      </c>
      <c r="M2386">
        <v>8000.69</v>
      </c>
      <c r="N2386">
        <v>2020</v>
      </c>
      <c r="O2386">
        <v>6</v>
      </c>
    </row>
    <row r="2387" spans="1:15" x14ac:dyDescent="0.3">
      <c r="A2387" s="1">
        <v>43994</v>
      </c>
      <c r="B2387">
        <v>1000014273</v>
      </c>
      <c r="C2387" t="s">
        <v>23</v>
      </c>
      <c r="D2387">
        <v>2</v>
      </c>
      <c r="E2387">
        <v>21000.260000000002</v>
      </c>
      <c r="F2387" t="s">
        <v>16</v>
      </c>
      <c r="G2387" t="s">
        <v>24</v>
      </c>
      <c r="H2387" t="s">
        <v>18</v>
      </c>
      <c r="I2387" t="s">
        <v>19</v>
      </c>
      <c r="J2387" t="s">
        <v>20</v>
      </c>
      <c r="K2387" t="s">
        <v>21</v>
      </c>
      <c r="L2387" t="s">
        <v>22</v>
      </c>
      <c r="M2387">
        <v>10500.130000000001</v>
      </c>
      <c r="N2387">
        <v>2020</v>
      </c>
      <c r="O2387">
        <v>6</v>
      </c>
    </row>
    <row r="2388" spans="1:15" x14ac:dyDescent="0.3">
      <c r="A2388" s="1">
        <v>43994</v>
      </c>
      <c r="B2388">
        <v>1000014273</v>
      </c>
      <c r="C2388" t="s">
        <v>15</v>
      </c>
      <c r="D2388">
        <v>2</v>
      </c>
      <c r="E2388">
        <v>20999.980000000003</v>
      </c>
      <c r="F2388" t="s">
        <v>16</v>
      </c>
      <c r="G2388" t="s">
        <v>17</v>
      </c>
      <c r="H2388" t="s">
        <v>18</v>
      </c>
      <c r="I2388" t="s">
        <v>19</v>
      </c>
      <c r="J2388" t="s">
        <v>20</v>
      </c>
      <c r="K2388" t="s">
        <v>21</v>
      </c>
      <c r="L2388" t="s">
        <v>22</v>
      </c>
      <c r="M2388">
        <v>10499.990000000002</v>
      </c>
      <c r="N2388">
        <v>2020</v>
      </c>
      <c r="O2388">
        <v>6</v>
      </c>
    </row>
    <row r="2389" spans="1:15" x14ac:dyDescent="0.3">
      <c r="A2389" s="1">
        <v>43994</v>
      </c>
      <c r="B2389">
        <v>1000014291</v>
      </c>
      <c r="C2389" t="s">
        <v>15</v>
      </c>
      <c r="D2389">
        <v>4</v>
      </c>
      <c r="E2389">
        <v>54001.88</v>
      </c>
      <c r="F2389" t="s">
        <v>16</v>
      </c>
      <c r="G2389" t="s">
        <v>17</v>
      </c>
      <c r="H2389" t="s">
        <v>47</v>
      </c>
      <c r="I2389" t="s">
        <v>48</v>
      </c>
      <c r="J2389" t="s">
        <v>20</v>
      </c>
      <c r="K2389" t="s">
        <v>67</v>
      </c>
      <c r="L2389" t="s">
        <v>28</v>
      </c>
      <c r="M2389">
        <v>13500.47</v>
      </c>
      <c r="N2389">
        <v>2020</v>
      </c>
      <c r="O2389">
        <v>6</v>
      </c>
    </row>
    <row r="2390" spans="1:15" x14ac:dyDescent="0.3">
      <c r="A2390" s="1">
        <v>43994</v>
      </c>
      <c r="B2390">
        <v>1000014530</v>
      </c>
      <c r="C2390" t="s">
        <v>15</v>
      </c>
      <c r="D2390">
        <v>1</v>
      </c>
      <c r="E2390">
        <v>11000.71</v>
      </c>
      <c r="F2390" t="s">
        <v>16</v>
      </c>
      <c r="G2390" t="s">
        <v>17</v>
      </c>
      <c r="H2390" t="s">
        <v>47</v>
      </c>
      <c r="I2390" t="s">
        <v>65</v>
      </c>
      <c r="J2390" t="s">
        <v>26</v>
      </c>
      <c r="K2390" t="s">
        <v>66</v>
      </c>
      <c r="L2390" t="s">
        <v>22</v>
      </c>
      <c r="M2390">
        <v>11000.71</v>
      </c>
      <c r="N2390">
        <v>2020</v>
      </c>
      <c r="O2390">
        <v>6</v>
      </c>
    </row>
    <row r="2391" spans="1:15" x14ac:dyDescent="0.3">
      <c r="A2391" s="1">
        <v>43995</v>
      </c>
      <c r="B2391">
        <v>1000000028</v>
      </c>
      <c r="C2391" t="s">
        <v>15</v>
      </c>
      <c r="D2391">
        <v>1</v>
      </c>
      <c r="E2391">
        <v>8000.71</v>
      </c>
      <c r="F2391" t="s">
        <v>16</v>
      </c>
      <c r="G2391" t="s">
        <v>17</v>
      </c>
      <c r="H2391" t="s">
        <v>18</v>
      </c>
      <c r="I2391" t="s">
        <v>19</v>
      </c>
      <c r="J2391" t="s">
        <v>20</v>
      </c>
      <c r="K2391" t="s">
        <v>21</v>
      </c>
      <c r="L2391" t="s">
        <v>22</v>
      </c>
      <c r="M2391">
        <v>8000.71</v>
      </c>
      <c r="N2391">
        <v>2020</v>
      </c>
      <c r="O2391">
        <v>6</v>
      </c>
    </row>
    <row r="2392" spans="1:15" x14ac:dyDescent="0.3">
      <c r="A2392" s="1">
        <v>43995</v>
      </c>
      <c r="B2392">
        <v>1000000029</v>
      </c>
      <c r="C2392" t="s">
        <v>23</v>
      </c>
      <c r="D2392">
        <v>1</v>
      </c>
      <c r="E2392">
        <v>1613.05</v>
      </c>
      <c r="F2392" t="s">
        <v>16</v>
      </c>
      <c r="G2392" t="s">
        <v>24</v>
      </c>
      <c r="H2392" t="s">
        <v>18</v>
      </c>
      <c r="I2392" t="s">
        <v>19</v>
      </c>
      <c r="J2392" t="s">
        <v>20</v>
      </c>
      <c r="K2392" t="s">
        <v>21</v>
      </c>
      <c r="L2392" t="s">
        <v>22</v>
      </c>
      <c r="M2392">
        <v>1613.05</v>
      </c>
      <c r="N2392">
        <v>2020</v>
      </c>
      <c r="O2392">
        <v>6</v>
      </c>
    </row>
    <row r="2393" spans="1:15" x14ac:dyDescent="0.3">
      <c r="A2393" s="1">
        <v>43995</v>
      </c>
      <c r="B2393">
        <v>1000000029</v>
      </c>
      <c r="C2393" t="s">
        <v>15</v>
      </c>
      <c r="D2393">
        <v>2</v>
      </c>
      <c r="E2393">
        <v>14500.8</v>
      </c>
      <c r="F2393" t="s">
        <v>16</v>
      </c>
      <c r="G2393" t="s">
        <v>17</v>
      </c>
      <c r="H2393" t="s">
        <v>18</v>
      </c>
      <c r="I2393" t="s">
        <v>19</v>
      </c>
      <c r="J2393" t="s">
        <v>20</v>
      </c>
      <c r="K2393" t="s">
        <v>21</v>
      </c>
      <c r="L2393" t="s">
        <v>22</v>
      </c>
      <c r="M2393">
        <v>7250.4</v>
      </c>
      <c r="N2393">
        <v>2020</v>
      </c>
      <c r="O2393">
        <v>6</v>
      </c>
    </row>
    <row r="2394" spans="1:15" x14ac:dyDescent="0.3">
      <c r="A2394" s="1">
        <v>43995</v>
      </c>
      <c r="B2394">
        <v>1000000030</v>
      </c>
      <c r="C2394" t="s">
        <v>23</v>
      </c>
      <c r="D2394">
        <v>2</v>
      </c>
      <c r="E2394">
        <v>30000.550000000003</v>
      </c>
      <c r="F2394" t="s">
        <v>16</v>
      </c>
      <c r="G2394" t="s">
        <v>24</v>
      </c>
      <c r="H2394" t="s">
        <v>47</v>
      </c>
      <c r="I2394" t="s">
        <v>48</v>
      </c>
      <c r="J2394" t="s">
        <v>36</v>
      </c>
      <c r="K2394" t="s">
        <v>49</v>
      </c>
      <c r="L2394" t="s">
        <v>22</v>
      </c>
      <c r="M2394">
        <v>15000.275000000001</v>
      </c>
      <c r="N2394">
        <v>2020</v>
      </c>
      <c r="O2394">
        <v>6</v>
      </c>
    </row>
    <row r="2395" spans="1:15" x14ac:dyDescent="0.3">
      <c r="A2395" s="1">
        <v>43995</v>
      </c>
      <c r="B2395">
        <v>1000000030</v>
      </c>
      <c r="C2395" t="s">
        <v>42</v>
      </c>
      <c r="D2395">
        <v>1</v>
      </c>
      <c r="E2395">
        <v>12000.49</v>
      </c>
      <c r="F2395" t="s">
        <v>16</v>
      </c>
      <c r="G2395" t="s">
        <v>43</v>
      </c>
      <c r="H2395" t="s">
        <v>47</v>
      </c>
      <c r="I2395" t="s">
        <v>48</v>
      </c>
      <c r="J2395" t="s">
        <v>36</v>
      </c>
      <c r="K2395" t="s">
        <v>49</v>
      </c>
      <c r="L2395" t="s">
        <v>22</v>
      </c>
      <c r="M2395">
        <v>12000.49</v>
      </c>
      <c r="N2395">
        <v>2020</v>
      </c>
      <c r="O2395">
        <v>6</v>
      </c>
    </row>
    <row r="2396" spans="1:15" x14ac:dyDescent="0.3">
      <c r="A2396" s="1">
        <v>43995</v>
      </c>
      <c r="B2396">
        <v>1000000031</v>
      </c>
      <c r="C2396" t="s">
        <v>23</v>
      </c>
      <c r="D2396">
        <v>2</v>
      </c>
      <c r="E2396">
        <v>29999.95</v>
      </c>
      <c r="F2396" t="s">
        <v>16</v>
      </c>
      <c r="G2396" t="s">
        <v>24</v>
      </c>
      <c r="H2396" t="s">
        <v>18</v>
      </c>
      <c r="I2396" t="s">
        <v>19</v>
      </c>
      <c r="J2396" t="s">
        <v>26</v>
      </c>
      <c r="K2396" t="s">
        <v>29</v>
      </c>
      <c r="L2396" t="s">
        <v>28</v>
      </c>
      <c r="M2396">
        <v>14999.975</v>
      </c>
      <c r="N2396">
        <v>2020</v>
      </c>
      <c r="O2396">
        <v>6</v>
      </c>
    </row>
    <row r="2397" spans="1:15" x14ac:dyDescent="0.3">
      <c r="A2397" s="1">
        <v>43995</v>
      </c>
      <c r="B2397">
        <v>1000000031</v>
      </c>
      <c r="C2397" t="s">
        <v>15</v>
      </c>
      <c r="D2397">
        <v>1</v>
      </c>
      <c r="E2397">
        <v>900.24</v>
      </c>
      <c r="F2397" t="s">
        <v>16</v>
      </c>
      <c r="G2397" t="s">
        <v>17</v>
      </c>
      <c r="H2397" t="s">
        <v>18</v>
      </c>
      <c r="I2397" t="s">
        <v>19</v>
      </c>
      <c r="J2397" t="s">
        <v>26</v>
      </c>
      <c r="K2397" t="s">
        <v>29</v>
      </c>
      <c r="L2397" t="s">
        <v>28</v>
      </c>
      <c r="M2397">
        <v>900.24</v>
      </c>
      <c r="N2397">
        <v>2020</v>
      </c>
      <c r="O2397">
        <v>6</v>
      </c>
    </row>
    <row r="2398" spans="1:15" x14ac:dyDescent="0.3">
      <c r="A2398" s="1">
        <v>43995</v>
      </c>
      <c r="B2398">
        <v>1000000032</v>
      </c>
      <c r="C2398" t="s">
        <v>15</v>
      </c>
      <c r="D2398">
        <v>1</v>
      </c>
      <c r="E2398">
        <v>25000.36</v>
      </c>
      <c r="F2398" t="s">
        <v>16</v>
      </c>
      <c r="G2398" t="s">
        <v>17</v>
      </c>
      <c r="H2398" t="s">
        <v>18</v>
      </c>
      <c r="I2398" t="s">
        <v>25</v>
      </c>
      <c r="J2398" t="s">
        <v>26</v>
      </c>
      <c r="K2398" t="s">
        <v>27</v>
      </c>
      <c r="L2398" t="s">
        <v>28</v>
      </c>
      <c r="M2398">
        <v>25000.36</v>
      </c>
      <c r="N2398">
        <v>2020</v>
      </c>
      <c r="O2398">
        <v>6</v>
      </c>
    </row>
    <row r="2399" spans="1:15" x14ac:dyDescent="0.3">
      <c r="A2399" s="1">
        <v>43995</v>
      </c>
      <c r="B2399">
        <v>1000000033</v>
      </c>
      <c r="C2399" t="s">
        <v>15</v>
      </c>
      <c r="D2399">
        <v>1</v>
      </c>
      <c r="E2399">
        <v>18000.45</v>
      </c>
      <c r="F2399" t="s">
        <v>16</v>
      </c>
      <c r="G2399" t="s">
        <v>17</v>
      </c>
      <c r="H2399" t="s">
        <v>18</v>
      </c>
      <c r="I2399" t="s">
        <v>25</v>
      </c>
      <c r="J2399" t="s">
        <v>26</v>
      </c>
      <c r="K2399" t="s">
        <v>27</v>
      </c>
      <c r="L2399" t="s">
        <v>22</v>
      </c>
      <c r="M2399">
        <v>18000.45</v>
      </c>
      <c r="N2399">
        <v>2020</v>
      </c>
      <c r="O2399">
        <v>6</v>
      </c>
    </row>
    <row r="2400" spans="1:15" x14ac:dyDescent="0.3">
      <c r="A2400" s="1">
        <v>43995</v>
      </c>
      <c r="B2400">
        <v>1000000033</v>
      </c>
      <c r="C2400" t="s">
        <v>42</v>
      </c>
      <c r="D2400">
        <v>2</v>
      </c>
      <c r="E2400">
        <v>3021.23</v>
      </c>
      <c r="F2400" t="s">
        <v>16</v>
      </c>
      <c r="G2400" t="s">
        <v>43</v>
      </c>
      <c r="H2400" t="s">
        <v>18</v>
      </c>
      <c r="I2400" t="s">
        <v>25</v>
      </c>
      <c r="J2400" t="s">
        <v>26</v>
      </c>
      <c r="K2400" t="s">
        <v>27</v>
      </c>
      <c r="L2400" t="s">
        <v>22</v>
      </c>
      <c r="M2400">
        <v>1510.615</v>
      </c>
      <c r="N2400">
        <v>2020</v>
      </c>
      <c r="O2400">
        <v>6</v>
      </c>
    </row>
    <row r="2401" spans="1:15" x14ac:dyDescent="0.3">
      <c r="A2401" s="1">
        <v>43995</v>
      </c>
      <c r="B2401">
        <v>1000000034</v>
      </c>
      <c r="C2401" t="s">
        <v>23</v>
      </c>
      <c r="D2401">
        <v>2</v>
      </c>
      <c r="E2401">
        <v>4500.7700000000004</v>
      </c>
      <c r="F2401" t="s">
        <v>16</v>
      </c>
      <c r="G2401" t="s">
        <v>24</v>
      </c>
      <c r="H2401" t="s">
        <v>18</v>
      </c>
      <c r="I2401" t="s">
        <v>25</v>
      </c>
      <c r="J2401" t="s">
        <v>26</v>
      </c>
      <c r="K2401" t="s">
        <v>27</v>
      </c>
      <c r="L2401" t="s">
        <v>22</v>
      </c>
      <c r="M2401">
        <v>2250.3850000000002</v>
      </c>
      <c r="N2401">
        <v>2020</v>
      </c>
      <c r="O2401">
        <v>6</v>
      </c>
    </row>
    <row r="2402" spans="1:15" x14ac:dyDescent="0.3">
      <c r="A2402" s="1">
        <v>43995</v>
      </c>
      <c r="B2402">
        <v>1000000036</v>
      </c>
      <c r="C2402" t="s">
        <v>42</v>
      </c>
      <c r="D2402">
        <v>1</v>
      </c>
      <c r="E2402">
        <v>11000.53</v>
      </c>
      <c r="F2402" t="s">
        <v>16</v>
      </c>
      <c r="G2402" t="s">
        <v>43</v>
      </c>
      <c r="H2402" t="s">
        <v>47</v>
      </c>
      <c r="I2402" t="s">
        <v>48</v>
      </c>
      <c r="J2402" t="s">
        <v>36</v>
      </c>
      <c r="K2402" t="s">
        <v>49</v>
      </c>
      <c r="L2402" t="s">
        <v>28</v>
      </c>
      <c r="M2402">
        <v>11000.53</v>
      </c>
      <c r="N2402">
        <v>2020</v>
      </c>
      <c r="O2402">
        <v>6</v>
      </c>
    </row>
    <row r="2403" spans="1:15" x14ac:dyDescent="0.3">
      <c r="A2403" s="1">
        <v>43995</v>
      </c>
      <c r="B2403">
        <v>1000000037</v>
      </c>
      <c r="C2403" t="s">
        <v>23</v>
      </c>
      <c r="D2403">
        <v>1</v>
      </c>
      <c r="E2403">
        <v>2000.47</v>
      </c>
      <c r="F2403" t="s">
        <v>16</v>
      </c>
      <c r="G2403" t="s">
        <v>24</v>
      </c>
      <c r="H2403" t="s">
        <v>18</v>
      </c>
      <c r="I2403" t="s">
        <v>19</v>
      </c>
      <c r="J2403" t="s">
        <v>20</v>
      </c>
      <c r="K2403" t="s">
        <v>21</v>
      </c>
      <c r="L2403" t="s">
        <v>22</v>
      </c>
      <c r="M2403">
        <v>2000.47</v>
      </c>
      <c r="N2403">
        <v>2020</v>
      </c>
      <c r="O2403">
        <v>6</v>
      </c>
    </row>
    <row r="2404" spans="1:15" x14ac:dyDescent="0.3">
      <c r="A2404" s="1">
        <v>43995</v>
      </c>
      <c r="B2404">
        <v>1000000039</v>
      </c>
      <c r="C2404" t="s">
        <v>23</v>
      </c>
      <c r="D2404">
        <v>1</v>
      </c>
      <c r="E2404">
        <v>7000.27</v>
      </c>
      <c r="F2404" t="s">
        <v>16</v>
      </c>
      <c r="G2404" t="s">
        <v>24</v>
      </c>
      <c r="H2404" t="s">
        <v>18</v>
      </c>
      <c r="I2404" t="s">
        <v>25</v>
      </c>
      <c r="J2404" t="s">
        <v>20</v>
      </c>
      <c r="K2404" t="s">
        <v>51</v>
      </c>
      <c r="L2404" t="s">
        <v>28</v>
      </c>
      <c r="M2404">
        <v>7000.27</v>
      </c>
      <c r="N2404">
        <v>2020</v>
      </c>
      <c r="O2404">
        <v>6</v>
      </c>
    </row>
    <row r="2405" spans="1:15" x14ac:dyDescent="0.3">
      <c r="A2405" s="1">
        <v>43995</v>
      </c>
      <c r="B2405">
        <v>1000000039</v>
      </c>
      <c r="C2405" t="s">
        <v>42</v>
      </c>
      <c r="D2405">
        <v>1</v>
      </c>
      <c r="E2405">
        <v>7000.48</v>
      </c>
      <c r="F2405" t="s">
        <v>16</v>
      </c>
      <c r="G2405" t="s">
        <v>43</v>
      </c>
      <c r="H2405" t="s">
        <v>18</v>
      </c>
      <c r="I2405" t="s">
        <v>25</v>
      </c>
      <c r="J2405" t="s">
        <v>20</v>
      </c>
      <c r="K2405" t="s">
        <v>51</v>
      </c>
      <c r="L2405" t="s">
        <v>28</v>
      </c>
      <c r="M2405">
        <v>7000.48</v>
      </c>
      <c r="N2405">
        <v>2020</v>
      </c>
      <c r="O2405">
        <v>6</v>
      </c>
    </row>
    <row r="2406" spans="1:15" x14ac:dyDescent="0.3">
      <c r="A2406" s="1">
        <v>43995</v>
      </c>
      <c r="B2406">
        <v>1000000040</v>
      </c>
      <c r="C2406" t="s">
        <v>23</v>
      </c>
      <c r="D2406">
        <v>1</v>
      </c>
      <c r="E2406">
        <v>15000.29</v>
      </c>
      <c r="F2406" t="s">
        <v>16</v>
      </c>
      <c r="G2406" t="s">
        <v>24</v>
      </c>
      <c r="H2406" t="s">
        <v>30</v>
      </c>
      <c r="I2406" t="s">
        <v>31</v>
      </c>
      <c r="J2406" t="s">
        <v>32</v>
      </c>
      <c r="K2406" t="s">
        <v>33</v>
      </c>
      <c r="L2406" t="s">
        <v>28</v>
      </c>
      <c r="M2406">
        <v>15000.29</v>
      </c>
      <c r="N2406">
        <v>2020</v>
      </c>
      <c r="O2406">
        <v>6</v>
      </c>
    </row>
    <row r="2407" spans="1:15" x14ac:dyDescent="0.3">
      <c r="A2407" s="1">
        <v>43995</v>
      </c>
      <c r="B2407">
        <v>1000000041</v>
      </c>
      <c r="C2407" t="s">
        <v>23</v>
      </c>
      <c r="D2407">
        <v>2</v>
      </c>
      <c r="E2407">
        <v>42000.66</v>
      </c>
      <c r="F2407" t="s">
        <v>16</v>
      </c>
      <c r="G2407" t="s">
        <v>24</v>
      </c>
      <c r="H2407" t="s">
        <v>30</v>
      </c>
      <c r="I2407" t="s">
        <v>31</v>
      </c>
      <c r="J2407" t="s">
        <v>32</v>
      </c>
      <c r="K2407" t="s">
        <v>33</v>
      </c>
      <c r="L2407" t="s">
        <v>22</v>
      </c>
      <c r="M2407">
        <v>21000.33</v>
      </c>
      <c r="N2407">
        <v>2020</v>
      </c>
      <c r="O2407">
        <v>6</v>
      </c>
    </row>
    <row r="2408" spans="1:15" x14ac:dyDescent="0.3">
      <c r="A2408" s="1">
        <v>43995</v>
      </c>
      <c r="B2408">
        <v>1000000044</v>
      </c>
      <c r="C2408" t="s">
        <v>23</v>
      </c>
      <c r="D2408">
        <v>1</v>
      </c>
      <c r="E2408">
        <v>5000.4399999999996</v>
      </c>
      <c r="F2408" t="s">
        <v>16</v>
      </c>
      <c r="G2408" t="s">
        <v>24</v>
      </c>
      <c r="H2408" t="s">
        <v>30</v>
      </c>
      <c r="I2408" t="s">
        <v>31</v>
      </c>
      <c r="J2408" t="s">
        <v>36</v>
      </c>
      <c r="K2408" t="s">
        <v>52</v>
      </c>
      <c r="L2408" t="s">
        <v>28</v>
      </c>
      <c r="M2408">
        <v>5000.4399999999996</v>
      </c>
      <c r="N2408">
        <v>2020</v>
      </c>
      <c r="O2408">
        <v>6</v>
      </c>
    </row>
    <row r="2409" spans="1:15" x14ac:dyDescent="0.3">
      <c r="A2409" s="1">
        <v>43995</v>
      </c>
      <c r="B2409">
        <v>1000000044</v>
      </c>
      <c r="C2409" t="s">
        <v>15</v>
      </c>
      <c r="D2409">
        <v>2</v>
      </c>
      <c r="E2409">
        <v>19000.54</v>
      </c>
      <c r="F2409" t="s">
        <v>16</v>
      </c>
      <c r="G2409" t="s">
        <v>17</v>
      </c>
      <c r="H2409" t="s">
        <v>30</v>
      </c>
      <c r="I2409" t="s">
        <v>31</v>
      </c>
      <c r="J2409" t="s">
        <v>36</v>
      </c>
      <c r="K2409" t="s">
        <v>52</v>
      </c>
      <c r="L2409" t="s">
        <v>28</v>
      </c>
      <c r="M2409">
        <v>9500.27</v>
      </c>
      <c r="N2409">
        <v>2020</v>
      </c>
      <c r="O2409">
        <v>6</v>
      </c>
    </row>
    <row r="2410" spans="1:15" x14ac:dyDescent="0.3">
      <c r="A2410" s="1">
        <v>43995</v>
      </c>
      <c r="B2410">
        <v>1000000045</v>
      </c>
      <c r="C2410" t="s">
        <v>23</v>
      </c>
      <c r="D2410">
        <v>3</v>
      </c>
      <c r="E2410">
        <v>39001.370000000003</v>
      </c>
      <c r="F2410" t="s">
        <v>16</v>
      </c>
      <c r="G2410" t="s">
        <v>24</v>
      </c>
      <c r="H2410" t="s">
        <v>47</v>
      </c>
      <c r="I2410" t="s">
        <v>59</v>
      </c>
      <c r="J2410" t="s">
        <v>26</v>
      </c>
      <c r="K2410" t="s">
        <v>60</v>
      </c>
      <c r="L2410" t="s">
        <v>22</v>
      </c>
      <c r="M2410">
        <v>13000.456666666667</v>
      </c>
      <c r="N2410">
        <v>2020</v>
      </c>
      <c r="O2410">
        <v>6</v>
      </c>
    </row>
    <row r="2411" spans="1:15" x14ac:dyDescent="0.3">
      <c r="A2411" s="1">
        <v>43995</v>
      </c>
      <c r="B2411">
        <v>1000000046</v>
      </c>
      <c r="C2411" t="s">
        <v>23</v>
      </c>
      <c r="D2411">
        <v>1</v>
      </c>
      <c r="E2411">
        <v>13000.49</v>
      </c>
      <c r="F2411" t="s">
        <v>16</v>
      </c>
      <c r="G2411" t="s">
        <v>24</v>
      </c>
      <c r="H2411" t="s">
        <v>30</v>
      </c>
      <c r="I2411" t="s">
        <v>38</v>
      </c>
      <c r="J2411" t="s">
        <v>26</v>
      </c>
      <c r="K2411" t="s">
        <v>39</v>
      </c>
      <c r="L2411" t="s">
        <v>22</v>
      </c>
      <c r="M2411">
        <v>13000.49</v>
      </c>
      <c r="N2411">
        <v>2020</v>
      </c>
      <c r="O2411">
        <v>6</v>
      </c>
    </row>
    <row r="2412" spans="1:15" x14ac:dyDescent="0.3">
      <c r="A2412" s="1">
        <v>43995</v>
      </c>
      <c r="B2412">
        <v>1000000046</v>
      </c>
      <c r="C2412" t="s">
        <v>15</v>
      </c>
      <c r="D2412">
        <v>1</v>
      </c>
      <c r="E2412">
        <v>3000</v>
      </c>
      <c r="F2412" t="s">
        <v>16</v>
      </c>
      <c r="G2412" t="s">
        <v>17</v>
      </c>
      <c r="H2412" t="s">
        <v>30</v>
      </c>
      <c r="I2412" t="s">
        <v>38</v>
      </c>
      <c r="J2412" t="s">
        <v>26</v>
      </c>
      <c r="K2412" t="s">
        <v>39</v>
      </c>
      <c r="L2412" t="s">
        <v>22</v>
      </c>
      <c r="M2412">
        <v>3000</v>
      </c>
      <c r="N2412">
        <v>2020</v>
      </c>
      <c r="O2412">
        <v>6</v>
      </c>
    </row>
    <row r="2413" spans="1:15" x14ac:dyDescent="0.3">
      <c r="A2413" s="1">
        <v>43995</v>
      </c>
      <c r="B2413">
        <v>1000000049</v>
      </c>
      <c r="C2413" t="s">
        <v>23</v>
      </c>
      <c r="D2413">
        <v>1</v>
      </c>
      <c r="E2413">
        <v>1950.04</v>
      </c>
      <c r="F2413" t="s">
        <v>16</v>
      </c>
      <c r="G2413" t="s">
        <v>24</v>
      </c>
      <c r="H2413" t="s">
        <v>18</v>
      </c>
      <c r="I2413" t="s">
        <v>40</v>
      </c>
      <c r="J2413" t="s">
        <v>26</v>
      </c>
      <c r="K2413" t="s">
        <v>41</v>
      </c>
      <c r="L2413" t="s">
        <v>22</v>
      </c>
      <c r="M2413">
        <v>1950.04</v>
      </c>
      <c r="N2413">
        <v>2020</v>
      </c>
      <c r="O2413">
        <v>6</v>
      </c>
    </row>
    <row r="2414" spans="1:15" x14ac:dyDescent="0.3">
      <c r="A2414" s="1">
        <v>43995</v>
      </c>
      <c r="B2414">
        <v>1000000050</v>
      </c>
      <c r="C2414" t="s">
        <v>15</v>
      </c>
      <c r="D2414">
        <v>3</v>
      </c>
      <c r="E2414">
        <v>49000.09</v>
      </c>
      <c r="F2414" t="s">
        <v>16</v>
      </c>
      <c r="G2414" t="s">
        <v>17</v>
      </c>
      <c r="H2414" t="s">
        <v>18</v>
      </c>
      <c r="I2414" t="s">
        <v>40</v>
      </c>
      <c r="J2414" t="s">
        <v>26</v>
      </c>
      <c r="K2414" t="s">
        <v>41</v>
      </c>
      <c r="L2414" t="s">
        <v>22</v>
      </c>
      <c r="M2414">
        <v>16333.363333333333</v>
      </c>
      <c r="N2414">
        <v>2020</v>
      </c>
      <c r="O2414">
        <v>6</v>
      </c>
    </row>
    <row r="2415" spans="1:15" x14ac:dyDescent="0.3">
      <c r="A2415" s="1">
        <v>43995</v>
      </c>
      <c r="B2415">
        <v>1000000052</v>
      </c>
      <c r="C2415" t="s">
        <v>42</v>
      </c>
      <c r="D2415">
        <v>1</v>
      </c>
      <c r="E2415">
        <v>1700.05</v>
      </c>
      <c r="F2415" t="s">
        <v>16</v>
      </c>
      <c r="G2415" t="s">
        <v>43</v>
      </c>
      <c r="H2415" t="s">
        <v>18</v>
      </c>
      <c r="I2415" t="s">
        <v>34</v>
      </c>
      <c r="J2415" t="s">
        <v>20</v>
      </c>
      <c r="K2415" t="s">
        <v>44</v>
      </c>
      <c r="L2415" t="s">
        <v>22</v>
      </c>
      <c r="M2415">
        <v>1700.05</v>
      </c>
      <c r="N2415">
        <v>2020</v>
      </c>
      <c r="O2415">
        <v>6</v>
      </c>
    </row>
    <row r="2416" spans="1:15" x14ac:dyDescent="0.3">
      <c r="A2416" s="1">
        <v>43995</v>
      </c>
      <c r="B2416">
        <v>1000000054</v>
      </c>
      <c r="C2416" t="s">
        <v>23</v>
      </c>
      <c r="D2416">
        <v>1</v>
      </c>
      <c r="E2416">
        <v>14000.2</v>
      </c>
      <c r="F2416" t="s">
        <v>16</v>
      </c>
      <c r="G2416" t="s">
        <v>24</v>
      </c>
      <c r="H2416" t="s">
        <v>18</v>
      </c>
      <c r="I2416" t="s">
        <v>34</v>
      </c>
      <c r="J2416" t="s">
        <v>26</v>
      </c>
      <c r="K2416" t="s">
        <v>35</v>
      </c>
      <c r="L2416" t="s">
        <v>22</v>
      </c>
      <c r="M2416">
        <v>14000.2</v>
      </c>
      <c r="N2416">
        <v>2020</v>
      </c>
      <c r="O2416">
        <v>6</v>
      </c>
    </row>
    <row r="2417" spans="1:15" x14ac:dyDescent="0.3">
      <c r="A2417" s="1">
        <v>43995</v>
      </c>
      <c r="B2417">
        <v>1000000054</v>
      </c>
      <c r="C2417" t="s">
        <v>42</v>
      </c>
      <c r="D2417">
        <v>1</v>
      </c>
      <c r="E2417">
        <v>15199.94</v>
      </c>
      <c r="F2417" t="s">
        <v>16</v>
      </c>
      <c r="G2417" t="s">
        <v>43</v>
      </c>
      <c r="H2417" t="s">
        <v>18</v>
      </c>
      <c r="I2417" t="s">
        <v>34</v>
      </c>
      <c r="J2417" t="s">
        <v>26</v>
      </c>
      <c r="K2417" t="s">
        <v>35</v>
      </c>
      <c r="L2417" t="s">
        <v>22</v>
      </c>
      <c r="M2417">
        <v>15199.94</v>
      </c>
      <c r="N2417">
        <v>2020</v>
      </c>
      <c r="O2417">
        <v>6</v>
      </c>
    </row>
    <row r="2418" spans="1:15" x14ac:dyDescent="0.3">
      <c r="A2418" s="1">
        <v>43995</v>
      </c>
      <c r="B2418">
        <v>1000000056</v>
      </c>
      <c r="C2418" t="s">
        <v>23</v>
      </c>
      <c r="D2418">
        <v>2</v>
      </c>
      <c r="E2418">
        <v>22000.82</v>
      </c>
      <c r="F2418" t="s">
        <v>16</v>
      </c>
      <c r="G2418" t="s">
        <v>24</v>
      </c>
      <c r="H2418" t="s">
        <v>18</v>
      </c>
      <c r="I2418" t="s">
        <v>34</v>
      </c>
      <c r="J2418" t="s">
        <v>26</v>
      </c>
      <c r="K2418" t="s">
        <v>35</v>
      </c>
      <c r="L2418" t="s">
        <v>28</v>
      </c>
      <c r="M2418">
        <v>11000.41</v>
      </c>
      <c r="N2418">
        <v>2020</v>
      </c>
      <c r="O2418">
        <v>6</v>
      </c>
    </row>
    <row r="2419" spans="1:15" x14ac:dyDescent="0.3">
      <c r="A2419" s="1">
        <v>43995</v>
      </c>
      <c r="B2419">
        <v>1000000067</v>
      </c>
      <c r="C2419" t="s">
        <v>42</v>
      </c>
      <c r="D2419">
        <v>2</v>
      </c>
      <c r="E2419">
        <v>10660.85</v>
      </c>
      <c r="F2419" t="s">
        <v>16</v>
      </c>
      <c r="G2419" t="s">
        <v>43</v>
      </c>
      <c r="H2419" t="s">
        <v>18</v>
      </c>
      <c r="I2419" t="s">
        <v>25</v>
      </c>
      <c r="J2419" t="s">
        <v>20</v>
      </c>
      <c r="K2419" t="s">
        <v>51</v>
      </c>
      <c r="L2419" t="s">
        <v>22</v>
      </c>
      <c r="M2419">
        <v>5330.4250000000002</v>
      </c>
      <c r="N2419">
        <v>2020</v>
      </c>
      <c r="O2419">
        <v>6</v>
      </c>
    </row>
    <row r="2420" spans="1:15" x14ac:dyDescent="0.3">
      <c r="A2420" s="1">
        <v>43995</v>
      </c>
      <c r="B2420">
        <v>1000000104</v>
      </c>
      <c r="C2420" t="s">
        <v>15</v>
      </c>
      <c r="D2420">
        <v>1</v>
      </c>
      <c r="E2420">
        <v>17000.61</v>
      </c>
      <c r="F2420" t="s">
        <v>16</v>
      </c>
      <c r="G2420" t="s">
        <v>17</v>
      </c>
      <c r="H2420" t="s">
        <v>18</v>
      </c>
      <c r="I2420" t="s">
        <v>40</v>
      </c>
      <c r="J2420" t="s">
        <v>26</v>
      </c>
      <c r="K2420" t="s">
        <v>41</v>
      </c>
      <c r="L2420" t="s">
        <v>22</v>
      </c>
      <c r="M2420">
        <v>17000.61</v>
      </c>
      <c r="N2420">
        <v>2020</v>
      </c>
      <c r="O2420">
        <v>6</v>
      </c>
    </row>
    <row r="2421" spans="1:15" x14ac:dyDescent="0.3">
      <c r="A2421" s="1">
        <v>43995</v>
      </c>
      <c r="B2421">
        <v>1000000566</v>
      </c>
      <c r="C2421" t="s">
        <v>23</v>
      </c>
      <c r="D2421">
        <v>1</v>
      </c>
      <c r="E2421">
        <v>5500.76</v>
      </c>
      <c r="F2421" t="s">
        <v>16</v>
      </c>
      <c r="G2421" t="s">
        <v>24</v>
      </c>
      <c r="H2421" t="s">
        <v>47</v>
      </c>
      <c r="I2421" t="s">
        <v>48</v>
      </c>
      <c r="J2421" t="s">
        <v>36</v>
      </c>
      <c r="K2421" t="s">
        <v>49</v>
      </c>
      <c r="L2421" t="s">
        <v>22</v>
      </c>
      <c r="M2421">
        <v>5500.76</v>
      </c>
      <c r="N2421">
        <v>2020</v>
      </c>
      <c r="O2421">
        <v>6</v>
      </c>
    </row>
    <row r="2422" spans="1:15" x14ac:dyDescent="0.3">
      <c r="A2422" s="1">
        <v>43995</v>
      </c>
      <c r="B2422">
        <v>1000000566</v>
      </c>
      <c r="C2422" t="s">
        <v>15</v>
      </c>
      <c r="D2422">
        <v>1</v>
      </c>
      <c r="E2422">
        <v>16000.24</v>
      </c>
      <c r="F2422" t="s">
        <v>16</v>
      </c>
      <c r="G2422" t="s">
        <v>17</v>
      </c>
      <c r="H2422" t="s">
        <v>47</v>
      </c>
      <c r="I2422" t="s">
        <v>48</v>
      </c>
      <c r="J2422" t="s">
        <v>36</v>
      </c>
      <c r="K2422" t="s">
        <v>49</v>
      </c>
      <c r="L2422" t="s">
        <v>22</v>
      </c>
      <c r="M2422">
        <v>16000.24</v>
      </c>
      <c r="N2422">
        <v>2020</v>
      </c>
      <c r="O2422">
        <v>6</v>
      </c>
    </row>
    <row r="2423" spans="1:15" x14ac:dyDescent="0.3">
      <c r="A2423" s="1">
        <v>43995</v>
      </c>
      <c r="B2423">
        <v>1000000566</v>
      </c>
      <c r="C2423" t="s">
        <v>42</v>
      </c>
      <c r="D2423">
        <v>1</v>
      </c>
      <c r="E2423">
        <v>9000.5400000000009</v>
      </c>
      <c r="F2423" t="s">
        <v>16</v>
      </c>
      <c r="G2423" t="s">
        <v>43</v>
      </c>
      <c r="H2423" t="s">
        <v>47</v>
      </c>
      <c r="I2423" t="s">
        <v>48</v>
      </c>
      <c r="J2423" t="s">
        <v>36</v>
      </c>
      <c r="K2423" t="s">
        <v>49</v>
      </c>
      <c r="L2423" t="s">
        <v>22</v>
      </c>
      <c r="M2423">
        <v>9000.5400000000009</v>
      </c>
      <c r="N2423">
        <v>2020</v>
      </c>
      <c r="O2423">
        <v>6</v>
      </c>
    </row>
    <row r="2424" spans="1:15" x14ac:dyDescent="0.3">
      <c r="A2424" s="1">
        <v>43995</v>
      </c>
      <c r="B2424">
        <v>1000000576</v>
      </c>
      <c r="C2424" t="s">
        <v>23</v>
      </c>
      <c r="D2424">
        <v>1</v>
      </c>
      <c r="E2424">
        <v>6000.28</v>
      </c>
      <c r="F2424" t="s">
        <v>16</v>
      </c>
      <c r="G2424" t="s">
        <v>24</v>
      </c>
      <c r="H2424" t="s">
        <v>18</v>
      </c>
      <c r="I2424" t="s">
        <v>25</v>
      </c>
      <c r="J2424" t="s">
        <v>36</v>
      </c>
      <c r="K2424" t="s">
        <v>37</v>
      </c>
      <c r="L2424" t="s">
        <v>22</v>
      </c>
      <c r="M2424">
        <v>6000.28</v>
      </c>
      <c r="N2424">
        <v>2020</v>
      </c>
      <c r="O2424">
        <v>6</v>
      </c>
    </row>
    <row r="2425" spans="1:15" x14ac:dyDescent="0.3">
      <c r="A2425" s="1">
        <v>43995</v>
      </c>
      <c r="B2425">
        <v>1000000576</v>
      </c>
      <c r="C2425" t="s">
        <v>15</v>
      </c>
      <c r="D2425">
        <v>3</v>
      </c>
      <c r="E2425">
        <v>33501.21</v>
      </c>
      <c r="F2425" t="s">
        <v>16</v>
      </c>
      <c r="G2425" t="s">
        <v>17</v>
      </c>
      <c r="H2425" t="s">
        <v>18</v>
      </c>
      <c r="I2425" t="s">
        <v>25</v>
      </c>
      <c r="J2425" t="s">
        <v>36</v>
      </c>
      <c r="K2425" t="s">
        <v>37</v>
      </c>
      <c r="L2425" t="s">
        <v>22</v>
      </c>
      <c r="M2425">
        <v>11167.07</v>
      </c>
      <c r="N2425">
        <v>2020</v>
      </c>
      <c r="O2425">
        <v>6</v>
      </c>
    </row>
    <row r="2426" spans="1:15" x14ac:dyDescent="0.3">
      <c r="A2426" s="1">
        <v>43995</v>
      </c>
      <c r="B2426">
        <v>1000000581</v>
      </c>
      <c r="C2426" t="s">
        <v>42</v>
      </c>
      <c r="D2426">
        <v>1</v>
      </c>
      <c r="E2426">
        <v>1054.1500000000001</v>
      </c>
      <c r="F2426" t="s">
        <v>16</v>
      </c>
      <c r="G2426" t="s">
        <v>43</v>
      </c>
      <c r="H2426" t="s">
        <v>47</v>
      </c>
      <c r="I2426" t="s">
        <v>48</v>
      </c>
      <c r="J2426" t="s">
        <v>36</v>
      </c>
      <c r="K2426" t="s">
        <v>49</v>
      </c>
      <c r="L2426" t="s">
        <v>22</v>
      </c>
      <c r="M2426">
        <v>1054.1500000000001</v>
      </c>
      <c r="N2426">
        <v>2020</v>
      </c>
      <c r="O2426">
        <v>6</v>
      </c>
    </row>
    <row r="2427" spans="1:15" x14ac:dyDescent="0.3">
      <c r="A2427" s="1">
        <v>43995</v>
      </c>
      <c r="B2427">
        <v>1000000594</v>
      </c>
      <c r="C2427" t="s">
        <v>15</v>
      </c>
      <c r="D2427">
        <v>1</v>
      </c>
      <c r="E2427">
        <v>25000.58</v>
      </c>
      <c r="F2427" t="s">
        <v>16</v>
      </c>
      <c r="G2427" t="s">
        <v>17</v>
      </c>
      <c r="H2427" t="s">
        <v>18</v>
      </c>
      <c r="I2427" t="s">
        <v>25</v>
      </c>
      <c r="J2427" t="s">
        <v>20</v>
      </c>
      <c r="K2427" t="s">
        <v>51</v>
      </c>
      <c r="L2427" t="s">
        <v>22</v>
      </c>
      <c r="M2427">
        <v>25000.58</v>
      </c>
      <c r="N2427">
        <v>2020</v>
      </c>
      <c r="O2427">
        <v>6</v>
      </c>
    </row>
    <row r="2428" spans="1:15" x14ac:dyDescent="0.3">
      <c r="A2428" s="1">
        <v>43995</v>
      </c>
      <c r="B2428">
        <v>1000000928</v>
      </c>
      <c r="C2428" t="s">
        <v>23</v>
      </c>
      <c r="D2428">
        <v>2</v>
      </c>
      <c r="E2428">
        <v>17500.5</v>
      </c>
      <c r="F2428" t="s">
        <v>16</v>
      </c>
      <c r="G2428" t="s">
        <v>24</v>
      </c>
      <c r="H2428" t="s">
        <v>30</v>
      </c>
      <c r="I2428" t="s">
        <v>57</v>
      </c>
      <c r="J2428" t="s">
        <v>26</v>
      </c>
      <c r="K2428" t="s">
        <v>58</v>
      </c>
      <c r="L2428" t="s">
        <v>22</v>
      </c>
      <c r="M2428">
        <v>8750.25</v>
      </c>
      <c r="N2428">
        <v>2020</v>
      </c>
      <c r="O2428">
        <v>6</v>
      </c>
    </row>
    <row r="2429" spans="1:15" x14ac:dyDescent="0.3">
      <c r="A2429" s="1">
        <v>43995</v>
      </c>
      <c r="B2429">
        <v>1000001524</v>
      </c>
      <c r="C2429" t="s">
        <v>15</v>
      </c>
      <c r="D2429">
        <v>1</v>
      </c>
      <c r="E2429">
        <v>7500.73</v>
      </c>
      <c r="F2429" t="s">
        <v>16</v>
      </c>
      <c r="G2429" t="s">
        <v>17</v>
      </c>
      <c r="H2429" t="s">
        <v>18</v>
      </c>
      <c r="I2429" t="s">
        <v>25</v>
      </c>
      <c r="J2429" t="s">
        <v>20</v>
      </c>
      <c r="K2429" t="s">
        <v>51</v>
      </c>
      <c r="L2429" t="s">
        <v>22</v>
      </c>
      <c r="M2429">
        <v>7500.73</v>
      </c>
      <c r="N2429">
        <v>2020</v>
      </c>
      <c r="O2429">
        <v>6</v>
      </c>
    </row>
    <row r="2430" spans="1:15" x14ac:dyDescent="0.3">
      <c r="A2430" s="1">
        <v>43995</v>
      </c>
      <c r="B2430">
        <v>1000002861</v>
      </c>
      <c r="C2430" t="s">
        <v>23</v>
      </c>
      <c r="D2430">
        <v>3</v>
      </c>
      <c r="E2430">
        <v>33501.020000000004</v>
      </c>
      <c r="F2430" t="s">
        <v>16</v>
      </c>
      <c r="G2430" t="s">
        <v>24</v>
      </c>
      <c r="H2430" t="s">
        <v>47</v>
      </c>
      <c r="I2430" t="s">
        <v>48</v>
      </c>
      <c r="J2430" t="s">
        <v>36</v>
      </c>
      <c r="K2430" t="s">
        <v>49</v>
      </c>
      <c r="L2430" t="s">
        <v>22</v>
      </c>
      <c r="M2430">
        <v>11167.006666666668</v>
      </c>
      <c r="N2430">
        <v>2020</v>
      </c>
      <c r="O2430">
        <v>6</v>
      </c>
    </row>
    <row r="2431" spans="1:15" x14ac:dyDescent="0.3">
      <c r="A2431" s="1">
        <v>43995</v>
      </c>
      <c r="B2431">
        <v>1000003489</v>
      </c>
      <c r="C2431" t="s">
        <v>23</v>
      </c>
      <c r="D2431">
        <v>1</v>
      </c>
      <c r="E2431">
        <v>5000.76</v>
      </c>
      <c r="F2431" t="s">
        <v>16</v>
      </c>
      <c r="G2431" t="s">
        <v>24</v>
      </c>
      <c r="H2431" t="s">
        <v>47</v>
      </c>
      <c r="I2431" t="s">
        <v>48</v>
      </c>
      <c r="J2431" t="s">
        <v>26</v>
      </c>
      <c r="K2431" t="s">
        <v>50</v>
      </c>
      <c r="L2431" t="s">
        <v>22</v>
      </c>
      <c r="M2431">
        <v>5000.76</v>
      </c>
      <c r="N2431">
        <v>2020</v>
      </c>
      <c r="O2431">
        <v>6</v>
      </c>
    </row>
    <row r="2432" spans="1:15" x14ac:dyDescent="0.3">
      <c r="A2432" s="1">
        <v>43995</v>
      </c>
      <c r="B2432">
        <v>1000003803</v>
      </c>
      <c r="C2432" t="s">
        <v>15</v>
      </c>
      <c r="D2432">
        <v>1</v>
      </c>
      <c r="E2432">
        <v>6499.98</v>
      </c>
      <c r="F2432" t="s">
        <v>16</v>
      </c>
      <c r="G2432" t="s">
        <v>17</v>
      </c>
      <c r="H2432" t="s">
        <v>30</v>
      </c>
      <c r="I2432" t="s">
        <v>31</v>
      </c>
      <c r="J2432" t="s">
        <v>36</v>
      </c>
      <c r="K2432" t="s">
        <v>52</v>
      </c>
      <c r="L2432" t="s">
        <v>22</v>
      </c>
      <c r="M2432">
        <v>6499.98</v>
      </c>
      <c r="N2432">
        <v>2020</v>
      </c>
      <c r="O2432">
        <v>6</v>
      </c>
    </row>
    <row r="2433" spans="1:15" x14ac:dyDescent="0.3">
      <c r="A2433" s="1">
        <v>43995</v>
      </c>
      <c r="B2433">
        <v>1000003926</v>
      </c>
      <c r="C2433" t="s">
        <v>23</v>
      </c>
      <c r="D2433">
        <v>8</v>
      </c>
      <c r="E2433">
        <v>76217.490000000005</v>
      </c>
      <c r="F2433" t="s">
        <v>16</v>
      </c>
      <c r="G2433" t="s">
        <v>24</v>
      </c>
      <c r="H2433" t="s">
        <v>47</v>
      </c>
      <c r="I2433" t="s">
        <v>48</v>
      </c>
      <c r="J2433" t="s">
        <v>26</v>
      </c>
      <c r="K2433" t="s">
        <v>50</v>
      </c>
      <c r="L2433" t="s">
        <v>28</v>
      </c>
      <c r="M2433">
        <v>9527.1862500000007</v>
      </c>
      <c r="N2433">
        <v>2020</v>
      </c>
      <c r="O2433">
        <v>6</v>
      </c>
    </row>
    <row r="2434" spans="1:15" x14ac:dyDescent="0.3">
      <c r="A2434" s="1">
        <v>43995</v>
      </c>
      <c r="B2434">
        <v>1000004170</v>
      </c>
      <c r="C2434" t="s">
        <v>23</v>
      </c>
      <c r="D2434">
        <v>3</v>
      </c>
      <c r="E2434">
        <v>38000.729999999996</v>
      </c>
      <c r="F2434" t="s">
        <v>16</v>
      </c>
      <c r="G2434" t="s">
        <v>24</v>
      </c>
      <c r="H2434" t="s">
        <v>18</v>
      </c>
      <c r="I2434" t="s">
        <v>34</v>
      </c>
      <c r="J2434" t="s">
        <v>20</v>
      </c>
      <c r="K2434" t="s">
        <v>44</v>
      </c>
      <c r="L2434" t="s">
        <v>28</v>
      </c>
      <c r="M2434">
        <v>12666.909999999998</v>
      </c>
      <c r="N2434">
        <v>2020</v>
      </c>
      <c r="O2434">
        <v>6</v>
      </c>
    </row>
    <row r="2435" spans="1:15" x14ac:dyDescent="0.3">
      <c r="A2435" s="1">
        <v>43995</v>
      </c>
      <c r="B2435">
        <v>1000004170</v>
      </c>
      <c r="C2435" t="s">
        <v>42</v>
      </c>
      <c r="D2435">
        <v>1</v>
      </c>
      <c r="E2435">
        <v>895.62</v>
      </c>
      <c r="F2435" t="s">
        <v>16</v>
      </c>
      <c r="G2435" t="s">
        <v>43</v>
      </c>
      <c r="H2435" t="s">
        <v>18</v>
      </c>
      <c r="I2435" t="s">
        <v>34</v>
      </c>
      <c r="J2435" t="s">
        <v>20</v>
      </c>
      <c r="K2435" t="s">
        <v>44</v>
      </c>
      <c r="L2435" t="s">
        <v>28</v>
      </c>
      <c r="M2435">
        <v>895.62</v>
      </c>
      <c r="N2435">
        <v>2020</v>
      </c>
      <c r="O2435">
        <v>6</v>
      </c>
    </row>
    <row r="2436" spans="1:15" x14ac:dyDescent="0.3">
      <c r="A2436" s="1">
        <v>43995</v>
      </c>
      <c r="B2436">
        <v>1000004256</v>
      </c>
      <c r="C2436" t="s">
        <v>15</v>
      </c>
      <c r="D2436">
        <v>1</v>
      </c>
      <c r="E2436">
        <v>8000.15</v>
      </c>
      <c r="F2436" t="s">
        <v>16</v>
      </c>
      <c r="G2436" t="s">
        <v>17</v>
      </c>
      <c r="H2436" t="s">
        <v>18</v>
      </c>
      <c r="I2436" t="s">
        <v>40</v>
      </c>
      <c r="J2436" t="s">
        <v>26</v>
      </c>
      <c r="K2436" t="s">
        <v>41</v>
      </c>
      <c r="L2436" t="s">
        <v>22</v>
      </c>
      <c r="M2436">
        <v>8000.15</v>
      </c>
      <c r="N2436">
        <v>2020</v>
      </c>
      <c r="O2436">
        <v>6</v>
      </c>
    </row>
    <row r="2437" spans="1:15" x14ac:dyDescent="0.3">
      <c r="A2437" s="1">
        <v>43995</v>
      </c>
      <c r="B2437">
        <v>1000004256</v>
      </c>
      <c r="C2437" t="s">
        <v>42</v>
      </c>
      <c r="D2437">
        <v>2</v>
      </c>
      <c r="E2437">
        <v>7000.88</v>
      </c>
      <c r="F2437" t="s">
        <v>16</v>
      </c>
      <c r="G2437" t="s">
        <v>43</v>
      </c>
      <c r="H2437" t="s">
        <v>18</v>
      </c>
      <c r="I2437" t="s">
        <v>40</v>
      </c>
      <c r="J2437" t="s">
        <v>26</v>
      </c>
      <c r="K2437" t="s">
        <v>41</v>
      </c>
      <c r="L2437" t="s">
        <v>22</v>
      </c>
      <c r="M2437">
        <v>3500.44</v>
      </c>
      <c r="N2437">
        <v>2020</v>
      </c>
      <c r="O2437">
        <v>6</v>
      </c>
    </row>
    <row r="2438" spans="1:15" x14ac:dyDescent="0.3">
      <c r="A2438" s="1">
        <v>43995</v>
      </c>
      <c r="B2438">
        <v>1000005873</v>
      </c>
      <c r="C2438" t="s">
        <v>23</v>
      </c>
      <c r="D2438">
        <v>1</v>
      </c>
      <c r="E2438">
        <v>8000.12</v>
      </c>
      <c r="F2438" t="s">
        <v>16</v>
      </c>
      <c r="G2438" t="s">
        <v>24</v>
      </c>
      <c r="H2438" t="s">
        <v>18</v>
      </c>
      <c r="I2438" t="s">
        <v>19</v>
      </c>
      <c r="J2438" t="s">
        <v>20</v>
      </c>
      <c r="K2438" t="s">
        <v>21</v>
      </c>
      <c r="L2438" t="s">
        <v>28</v>
      </c>
      <c r="M2438">
        <v>8000.12</v>
      </c>
      <c r="N2438">
        <v>2020</v>
      </c>
      <c r="O2438">
        <v>6</v>
      </c>
    </row>
    <row r="2439" spans="1:15" x14ac:dyDescent="0.3">
      <c r="A2439" s="1">
        <v>43995</v>
      </c>
      <c r="B2439">
        <v>1000005873</v>
      </c>
      <c r="C2439" t="s">
        <v>15</v>
      </c>
      <c r="D2439">
        <v>1</v>
      </c>
      <c r="E2439">
        <v>13000.43</v>
      </c>
      <c r="F2439" t="s">
        <v>16</v>
      </c>
      <c r="G2439" t="s">
        <v>17</v>
      </c>
      <c r="H2439" t="s">
        <v>18</v>
      </c>
      <c r="I2439" t="s">
        <v>19</v>
      </c>
      <c r="J2439" t="s">
        <v>20</v>
      </c>
      <c r="K2439" t="s">
        <v>21</v>
      </c>
      <c r="L2439" t="s">
        <v>28</v>
      </c>
      <c r="M2439">
        <v>13000.43</v>
      </c>
      <c r="N2439">
        <v>2020</v>
      </c>
      <c r="O2439">
        <v>6</v>
      </c>
    </row>
    <row r="2440" spans="1:15" x14ac:dyDescent="0.3">
      <c r="A2440" s="1">
        <v>43995</v>
      </c>
      <c r="B2440">
        <v>1000006859</v>
      </c>
      <c r="C2440" t="s">
        <v>15</v>
      </c>
      <c r="D2440">
        <v>1</v>
      </c>
      <c r="E2440">
        <v>10000.69</v>
      </c>
      <c r="F2440" t="s">
        <v>16</v>
      </c>
      <c r="G2440" t="s">
        <v>17</v>
      </c>
      <c r="H2440" t="s">
        <v>18</v>
      </c>
      <c r="I2440" t="s">
        <v>61</v>
      </c>
      <c r="J2440" t="s">
        <v>26</v>
      </c>
      <c r="K2440" t="s">
        <v>62</v>
      </c>
      <c r="L2440" t="s">
        <v>22</v>
      </c>
      <c r="M2440">
        <v>10000.69</v>
      </c>
      <c r="N2440">
        <v>2020</v>
      </c>
      <c r="O2440">
        <v>6</v>
      </c>
    </row>
    <row r="2441" spans="1:15" x14ac:dyDescent="0.3">
      <c r="A2441" s="1">
        <v>43995</v>
      </c>
      <c r="B2441">
        <v>1000006867</v>
      </c>
      <c r="C2441" t="s">
        <v>15</v>
      </c>
      <c r="D2441">
        <v>1</v>
      </c>
      <c r="E2441">
        <v>10000.56</v>
      </c>
      <c r="F2441" t="s">
        <v>16</v>
      </c>
      <c r="G2441" t="s">
        <v>17</v>
      </c>
      <c r="H2441" t="s">
        <v>18</v>
      </c>
      <c r="I2441" t="s">
        <v>61</v>
      </c>
      <c r="J2441" t="s">
        <v>26</v>
      </c>
      <c r="K2441" t="s">
        <v>62</v>
      </c>
      <c r="L2441" t="s">
        <v>22</v>
      </c>
      <c r="M2441">
        <v>10000.56</v>
      </c>
      <c r="N2441">
        <v>2020</v>
      </c>
      <c r="O2441">
        <v>6</v>
      </c>
    </row>
    <row r="2442" spans="1:15" x14ac:dyDescent="0.3">
      <c r="A2442" s="1">
        <v>43995</v>
      </c>
      <c r="B2442">
        <v>1000006869</v>
      </c>
      <c r="C2442" t="s">
        <v>15</v>
      </c>
      <c r="D2442">
        <v>1</v>
      </c>
      <c r="E2442">
        <v>18000.330000000002</v>
      </c>
      <c r="F2442" t="s">
        <v>16</v>
      </c>
      <c r="G2442" t="s">
        <v>17</v>
      </c>
      <c r="H2442" t="s">
        <v>18</v>
      </c>
      <c r="I2442" t="s">
        <v>61</v>
      </c>
      <c r="J2442" t="s">
        <v>26</v>
      </c>
      <c r="K2442" t="s">
        <v>62</v>
      </c>
      <c r="L2442" t="s">
        <v>22</v>
      </c>
      <c r="M2442">
        <v>18000.330000000002</v>
      </c>
      <c r="N2442">
        <v>2020</v>
      </c>
      <c r="O2442">
        <v>6</v>
      </c>
    </row>
    <row r="2443" spans="1:15" x14ac:dyDescent="0.3">
      <c r="A2443" s="1">
        <v>43995</v>
      </c>
      <c r="B2443">
        <v>1000007320</v>
      </c>
      <c r="C2443" t="s">
        <v>23</v>
      </c>
      <c r="D2443">
        <v>1</v>
      </c>
      <c r="E2443">
        <v>18000.349999999999</v>
      </c>
      <c r="F2443" t="s">
        <v>16</v>
      </c>
      <c r="G2443" t="s">
        <v>24</v>
      </c>
      <c r="H2443" t="s">
        <v>18</v>
      </c>
      <c r="I2443" t="s">
        <v>34</v>
      </c>
      <c r="J2443" t="s">
        <v>26</v>
      </c>
      <c r="K2443" t="s">
        <v>35</v>
      </c>
      <c r="L2443" t="s">
        <v>22</v>
      </c>
      <c r="M2443">
        <v>18000.349999999999</v>
      </c>
      <c r="N2443">
        <v>2020</v>
      </c>
      <c r="O2443">
        <v>6</v>
      </c>
    </row>
    <row r="2444" spans="1:15" x14ac:dyDescent="0.3">
      <c r="A2444" s="1">
        <v>43995</v>
      </c>
      <c r="B2444">
        <v>1000008228</v>
      </c>
      <c r="C2444" t="s">
        <v>15</v>
      </c>
      <c r="D2444">
        <v>1</v>
      </c>
      <c r="E2444">
        <v>5000.7299999999996</v>
      </c>
      <c r="F2444" t="s">
        <v>16</v>
      </c>
      <c r="G2444" t="s">
        <v>17</v>
      </c>
      <c r="H2444" t="s">
        <v>30</v>
      </c>
      <c r="I2444" t="s">
        <v>31</v>
      </c>
      <c r="J2444" t="s">
        <v>36</v>
      </c>
      <c r="K2444" t="s">
        <v>52</v>
      </c>
      <c r="L2444" t="s">
        <v>22</v>
      </c>
      <c r="M2444">
        <v>5000.7299999999996</v>
      </c>
      <c r="N2444">
        <v>2020</v>
      </c>
      <c r="O2444">
        <v>6</v>
      </c>
    </row>
    <row r="2445" spans="1:15" x14ac:dyDescent="0.3">
      <c r="A2445" s="1">
        <v>43995</v>
      </c>
      <c r="B2445">
        <v>1000008228</v>
      </c>
      <c r="C2445" t="s">
        <v>42</v>
      </c>
      <c r="D2445">
        <v>1</v>
      </c>
      <c r="E2445">
        <v>9000.43</v>
      </c>
      <c r="F2445" t="s">
        <v>16</v>
      </c>
      <c r="G2445" t="s">
        <v>43</v>
      </c>
      <c r="H2445" t="s">
        <v>30</v>
      </c>
      <c r="I2445" t="s">
        <v>31</v>
      </c>
      <c r="J2445" t="s">
        <v>36</v>
      </c>
      <c r="K2445" t="s">
        <v>52</v>
      </c>
      <c r="L2445" t="s">
        <v>22</v>
      </c>
      <c r="M2445">
        <v>9000.43</v>
      </c>
      <c r="N2445">
        <v>2020</v>
      </c>
      <c r="O2445">
        <v>6</v>
      </c>
    </row>
    <row r="2446" spans="1:15" x14ac:dyDescent="0.3">
      <c r="A2446" s="1">
        <v>43995</v>
      </c>
      <c r="B2446">
        <v>1000008239</v>
      </c>
      <c r="C2446" t="s">
        <v>23</v>
      </c>
      <c r="D2446">
        <v>2</v>
      </c>
      <c r="E2446">
        <v>28001.17</v>
      </c>
      <c r="F2446" t="s">
        <v>16</v>
      </c>
      <c r="G2446" t="s">
        <v>24</v>
      </c>
      <c r="H2446" t="s">
        <v>18</v>
      </c>
      <c r="I2446" t="s">
        <v>61</v>
      </c>
      <c r="J2446" t="s">
        <v>26</v>
      </c>
      <c r="K2446" t="s">
        <v>62</v>
      </c>
      <c r="L2446" t="s">
        <v>28</v>
      </c>
      <c r="M2446">
        <v>14000.584999999999</v>
      </c>
      <c r="N2446">
        <v>2020</v>
      </c>
      <c r="O2446">
        <v>6</v>
      </c>
    </row>
    <row r="2447" spans="1:15" x14ac:dyDescent="0.3">
      <c r="A2447" s="1">
        <v>43995</v>
      </c>
      <c r="B2447">
        <v>1000008239</v>
      </c>
      <c r="C2447" t="s">
        <v>15</v>
      </c>
      <c r="D2447">
        <v>1</v>
      </c>
      <c r="E2447">
        <v>5000.3900000000003</v>
      </c>
      <c r="F2447" t="s">
        <v>16</v>
      </c>
      <c r="G2447" t="s">
        <v>17</v>
      </c>
      <c r="H2447" t="s">
        <v>18</v>
      </c>
      <c r="I2447" t="s">
        <v>61</v>
      </c>
      <c r="J2447" t="s">
        <v>26</v>
      </c>
      <c r="K2447" t="s">
        <v>62</v>
      </c>
      <c r="L2447" t="s">
        <v>28</v>
      </c>
      <c r="M2447">
        <v>5000.3900000000003</v>
      </c>
      <c r="N2447">
        <v>2020</v>
      </c>
      <c r="O2447">
        <v>6</v>
      </c>
    </row>
    <row r="2448" spans="1:15" x14ac:dyDescent="0.3">
      <c r="A2448" s="1">
        <v>43995</v>
      </c>
      <c r="B2448">
        <v>1000008957</v>
      </c>
      <c r="C2448" t="s">
        <v>23</v>
      </c>
      <c r="D2448">
        <v>1</v>
      </c>
      <c r="E2448">
        <v>500.2</v>
      </c>
      <c r="F2448" t="s">
        <v>16</v>
      </c>
      <c r="G2448" t="s">
        <v>24</v>
      </c>
      <c r="H2448" t="s">
        <v>18</v>
      </c>
      <c r="I2448" t="s">
        <v>34</v>
      </c>
      <c r="J2448" t="s">
        <v>20</v>
      </c>
      <c r="K2448" t="s">
        <v>44</v>
      </c>
      <c r="L2448" t="s">
        <v>22</v>
      </c>
      <c r="M2448">
        <v>500.2</v>
      </c>
      <c r="N2448">
        <v>2020</v>
      </c>
      <c r="O2448">
        <v>6</v>
      </c>
    </row>
    <row r="2449" spans="1:15" x14ac:dyDescent="0.3">
      <c r="A2449" s="1">
        <v>43995</v>
      </c>
      <c r="B2449">
        <v>1000009288</v>
      </c>
      <c r="C2449" t="s">
        <v>15</v>
      </c>
      <c r="D2449">
        <v>1</v>
      </c>
      <c r="E2449">
        <v>15000.26</v>
      </c>
      <c r="F2449" t="s">
        <v>16</v>
      </c>
      <c r="G2449" t="s">
        <v>17</v>
      </c>
      <c r="H2449" t="s">
        <v>18</v>
      </c>
      <c r="I2449" t="s">
        <v>25</v>
      </c>
      <c r="J2449" t="s">
        <v>20</v>
      </c>
      <c r="K2449" t="s">
        <v>51</v>
      </c>
      <c r="L2449" t="s">
        <v>22</v>
      </c>
      <c r="M2449">
        <v>15000.26</v>
      </c>
      <c r="N2449">
        <v>2020</v>
      </c>
      <c r="O2449">
        <v>6</v>
      </c>
    </row>
    <row r="2450" spans="1:15" x14ac:dyDescent="0.3">
      <c r="A2450" s="1">
        <v>43995</v>
      </c>
      <c r="B2450">
        <v>1000010255</v>
      </c>
      <c r="C2450" t="s">
        <v>15</v>
      </c>
      <c r="D2450">
        <v>1</v>
      </c>
      <c r="E2450">
        <v>3000.03</v>
      </c>
      <c r="F2450" t="s">
        <v>16</v>
      </c>
      <c r="G2450" t="s">
        <v>17</v>
      </c>
      <c r="H2450" t="s">
        <v>47</v>
      </c>
      <c r="I2450" t="s">
        <v>48</v>
      </c>
      <c r="J2450" t="s">
        <v>36</v>
      </c>
      <c r="K2450" t="s">
        <v>49</v>
      </c>
      <c r="L2450" t="s">
        <v>22</v>
      </c>
      <c r="M2450">
        <v>3000.03</v>
      </c>
      <c r="N2450">
        <v>2020</v>
      </c>
      <c r="O2450">
        <v>6</v>
      </c>
    </row>
    <row r="2451" spans="1:15" x14ac:dyDescent="0.3">
      <c r="A2451" s="1">
        <v>43995</v>
      </c>
      <c r="B2451">
        <v>1000010814</v>
      </c>
      <c r="C2451" t="s">
        <v>15</v>
      </c>
      <c r="D2451">
        <v>1</v>
      </c>
      <c r="E2451">
        <v>10000.700000000001</v>
      </c>
      <c r="F2451" t="s">
        <v>16</v>
      </c>
      <c r="G2451" t="s">
        <v>17</v>
      </c>
      <c r="H2451" t="s">
        <v>18</v>
      </c>
      <c r="I2451" t="s">
        <v>61</v>
      </c>
      <c r="J2451" t="s">
        <v>32</v>
      </c>
      <c r="K2451" t="s">
        <v>63</v>
      </c>
      <c r="L2451" t="s">
        <v>22</v>
      </c>
      <c r="M2451">
        <v>10000.700000000001</v>
      </c>
      <c r="N2451">
        <v>2020</v>
      </c>
      <c r="O2451">
        <v>6</v>
      </c>
    </row>
    <row r="2452" spans="1:15" x14ac:dyDescent="0.3">
      <c r="A2452" s="1">
        <v>43995</v>
      </c>
      <c r="B2452">
        <v>1000010815</v>
      </c>
      <c r="C2452" t="s">
        <v>15</v>
      </c>
      <c r="D2452">
        <v>1</v>
      </c>
      <c r="E2452">
        <v>10000.290000000001</v>
      </c>
      <c r="F2452" t="s">
        <v>16</v>
      </c>
      <c r="G2452" t="s">
        <v>17</v>
      </c>
      <c r="H2452" t="s">
        <v>18</v>
      </c>
      <c r="I2452" t="s">
        <v>61</v>
      </c>
      <c r="J2452" t="s">
        <v>26</v>
      </c>
      <c r="K2452" t="s">
        <v>62</v>
      </c>
      <c r="L2452" t="s">
        <v>22</v>
      </c>
      <c r="M2452">
        <v>10000.290000000001</v>
      </c>
      <c r="N2452">
        <v>2020</v>
      </c>
      <c r="O2452">
        <v>6</v>
      </c>
    </row>
    <row r="2453" spans="1:15" x14ac:dyDescent="0.3">
      <c r="A2453" s="1">
        <v>43995</v>
      </c>
      <c r="B2453">
        <v>1000010837</v>
      </c>
      <c r="C2453" t="s">
        <v>15</v>
      </c>
      <c r="D2453">
        <v>1</v>
      </c>
      <c r="E2453">
        <v>20000.36</v>
      </c>
      <c r="F2453" t="s">
        <v>16</v>
      </c>
      <c r="G2453" t="s">
        <v>17</v>
      </c>
      <c r="H2453" t="s">
        <v>18</v>
      </c>
      <c r="I2453" t="s">
        <v>61</v>
      </c>
      <c r="J2453" t="s">
        <v>26</v>
      </c>
      <c r="K2453" t="s">
        <v>62</v>
      </c>
      <c r="L2453" t="s">
        <v>22</v>
      </c>
      <c r="M2453">
        <v>20000.36</v>
      </c>
      <c r="N2453">
        <v>2020</v>
      </c>
      <c r="O2453">
        <v>6</v>
      </c>
    </row>
    <row r="2454" spans="1:15" x14ac:dyDescent="0.3">
      <c r="A2454" s="1">
        <v>43995</v>
      </c>
      <c r="B2454">
        <v>1000010881</v>
      </c>
      <c r="C2454" t="s">
        <v>23</v>
      </c>
      <c r="D2454">
        <v>1</v>
      </c>
      <c r="E2454">
        <v>13000.16</v>
      </c>
      <c r="F2454" t="s">
        <v>16</v>
      </c>
      <c r="G2454" t="s">
        <v>24</v>
      </c>
      <c r="H2454" t="s">
        <v>47</v>
      </c>
      <c r="I2454" t="s">
        <v>48</v>
      </c>
      <c r="J2454" t="s">
        <v>26</v>
      </c>
      <c r="K2454" t="s">
        <v>50</v>
      </c>
      <c r="L2454" t="s">
        <v>22</v>
      </c>
      <c r="M2454">
        <v>13000.16</v>
      </c>
      <c r="N2454">
        <v>2020</v>
      </c>
      <c r="O2454">
        <v>6</v>
      </c>
    </row>
    <row r="2455" spans="1:15" x14ac:dyDescent="0.3">
      <c r="A2455" s="1">
        <v>43995</v>
      </c>
      <c r="B2455">
        <v>1000010881</v>
      </c>
      <c r="C2455" t="s">
        <v>15</v>
      </c>
      <c r="D2455">
        <v>1</v>
      </c>
      <c r="E2455">
        <v>20000.55</v>
      </c>
      <c r="F2455" t="s">
        <v>16</v>
      </c>
      <c r="G2455" t="s">
        <v>17</v>
      </c>
      <c r="H2455" t="s">
        <v>47</v>
      </c>
      <c r="I2455" t="s">
        <v>48</v>
      </c>
      <c r="J2455" t="s">
        <v>26</v>
      </c>
      <c r="K2455" t="s">
        <v>50</v>
      </c>
      <c r="L2455" t="s">
        <v>22</v>
      </c>
      <c r="M2455">
        <v>20000.55</v>
      </c>
      <c r="N2455">
        <v>2020</v>
      </c>
      <c r="O2455">
        <v>6</v>
      </c>
    </row>
    <row r="2456" spans="1:15" x14ac:dyDescent="0.3">
      <c r="A2456" s="1">
        <v>43995</v>
      </c>
      <c r="B2456">
        <v>1000011697</v>
      </c>
      <c r="C2456" t="s">
        <v>23</v>
      </c>
      <c r="D2456">
        <v>2</v>
      </c>
      <c r="E2456">
        <v>22500.489999999998</v>
      </c>
      <c r="F2456" t="s">
        <v>16</v>
      </c>
      <c r="G2456" t="s">
        <v>24</v>
      </c>
      <c r="H2456" t="s">
        <v>18</v>
      </c>
      <c r="I2456" t="s">
        <v>34</v>
      </c>
      <c r="J2456" t="s">
        <v>20</v>
      </c>
      <c r="K2456" t="s">
        <v>44</v>
      </c>
      <c r="L2456" t="s">
        <v>22</v>
      </c>
      <c r="M2456">
        <v>11250.244999999999</v>
      </c>
      <c r="N2456">
        <v>2020</v>
      </c>
      <c r="O2456">
        <v>6</v>
      </c>
    </row>
    <row r="2457" spans="1:15" x14ac:dyDescent="0.3">
      <c r="A2457" s="1">
        <v>43995</v>
      </c>
      <c r="B2457">
        <v>1000011697</v>
      </c>
      <c r="C2457" t="s">
        <v>42</v>
      </c>
      <c r="D2457">
        <v>1</v>
      </c>
      <c r="E2457">
        <v>9000.61</v>
      </c>
      <c r="F2457" t="s">
        <v>16</v>
      </c>
      <c r="G2457" t="s">
        <v>43</v>
      </c>
      <c r="H2457" t="s">
        <v>18</v>
      </c>
      <c r="I2457" t="s">
        <v>34</v>
      </c>
      <c r="J2457" t="s">
        <v>20</v>
      </c>
      <c r="K2457" t="s">
        <v>44</v>
      </c>
      <c r="L2457" t="s">
        <v>22</v>
      </c>
      <c r="M2457">
        <v>9000.61</v>
      </c>
      <c r="N2457">
        <v>2020</v>
      </c>
      <c r="O2457">
        <v>6</v>
      </c>
    </row>
    <row r="2458" spans="1:15" x14ac:dyDescent="0.3">
      <c r="A2458" s="1">
        <v>43995</v>
      </c>
      <c r="B2458">
        <v>1000011698</v>
      </c>
      <c r="C2458" t="s">
        <v>42</v>
      </c>
      <c r="D2458">
        <v>1</v>
      </c>
      <c r="E2458">
        <v>13000.06</v>
      </c>
      <c r="F2458" t="s">
        <v>16</v>
      </c>
      <c r="G2458" t="s">
        <v>43</v>
      </c>
      <c r="H2458" t="s">
        <v>18</v>
      </c>
      <c r="I2458" t="s">
        <v>34</v>
      </c>
      <c r="J2458" t="s">
        <v>20</v>
      </c>
      <c r="K2458" t="s">
        <v>44</v>
      </c>
      <c r="L2458" t="s">
        <v>22</v>
      </c>
      <c r="M2458">
        <v>13000.06</v>
      </c>
      <c r="N2458">
        <v>2020</v>
      </c>
      <c r="O2458">
        <v>6</v>
      </c>
    </row>
    <row r="2459" spans="1:15" x14ac:dyDescent="0.3">
      <c r="A2459" s="1">
        <v>43995</v>
      </c>
      <c r="B2459">
        <v>1000012099</v>
      </c>
      <c r="C2459" t="s">
        <v>23</v>
      </c>
      <c r="D2459">
        <v>2</v>
      </c>
      <c r="E2459">
        <v>21000.52</v>
      </c>
      <c r="F2459" t="s">
        <v>16</v>
      </c>
      <c r="G2459" t="s">
        <v>24</v>
      </c>
      <c r="H2459" t="s">
        <v>18</v>
      </c>
      <c r="I2459" t="s">
        <v>19</v>
      </c>
      <c r="J2459" t="s">
        <v>20</v>
      </c>
      <c r="K2459" t="s">
        <v>21</v>
      </c>
      <c r="L2459" t="s">
        <v>22</v>
      </c>
      <c r="M2459">
        <v>10500.26</v>
      </c>
      <c r="N2459">
        <v>2020</v>
      </c>
      <c r="O2459">
        <v>6</v>
      </c>
    </row>
    <row r="2460" spans="1:15" x14ac:dyDescent="0.3">
      <c r="A2460" s="1">
        <v>43995</v>
      </c>
      <c r="B2460">
        <v>1000012099</v>
      </c>
      <c r="C2460" t="s">
        <v>15</v>
      </c>
      <c r="D2460">
        <v>3</v>
      </c>
      <c r="E2460">
        <v>51001.11</v>
      </c>
      <c r="F2460" t="s">
        <v>16</v>
      </c>
      <c r="G2460" t="s">
        <v>17</v>
      </c>
      <c r="H2460" t="s">
        <v>18</v>
      </c>
      <c r="I2460" t="s">
        <v>19</v>
      </c>
      <c r="J2460" t="s">
        <v>20</v>
      </c>
      <c r="K2460" t="s">
        <v>21</v>
      </c>
      <c r="L2460" t="s">
        <v>22</v>
      </c>
      <c r="M2460">
        <v>17000.37</v>
      </c>
      <c r="N2460">
        <v>2020</v>
      </c>
      <c r="O2460">
        <v>6</v>
      </c>
    </row>
    <row r="2461" spans="1:15" x14ac:dyDescent="0.3">
      <c r="A2461" s="1">
        <v>43995</v>
      </c>
      <c r="B2461">
        <v>1000012112</v>
      </c>
      <c r="C2461" t="s">
        <v>15</v>
      </c>
      <c r="D2461">
        <v>1</v>
      </c>
      <c r="E2461">
        <v>12000.56</v>
      </c>
      <c r="F2461" t="s">
        <v>16</v>
      </c>
      <c r="G2461" t="s">
        <v>17</v>
      </c>
      <c r="H2461" t="s">
        <v>18</v>
      </c>
      <c r="I2461" t="s">
        <v>19</v>
      </c>
      <c r="J2461" t="s">
        <v>36</v>
      </c>
      <c r="K2461" t="s">
        <v>64</v>
      </c>
      <c r="L2461" t="s">
        <v>28</v>
      </c>
      <c r="M2461">
        <v>12000.56</v>
      </c>
      <c r="N2461">
        <v>2020</v>
      </c>
      <c r="O2461">
        <v>6</v>
      </c>
    </row>
    <row r="2462" spans="1:15" x14ac:dyDescent="0.3">
      <c r="A2462" s="1">
        <v>43995</v>
      </c>
      <c r="B2462">
        <v>1000012126</v>
      </c>
      <c r="C2462" t="s">
        <v>15</v>
      </c>
      <c r="D2462">
        <v>1</v>
      </c>
      <c r="E2462">
        <v>20000.29</v>
      </c>
      <c r="F2462" t="s">
        <v>16</v>
      </c>
      <c r="G2462" t="s">
        <v>17</v>
      </c>
      <c r="H2462" t="s">
        <v>18</v>
      </c>
      <c r="I2462" t="s">
        <v>19</v>
      </c>
      <c r="J2462" t="s">
        <v>26</v>
      </c>
      <c r="K2462" t="s">
        <v>29</v>
      </c>
      <c r="L2462" t="s">
        <v>22</v>
      </c>
      <c r="M2462">
        <v>20000.29</v>
      </c>
      <c r="N2462">
        <v>2020</v>
      </c>
      <c r="O2462">
        <v>6</v>
      </c>
    </row>
    <row r="2463" spans="1:15" x14ac:dyDescent="0.3">
      <c r="A2463" s="1">
        <v>43995</v>
      </c>
      <c r="B2463">
        <v>1000012234</v>
      </c>
      <c r="C2463" t="s">
        <v>23</v>
      </c>
      <c r="D2463">
        <v>1</v>
      </c>
      <c r="E2463">
        <v>2099.9899999999998</v>
      </c>
      <c r="F2463" t="s">
        <v>16</v>
      </c>
      <c r="G2463" t="s">
        <v>24</v>
      </c>
      <c r="H2463" t="s">
        <v>18</v>
      </c>
      <c r="I2463" t="s">
        <v>25</v>
      </c>
      <c r="J2463" t="s">
        <v>26</v>
      </c>
      <c r="K2463" t="s">
        <v>27</v>
      </c>
      <c r="L2463" t="s">
        <v>22</v>
      </c>
      <c r="M2463">
        <v>2099.9899999999998</v>
      </c>
      <c r="N2463">
        <v>2020</v>
      </c>
      <c r="O2463">
        <v>6</v>
      </c>
    </row>
    <row r="2464" spans="1:15" x14ac:dyDescent="0.3">
      <c r="A2464" s="1">
        <v>43995</v>
      </c>
      <c r="B2464">
        <v>1000012234</v>
      </c>
      <c r="C2464" t="s">
        <v>15</v>
      </c>
      <c r="D2464">
        <v>1</v>
      </c>
      <c r="E2464">
        <v>17000.11</v>
      </c>
      <c r="F2464" t="s">
        <v>16</v>
      </c>
      <c r="G2464" t="s">
        <v>17</v>
      </c>
      <c r="H2464" t="s">
        <v>18</v>
      </c>
      <c r="I2464" t="s">
        <v>25</v>
      </c>
      <c r="J2464" t="s">
        <v>26</v>
      </c>
      <c r="K2464" t="s">
        <v>27</v>
      </c>
      <c r="L2464" t="s">
        <v>22</v>
      </c>
      <c r="M2464">
        <v>17000.11</v>
      </c>
      <c r="N2464">
        <v>2020</v>
      </c>
      <c r="O2464">
        <v>6</v>
      </c>
    </row>
    <row r="2465" spans="1:15" x14ac:dyDescent="0.3">
      <c r="A2465" s="1">
        <v>43995</v>
      </c>
      <c r="B2465">
        <v>1000012446</v>
      </c>
      <c r="C2465" t="s">
        <v>15</v>
      </c>
      <c r="D2465">
        <v>1</v>
      </c>
      <c r="E2465">
        <v>6500.2</v>
      </c>
      <c r="F2465" t="s">
        <v>16</v>
      </c>
      <c r="G2465" t="s">
        <v>17</v>
      </c>
      <c r="H2465" t="s">
        <v>30</v>
      </c>
      <c r="I2465" t="s">
        <v>31</v>
      </c>
      <c r="J2465" t="s">
        <v>36</v>
      </c>
      <c r="K2465" t="s">
        <v>52</v>
      </c>
      <c r="L2465" t="s">
        <v>22</v>
      </c>
      <c r="M2465">
        <v>6500.2</v>
      </c>
      <c r="N2465">
        <v>2020</v>
      </c>
      <c r="O2465">
        <v>6</v>
      </c>
    </row>
    <row r="2466" spans="1:15" x14ac:dyDescent="0.3">
      <c r="A2466" s="1">
        <v>43995</v>
      </c>
      <c r="B2466">
        <v>1000012675</v>
      </c>
      <c r="C2466" t="s">
        <v>15</v>
      </c>
      <c r="D2466">
        <v>2</v>
      </c>
      <c r="E2466">
        <v>25000.39</v>
      </c>
      <c r="F2466" t="s">
        <v>16</v>
      </c>
      <c r="G2466" t="s">
        <v>17</v>
      </c>
      <c r="H2466" t="s">
        <v>18</v>
      </c>
      <c r="I2466" t="s">
        <v>34</v>
      </c>
      <c r="J2466" t="s">
        <v>26</v>
      </c>
      <c r="K2466" t="s">
        <v>35</v>
      </c>
      <c r="L2466" t="s">
        <v>22</v>
      </c>
      <c r="M2466">
        <v>12500.195</v>
      </c>
      <c r="N2466">
        <v>2020</v>
      </c>
      <c r="O2466">
        <v>6</v>
      </c>
    </row>
    <row r="2467" spans="1:15" x14ac:dyDescent="0.3">
      <c r="A2467" s="1">
        <v>43995</v>
      </c>
      <c r="B2467">
        <v>1000013535</v>
      </c>
      <c r="C2467" t="s">
        <v>23</v>
      </c>
      <c r="D2467">
        <v>1</v>
      </c>
      <c r="E2467">
        <v>8000.6</v>
      </c>
      <c r="F2467" t="s">
        <v>16</v>
      </c>
      <c r="G2467" t="s">
        <v>24</v>
      </c>
      <c r="H2467" t="s">
        <v>47</v>
      </c>
      <c r="I2467" t="s">
        <v>48</v>
      </c>
      <c r="J2467" t="s">
        <v>36</v>
      </c>
      <c r="K2467" t="s">
        <v>49</v>
      </c>
      <c r="L2467" t="s">
        <v>22</v>
      </c>
      <c r="M2467">
        <v>8000.6</v>
      </c>
      <c r="N2467">
        <v>2020</v>
      </c>
      <c r="O2467">
        <v>6</v>
      </c>
    </row>
    <row r="2468" spans="1:15" x14ac:dyDescent="0.3">
      <c r="A2468" s="1">
        <v>43995</v>
      </c>
      <c r="B2468">
        <v>1000014037</v>
      </c>
      <c r="C2468" t="s">
        <v>23</v>
      </c>
      <c r="D2468">
        <v>1</v>
      </c>
      <c r="E2468">
        <v>10000.709999999999</v>
      </c>
      <c r="F2468" t="s">
        <v>16</v>
      </c>
      <c r="G2468" t="s">
        <v>24</v>
      </c>
      <c r="H2468" t="s">
        <v>18</v>
      </c>
      <c r="I2468" t="s">
        <v>25</v>
      </c>
      <c r="J2468" t="s">
        <v>36</v>
      </c>
      <c r="K2468" t="s">
        <v>37</v>
      </c>
      <c r="L2468" t="s">
        <v>22</v>
      </c>
      <c r="M2468">
        <v>10000.709999999999</v>
      </c>
      <c r="N2468">
        <v>2020</v>
      </c>
      <c r="O2468">
        <v>6</v>
      </c>
    </row>
    <row r="2469" spans="1:15" x14ac:dyDescent="0.3">
      <c r="A2469" s="1">
        <v>43995</v>
      </c>
      <c r="B2469">
        <v>1000014291</v>
      </c>
      <c r="C2469" t="s">
        <v>42</v>
      </c>
      <c r="D2469">
        <v>3</v>
      </c>
      <c r="E2469">
        <v>46000.53</v>
      </c>
      <c r="F2469" t="s">
        <v>16</v>
      </c>
      <c r="G2469" t="s">
        <v>43</v>
      </c>
      <c r="H2469" t="s">
        <v>47</v>
      </c>
      <c r="I2469" t="s">
        <v>48</v>
      </c>
      <c r="J2469" t="s">
        <v>20</v>
      </c>
      <c r="K2469" t="s">
        <v>67</v>
      </c>
      <c r="L2469" t="s">
        <v>28</v>
      </c>
      <c r="M2469">
        <v>15333.51</v>
      </c>
      <c r="N2469">
        <v>2020</v>
      </c>
      <c r="O2469">
        <v>6</v>
      </c>
    </row>
    <row r="2470" spans="1:15" x14ac:dyDescent="0.3">
      <c r="A2470" s="1">
        <v>43995</v>
      </c>
      <c r="B2470">
        <v>1000014530</v>
      </c>
      <c r="C2470" t="s">
        <v>15</v>
      </c>
      <c r="D2470">
        <v>1</v>
      </c>
      <c r="E2470">
        <v>17000.71</v>
      </c>
      <c r="F2470" t="s">
        <v>16</v>
      </c>
      <c r="G2470" t="s">
        <v>17</v>
      </c>
      <c r="H2470" t="s">
        <v>47</v>
      </c>
      <c r="I2470" t="s">
        <v>65</v>
      </c>
      <c r="J2470" t="s">
        <v>26</v>
      </c>
      <c r="K2470" t="s">
        <v>66</v>
      </c>
      <c r="L2470" t="s">
        <v>22</v>
      </c>
      <c r="M2470">
        <v>17000.71</v>
      </c>
      <c r="N2470">
        <v>2020</v>
      </c>
      <c r="O2470">
        <v>6</v>
      </c>
    </row>
    <row r="2471" spans="1:15" x14ac:dyDescent="0.3">
      <c r="A2471" s="1">
        <v>43995</v>
      </c>
      <c r="B2471">
        <v>1000014572</v>
      </c>
      <c r="C2471" t="s">
        <v>23</v>
      </c>
      <c r="D2471">
        <v>1</v>
      </c>
      <c r="E2471">
        <v>6000.23</v>
      </c>
      <c r="F2471" t="s">
        <v>16</v>
      </c>
      <c r="G2471" t="s">
        <v>24</v>
      </c>
      <c r="H2471" t="s">
        <v>18</v>
      </c>
      <c r="I2471" t="s">
        <v>34</v>
      </c>
      <c r="J2471" t="s">
        <v>26</v>
      </c>
      <c r="K2471" t="s">
        <v>35</v>
      </c>
      <c r="L2471" t="s">
        <v>22</v>
      </c>
      <c r="M2471">
        <v>6000.23</v>
      </c>
      <c r="N2471">
        <v>2020</v>
      </c>
      <c r="O2471">
        <v>6</v>
      </c>
    </row>
    <row r="2472" spans="1:15" x14ac:dyDescent="0.3">
      <c r="A2472" s="1">
        <v>43995</v>
      </c>
      <c r="B2472">
        <v>1000014572</v>
      </c>
      <c r="C2472" t="s">
        <v>15</v>
      </c>
      <c r="D2472">
        <v>2</v>
      </c>
      <c r="E2472">
        <v>36001.14</v>
      </c>
      <c r="F2472" t="s">
        <v>16</v>
      </c>
      <c r="G2472" t="s">
        <v>17</v>
      </c>
      <c r="H2472" t="s">
        <v>18</v>
      </c>
      <c r="I2472" t="s">
        <v>34</v>
      </c>
      <c r="J2472" t="s">
        <v>26</v>
      </c>
      <c r="K2472" t="s">
        <v>35</v>
      </c>
      <c r="L2472" t="s">
        <v>22</v>
      </c>
      <c r="M2472">
        <v>18000.57</v>
      </c>
      <c r="N2472">
        <v>2020</v>
      </c>
      <c r="O2472">
        <v>6</v>
      </c>
    </row>
    <row r="2473" spans="1:15" x14ac:dyDescent="0.3">
      <c r="A2473" s="1">
        <v>43995</v>
      </c>
      <c r="B2473">
        <v>1000014996</v>
      </c>
      <c r="C2473" t="s">
        <v>15</v>
      </c>
      <c r="D2473">
        <v>1</v>
      </c>
      <c r="E2473">
        <v>5000.2700000000004</v>
      </c>
      <c r="F2473" t="s">
        <v>16</v>
      </c>
      <c r="G2473" t="s">
        <v>17</v>
      </c>
      <c r="H2473" t="s">
        <v>30</v>
      </c>
      <c r="I2473" t="s">
        <v>57</v>
      </c>
      <c r="J2473" t="s">
        <v>26</v>
      </c>
      <c r="K2473" t="s">
        <v>58</v>
      </c>
      <c r="L2473" t="s">
        <v>22</v>
      </c>
      <c r="M2473">
        <v>5000.2700000000004</v>
      </c>
      <c r="N2473">
        <v>2020</v>
      </c>
      <c r="O2473">
        <v>6</v>
      </c>
    </row>
    <row r="2474" spans="1:15" x14ac:dyDescent="0.3">
      <c r="A2474" s="1">
        <v>43995</v>
      </c>
      <c r="B2474">
        <v>1000015013</v>
      </c>
      <c r="C2474" t="s">
        <v>23</v>
      </c>
      <c r="D2474">
        <v>1</v>
      </c>
      <c r="E2474">
        <v>10000.43</v>
      </c>
      <c r="F2474" t="s">
        <v>16</v>
      </c>
      <c r="G2474" t="s">
        <v>24</v>
      </c>
      <c r="H2474" t="s">
        <v>18</v>
      </c>
      <c r="I2474" t="s">
        <v>19</v>
      </c>
      <c r="J2474" t="s">
        <v>26</v>
      </c>
      <c r="K2474" t="s">
        <v>29</v>
      </c>
      <c r="L2474" t="s">
        <v>22</v>
      </c>
      <c r="M2474">
        <v>10000.43</v>
      </c>
      <c r="N2474">
        <v>2020</v>
      </c>
      <c r="O2474">
        <v>6</v>
      </c>
    </row>
    <row r="2475" spans="1:15" x14ac:dyDescent="0.3">
      <c r="A2475" s="1">
        <v>43996</v>
      </c>
      <c r="B2475">
        <v>1000000028</v>
      </c>
      <c r="C2475" t="s">
        <v>42</v>
      </c>
      <c r="D2475">
        <v>1</v>
      </c>
      <c r="E2475">
        <v>1100.33</v>
      </c>
      <c r="F2475" t="s">
        <v>16</v>
      </c>
      <c r="G2475" t="s">
        <v>43</v>
      </c>
      <c r="H2475" t="s">
        <v>18</v>
      </c>
      <c r="I2475" t="s">
        <v>19</v>
      </c>
      <c r="J2475" t="s">
        <v>20</v>
      </c>
      <c r="K2475" t="s">
        <v>21</v>
      </c>
      <c r="L2475" t="s">
        <v>22</v>
      </c>
      <c r="M2475">
        <v>1100.33</v>
      </c>
      <c r="N2475">
        <v>2020</v>
      </c>
      <c r="O2475">
        <v>6</v>
      </c>
    </row>
    <row r="2476" spans="1:15" x14ac:dyDescent="0.3">
      <c r="A2476" s="1">
        <v>43996</v>
      </c>
      <c r="B2476">
        <v>1000000029</v>
      </c>
      <c r="C2476" t="s">
        <v>15</v>
      </c>
      <c r="D2476">
        <v>2</v>
      </c>
      <c r="E2476">
        <v>9504.6299999999992</v>
      </c>
      <c r="F2476" t="s">
        <v>16</v>
      </c>
      <c r="G2476" t="s">
        <v>17</v>
      </c>
      <c r="H2476" t="s">
        <v>18</v>
      </c>
      <c r="I2476" t="s">
        <v>19</v>
      </c>
      <c r="J2476" t="s">
        <v>20</v>
      </c>
      <c r="K2476" t="s">
        <v>21</v>
      </c>
      <c r="L2476" t="s">
        <v>22</v>
      </c>
      <c r="M2476">
        <v>4752.3149999999996</v>
      </c>
      <c r="N2476">
        <v>2020</v>
      </c>
      <c r="O2476">
        <v>6</v>
      </c>
    </row>
    <row r="2477" spans="1:15" x14ac:dyDescent="0.3">
      <c r="A2477" s="1">
        <v>43996</v>
      </c>
      <c r="B2477">
        <v>1000000030</v>
      </c>
      <c r="C2477" t="s">
        <v>23</v>
      </c>
      <c r="D2477">
        <v>2</v>
      </c>
      <c r="E2477">
        <v>18001.18</v>
      </c>
      <c r="F2477" t="s">
        <v>16</v>
      </c>
      <c r="G2477" t="s">
        <v>24</v>
      </c>
      <c r="H2477" t="s">
        <v>47</v>
      </c>
      <c r="I2477" t="s">
        <v>48</v>
      </c>
      <c r="J2477" t="s">
        <v>36</v>
      </c>
      <c r="K2477" t="s">
        <v>49</v>
      </c>
      <c r="L2477" t="s">
        <v>22</v>
      </c>
      <c r="M2477">
        <v>9000.59</v>
      </c>
      <c r="N2477">
        <v>2020</v>
      </c>
      <c r="O2477">
        <v>6</v>
      </c>
    </row>
    <row r="2478" spans="1:15" x14ac:dyDescent="0.3">
      <c r="A2478" s="1">
        <v>43996</v>
      </c>
      <c r="B2478">
        <v>1000000030</v>
      </c>
      <c r="C2478" t="s">
        <v>42</v>
      </c>
      <c r="D2478">
        <v>1</v>
      </c>
      <c r="E2478">
        <v>6000.44</v>
      </c>
      <c r="F2478" t="s">
        <v>16</v>
      </c>
      <c r="G2478" t="s">
        <v>43</v>
      </c>
      <c r="H2478" t="s">
        <v>47</v>
      </c>
      <c r="I2478" t="s">
        <v>48</v>
      </c>
      <c r="J2478" t="s">
        <v>36</v>
      </c>
      <c r="K2478" t="s">
        <v>49</v>
      </c>
      <c r="L2478" t="s">
        <v>22</v>
      </c>
      <c r="M2478">
        <v>6000.44</v>
      </c>
      <c r="N2478">
        <v>2020</v>
      </c>
      <c r="O2478">
        <v>6</v>
      </c>
    </row>
    <row r="2479" spans="1:15" x14ac:dyDescent="0.3">
      <c r="A2479" s="1">
        <v>43996</v>
      </c>
      <c r="B2479">
        <v>1000000031</v>
      </c>
      <c r="C2479" t="s">
        <v>23</v>
      </c>
      <c r="D2479">
        <v>1</v>
      </c>
      <c r="E2479">
        <v>12000.13</v>
      </c>
      <c r="F2479" t="s">
        <v>16</v>
      </c>
      <c r="G2479" t="s">
        <v>24</v>
      </c>
      <c r="H2479" t="s">
        <v>18</v>
      </c>
      <c r="I2479" t="s">
        <v>19</v>
      </c>
      <c r="J2479" t="s">
        <v>26</v>
      </c>
      <c r="K2479" t="s">
        <v>29</v>
      </c>
      <c r="L2479" t="s">
        <v>28</v>
      </c>
      <c r="M2479">
        <v>12000.13</v>
      </c>
      <c r="N2479">
        <v>2020</v>
      </c>
      <c r="O2479">
        <v>6</v>
      </c>
    </row>
    <row r="2480" spans="1:15" x14ac:dyDescent="0.3">
      <c r="A2480" s="1">
        <v>43996</v>
      </c>
      <c r="B2480">
        <v>1000000031</v>
      </c>
      <c r="C2480" t="s">
        <v>15</v>
      </c>
      <c r="D2480">
        <v>1</v>
      </c>
      <c r="E2480">
        <v>22000.42</v>
      </c>
      <c r="F2480" t="s">
        <v>16</v>
      </c>
      <c r="G2480" t="s">
        <v>17</v>
      </c>
      <c r="H2480" t="s">
        <v>18</v>
      </c>
      <c r="I2480" t="s">
        <v>19</v>
      </c>
      <c r="J2480" t="s">
        <v>26</v>
      </c>
      <c r="K2480" t="s">
        <v>29</v>
      </c>
      <c r="L2480" t="s">
        <v>28</v>
      </c>
      <c r="M2480">
        <v>22000.42</v>
      </c>
      <c r="N2480">
        <v>2020</v>
      </c>
      <c r="O2480">
        <v>6</v>
      </c>
    </row>
    <row r="2481" spans="1:15" x14ac:dyDescent="0.3">
      <c r="A2481" s="1">
        <v>43996</v>
      </c>
      <c r="B2481">
        <v>1000000032</v>
      </c>
      <c r="C2481" t="s">
        <v>23</v>
      </c>
      <c r="D2481">
        <v>2</v>
      </c>
      <c r="E2481">
        <v>26000.82</v>
      </c>
      <c r="F2481" t="s">
        <v>16</v>
      </c>
      <c r="G2481" t="s">
        <v>24</v>
      </c>
      <c r="H2481" t="s">
        <v>18</v>
      </c>
      <c r="I2481" t="s">
        <v>25</v>
      </c>
      <c r="J2481" t="s">
        <v>26</v>
      </c>
      <c r="K2481" t="s">
        <v>27</v>
      </c>
      <c r="L2481" t="s">
        <v>28</v>
      </c>
      <c r="M2481">
        <v>13000.41</v>
      </c>
      <c r="N2481">
        <v>2020</v>
      </c>
      <c r="O2481">
        <v>6</v>
      </c>
    </row>
    <row r="2482" spans="1:15" x14ac:dyDescent="0.3">
      <c r="A2482" s="1">
        <v>43996</v>
      </c>
      <c r="B2482">
        <v>1000000033</v>
      </c>
      <c r="C2482" t="s">
        <v>15</v>
      </c>
      <c r="D2482">
        <v>1</v>
      </c>
      <c r="E2482">
        <v>15000.22</v>
      </c>
      <c r="F2482" t="s">
        <v>16</v>
      </c>
      <c r="G2482" t="s">
        <v>17</v>
      </c>
      <c r="H2482" t="s">
        <v>18</v>
      </c>
      <c r="I2482" t="s">
        <v>25</v>
      </c>
      <c r="J2482" t="s">
        <v>26</v>
      </c>
      <c r="K2482" t="s">
        <v>27</v>
      </c>
      <c r="L2482" t="s">
        <v>22</v>
      </c>
      <c r="M2482">
        <v>15000.22</v>
      </c>
      <c r="N2482">
        <v>2020</v>
      </c>
      <c r="O2482">
        <v>6</v>
      </c>
    </row>
    <row r="2483" spans="1:15" x14ac:dyDescent="0.3">
      <c r="A2483" s="1">
        <v>43996</v>
      </c>
      <c r="B2483">
        <v>1000000033</v>
      </c>
      <c r="C2483" t="s">
        <v>42</v>
      </c>
      <c r="D2483">
        <v>1</v>
      </c>
      <c r="E2483">
        <v>500.35</v>
      </c>
      <c r="F2483" t="s">
        <v>16</v>
      </c>
      <c r="G2483" t="s">
        <v>43</v>
      </c>
      <c r="H2483" t="s">
        <v>18</v>
      </c>
      <c r="I2483" t="s">
        <v>25</v>
      </c>
      <c r="J2483" t="s">
        <v>26</v>
      </c>
      <c r="K2483" t="s">
        <v>27</v>
      </c>
      <c r="L2483" t="s">
        <v>22</v>
      </c>
      <c r="M2483">
        <v>500.35</v>
      </c>
      <c r="N2483">
        <v>2020</v>
      </c>
      <c r="O2483">
        <v>6</v>
      </c>
    </row>
    <row r="2484" spans="1:15" x14ac:dyDescent="0.3">
      <c r="A2484" s="1">
        <v>43996</v>
      </c>
      <c r="B2484">
        <v>1000000034</v>
      </c>
      <c r="C2484" t="s">
        <v>15</v>
      </c>
      <c r="D2484">
        <v>2</v>
      </c>
      <c r="E2484">
        <v>17000.579999999998</v>
      </c>
      <c r="F2484" t="s">
        <v>16</v>
      </c>
      <c r="G2484" t="s">
        <v>17</v>
      </c>
      <c r="H2484" t="s">
        <v>18</v>
      </c>
      <c r="I2484" t="s">
        <v>25</v>
      </c>
      <c r="J2484" t="s">
        <v>26</v>
      </c>
      <c r="K2484" t="s">
        <v>27</v>
      </c>
      <c r="L2484" t="s">
        <v>22</v>
      </c>
      <c r="M2484">
        <v>8500.2899999999991</v>
      </c>
      <c r="N2484">
        <v>2020</v>
      </c>
      <c r="O2484">
        <v>6</v>
      </c>
    </row>
    <row r="2485" spans="1:15" x14ac:dyDescent="0.3">
      <c r="A2485" s="1">
        <v>43996</v>
      </c>
      <c r="B2485">
        <v>1000000035</v>
      </c>
      <c r="C2485" t="s">
        <v>15</v>
      </c>
      <c r="D2485">
        <v>1</v>
      </c>
      <c r="E2485">
        <v>3000.51</v>
      </c>
      <c r="F2485" t="s">
        <v>16</v>
      </c>
      <c r="G2485" t="s">
        <v>17</v>
      </c>
      <c r="H2485" t="s">
        <v>18</v>
      </c>
      <c r="I2485" t="s">
        <v>25</v>
      </c>
      <c r="J2485" t="s">
        <v>36</v>
      </c>
      <c r="K2485" t="s">
        <v>37</v>
      </c>
      <c r="L2485" t="s">
        <v>22</v>
      </c>
      <c r="M2485">
        <v>3000.51</v>
      </c>
      <c r="N2485">
        <v>2020</v>
      </c>
      <c r="O2485">
        <v>6</v>
      </c>
    </row>
    <row r="2486" spans="1:15" x14ac:dyDescent="0.3">
      <c r="A2486" s="1">
        <v>43996</v>
      </c>
      <c r="B2486">
        <v>1000000036</v>
      </c>
      <c r="C2486" t="s">
        <v>23</v>
      </c>
      <c r="D2486">
        <v>1</v>
      </c>
      <c r="E2486">
        <v>12000.36</v>
      </c>
      <c r="F2486" t="s">
        <v>16</v>
      </c>
      <c r="G2486" t="s">
        <v>24</v>
      </c>
      <c r="H2486" t="s">
        <v>47</v>
      </c>
      <c r="I2486" t="s">
        <v>48</v>
      </c>
      <c r="J2486" t="s">
        <v>36</v>
      </c>
      <c r="K2486" t="s">
        <v>49</v>
      </c>
      <c r="L2486" t="s">
        <v>28</v>
      </c>
      <c r="M2486">
        <v>12000.36</v>
      </c>
      <c r="N2486">
        <v>2020</v>
      </c>
      <c r="O2486">
        <v>6</v>
      </c>
    </row>
    <row r="2487" spans="1:15" x14ac:dyDescent="0.3">
      <c r="A2487" s="1">
        <v>43996</v>
      </c>
      <c r="B2487">
        <v>1000000037</v>
      </c>
      <c r="C2487" t="s">
        <v>23</v>
      </c>
      <c r="D2487">
        <v>1</v>
      </c>
      <c r="E2487">
        <v>989.16</v>
      </c>
      <c r="F2487" t="s">
        <v>16</v>
      </c>
      <c r="G2487" t="s">
        <v>24</v>
      </c>
      <c r="H2487" t="s">
        <v>18</v>
      </c>
      <c r="I2487" t="s">
        <v>19</v>
      </c>
      <c r="J2487" t="s">
        <v>20</v>
      </c>
      <c r="K2487" t="s">
        <v>21</v>
      </c>
      <c r="L2487" t="s">
        <v>22</v>
      </c>
      <c r="M2487">
        <v>989.16</v>
      </c>
      <c r="N2487">
        <v>2020</v>
      </c>
      <c r="O2487">
        <v>6</v>
      </c>
    </row>
    <row r="2488" spans="1:15" x14ac:dyDescent="0.3">
      <c r="A2488" s="1">
        <v>43996</v>
      </c>
      <c r="B2488">
        <v>1000000037</v>
      </c>
      <c r="C2488" t="s">
        <v>15</v>
      </c>
      <c r="D2488">
        <v>1</v>
      </c>
      <c r="E2488">
        <v>11000.07</v>
      </c>
      <c r="F2488" t="s">
        <v>16</v>
      </c>
      <c r="G2488" t="s">
        <v>17</v>
      </c>
      <c r="H2488" t="s">
        <v>18</v>
      </c>
      <c r="I2488" t="s">
        <v>19</v>
      </c>
      <c r="J2488" t="s">
        <v>20</v>
      </c>
      <c r="K2488" t="s">
        <v>21</v>
      </c>
      <c r="L2488" t="s">
        <v>22</v>
      </c>
      <c r="M2488">
        <v>11000.07</v>
      </c>
      <c r="N2488">
        <v>2020</v>
      </c>
      <c r="O2488">
        <v>6</v>
      </c>
    </row>
    <row r="2489" spans="1:15" x14ac:dyDescent="0.3">
      <c r="A2489" s="1">
        <v>43996</v>
      </c>
      <c r="B2489">
        <v>1000000039</v>
      </c>
      <c r="C2489" t="s">
        <v>23</v>
      </c>
      <c r="D2489">
        <v>1</v>
      </c>
      <c r="E2489">
        <v>1500.67</v>
      </c>
      <c r="F2489" t="s">
        <v>16</v>
      </c>
      <c r="G2489" t="s">
        <v>24</v>
      </c>
      <c r="H2489" t="s">
        <v>18</v>
      </c>
      <c r="I2489" t="s">
        <v>25</v>
      </c>
      <c r="J2489" t="s">
        <v>20</v>
      </c>
      <c r="K2489" t="s">
        <v>51</v>
      </c>
      <c r="L2489" t="s">
        <v>28</v>
      </c>
      <c r="M2489">
        <v>1500.67</v>
      </c>
      <c r="N2489">
        <v>2020</v>
      </c>
      <c r="O2489">
        <v>6</v>
      </c>
    </row>
    <row r="2490" spans="1:15" x14ac:dyDescent="0.3">
      <c r="A2490" s="1">
        <v>43996</v>
      </c>
      <c r="B2490">
        <v>1000000040</v>
      </c>
      <c r="C2490" t="s">
        <v>23</v>
      </c>
      <c r="D2490">
        <v>1</v>
      </c>
      <c r="E2490">
        <v>14000.75</v>
      </c>
      <c r="F2490" t="s">
        <v>16</v>
      </c>
      <c r="G2490" t="s">
        <v>24</v>
      </c>
      <c r="H2490" t="s">
        <v>30</v>
      </c>
      <c r="I2490" t="s">
        <v>31</v>
      </c>
      <c r="J2490" t="s">
        <v>32</v>
      </c>
      <c r="K2490" t="s">
        <v>33</v>
      </c>
      <c r="L2490" t="s">
        <v>28</v>
      </c>
      <c r="M2490">
        <v>14000.75</v>
      </c>
      <c r="N2490">
        <v>2020</v>
      </c>
      <c r="O2490">
        <v>6</v>
      </c>
    </row>
    <row r="2491" spans="1:15" x14ac:dyDescent="0.3">
      <c r="A2491" s="1">
        <v>43996</v>
      </c>
      <c r="B2491">
        <v>1000000041</v>
      </c>
      <c r="C2491" t="s">
        <v>23</v>
      </c>
      <c r="D2491">
        <v>1</v>
      </c>
      <c r="E2491">
        <v>20000.36</v>
      </c>
      <c r="F2491" t="s">
        <v>16</v>
      </c>
      <c r="G2491" t="s">
        <v>24</v>
      </c>
      <c r="H2491" t="s">
        <v>30</v>
      </c>
      <c r="I2491" t="s">
        <v>31</v>
      </c>
      <c r="J2491" t="s">
        <v>32</v>
      </c>
      <c r="K2491" t="s">
        <v>33</v>
      </c>
      <c r="L2491" t="s">
        <v>22</v>
      </c>
      <c r="M2491">
        <v>20000.36</v>
      </c>
      <c r="N2491">
        <v>2020</v>
      </c>
      <c r="O2491">
        <v>6</v>
      </c>
    </row>
    <row r="2492" spans="1:15" x14ac:dyDescent="0.3">
      <c r="A2492" s="1">
        <v>43996</v>
      </c>
      <c r="B2492">
        <v>1000000043</v>
      </c>
      <c r="C2492" t="s">
        <v>15</v>
      </c>
      <c r="D2492">
        <v>1</v>
      </c>
      <c r="E2492">
        <v>10000.57</v>
      </c>
      <c r="F2492" t="s">
        <v>16</v>
      </c>
      <c r="G2492" t="s">
        <v>17</v>
      </c>
      <c r="H2492" t="s">
        <v>30</v>
      </c>
      <c r="I2492" t="s">
        <v>38</v>
      </c>
      <c r="J2492" t="s">
        <v>26</v>
      </c>
      <c r="K2492" t="s">
        <v>39</v>
      </c>
      <c r="L2492" t="s">
        <v>22</v>
      </c>
      <c r="M2492">
        <v>10000.57</v>
      </c>
      <c r="N2492">
        <v>2020</v>
      </c>
      <c r="O2492">
        <v>6</v>
      </c>
    </row>
    <row r="2493" spans="1:15" x14ac:dyDescent="0.3">
      <c r="A2493" s="1">
        <v>43996</v>
      </c>
      <c r="B2493">
        <v>1000000045</v>
      </c>
      <c r="C2493" t="s">
        <v>23</v>
      </c>
      <c r="D2493">
        <v>3</v>
      </c>
      <c r="E2493">
        <v>50000.3</v>
      </c>
      <c r="F2493" t="s">
        <v>16</v>
      </c>
      <c r="G2493" t="s">
        <v>24</v>
      </c>
      <c r="H2493" t="s">
        <v>47</v>
      </c>
      <c r="I2493" t="s">
        <v>59</v>
      </c>
      <c r="J2493" t="s">
        <v>26</v>
      </c>
      <c r="K2493" t="s">
        <v>60</v>
      </c>
      <c r="L2493" t="s">
        <v>22</v>
      </c>
      <c r="M2493">
        <v>16666.766666666666</v>
      </c>
      <c r="N2493">
        <v>2020</v>
      </c>
      <c r="O2493">
        <v>6</v>
      </c>
    </row>
    <row r="2494" spans="1:15" x14ac:dyDescent="0.3">
      <c r="A2494" s="1">
        <v>43996</v>
      </c>
      <c r="B2494">
        <v>1000000046</v>
      </c>
      <c r="C2494" t="s">
        <v>23</v>
      </c>
      <c r="D2494">
        <v>1</v>
      </c>
      <c r="E2494">
        <v>25000.66</v>
      </c>
      <c r="F2494" t="s">
        <v>16</v>
      </c>
      <c r="G2494" t="s">
        <v>24</v>
      </c>
      <c r="H2494" t="s">
        <v>30</v>
      </c>
      <c r="I2494" t="s">
        <v>38</v>
      </c>
      <c r="J2494" t="s">
        <v>26</v>
      </c>
      <c r="K2494" t="s">
        <v>39</v>
      </c>
      <c r="L2494" t="s">
        <v>22</v>
      </c>
      <c r="M2494">
        <v>25000.66</v>
      </c>
      <c r="N2494">
        <v>2020</v>
      </c>
      <c r="O2494">
        <v>6</v>
      </c>
    </row>
    <row r="2495" spans="1:15" x14ac:dyDescent="0.3">
      <c r="A2495" s="1">
        <v>43996</v>
      </c>
      <c r="B2495">
        <v>1000000046</v>
      </c>
      <c r="C2495" t="s">
        <v>42</v>
      </c>
      <c r="D2495">
        <v>1</v>
      </c>
      <c r="E2495">
        <v>2000.22</v>
      </c>
      <c r="F2495" t="s">
        <v>16</v>
      </c>
      <c r="G2495" t="s">
        <v>43</v>
      </c>
      <c r="H2495" t="s">
        <v>30</v>
      </c>
      <c r="I2495" t="s">
        <v>38</v>
      </c>
      <c r="J2495" t="s">
        <v>26</v>
      </c>
      <c r="K2495" t="s">
        <v>39</v>
      </c>
      <c r="L2495" t="s">
        <v>22</v>
      </c>
      <c r="M2495">
        <v>2000.22</v>
      </c>
      <c r="N2495">
        <v>2020</v>
      </c>
      <c r="O2495">
        <v>6</v>
      </c>
    </row>
    <row r="2496" spans="1:15" x14ac:dyDescent="0.3">
      <c r="A2496" s="1">
        <v>43996</v>
      </c>
      <c r="B2496">
        <v>1000000054</v>
      </c>
      <c r="C2496" t="s">
        <v>23</v>
      </c>
      <c r="D2496">
        <v>1</v>
      </c>
      <c r="E2496">
        <v>999.99</v>
      </c>
      <c r="F2496" t="s">
        <v>16</v>
      </c>
      <c r="G2496" t="s">
        <v>24</v>
      </c>
      <c r="H2496" t="s">
        <v>18</v>
      </c>
      <c r="I2496" t="s">
        <v>34</v>
      </c>
      <c r="J2496" t="s">
        <v>26</v>
      </c>
      <c r="K2496" t="s">
        <v>35</v>
      </c>
      <c r="L2496" t="s">
        <v>22</v>
      </c>
      <c r="M2496">
        <v>999.99</v>
      </c>
      <c r="N2496">
        <v>2020</v>
      </c>
      <c r="O2496">
        <v>6</v>
      </c>
    </row>
    <row r="2497" spans="1:15" x14ac:dyDescent="0.3">
      <c r="A2497" s="1">
        <v>43996</v>
      </c>
      <c r="B2497">
        <v>1000000054</v>
      </c>
      <c r="C2497" t="s">
        <v>15</v>
      </c>
      <c r="D2497">
        <v>2</v>
      </c>
      <c r="E2497">
        <v>26000.760000000002</v>
      </c>
      <c r="F2497" t="s">
        <v>16</v>
      </c>
      <c r="G2497" t="s">
        <v>17</v>
      </c>
      <c r="H2497" t="s">
        <v>18</v>
      </c>
      <c r="I2497" t="s">
        <v>34</v>
      </c>
      <c r="J2497" t="s">
        <v>26</v>
      </c>
      <c r="K2497" t="s">
        <v>35</v>
      </c>
      <c r="L2497" t="s">
        <v>22</v>
      </c>
      <c r="M2497">
        <v>13000.380000000001</v>
      </c>
      <c r="N2497">
        <v>2020</v>
      </c>
      <c r="O2497">
        <v>6</v>
      </c>
    </row>
    <row r="2498" spans="1:15" x14ac:dyDescent="0.3">
      <c r="A2498" s="1">
        <v>43996</v>
      </c>
      <c r="B2498">
        <v>1000000056</v>
      </c>
      <c r="C2498" t="s">
        <v>23</v>
      </c>
      <c r="D2498">
        <v>2</v>
      </c>
      <c r="E2498">
        <v>17000.57</v>
      </c>
      <c r="F2498" t="s">
        <v>16</v>
      </c>
      <c r="G2498" t="s">
        <v>24</v>
      </c>
      <c r="H2498" t="s">
        <v>18</v>
      </c>
      <c r="I2498" t="s">
        <v>34</v>
      </c>
      <c r="J2498" t="s">
        <v>26</v>
      </c>
      <c r="K2498" t="s">
        <v>35</v>
      </c>
      <c r="L2498" t="s">
        <v>28</v>
      </c>
      <c r="M2498">
        <v>8500.2849999999999</v>
      </c>
      <c r="N2498">
        <v>2020</v>
      </c>
      <c r="O2498">
        <v>6</v>
      </c>
    </row>
    <row r="2499" spans="1:15" x14ac:dyDescent="0.3">
      <c r="A2499" s="1">
        <v>43996</v>
      </c>
      <c r="B2499">
        <v>1000000056</v>
      </c>
      <c r="C2499" t="s">
        <v>15</v>
      </c>
      <c r="D2499">
        <v>1</v>
      </c>
      <c r="E2499">
        <v>8999.94</v>
      </c>
      <c r="F2499" t="s">
        <v>16</v>
      </c>
      <c r="G2499" t="s">
        <v>17</v>
      </c>
      <c r="H2499" t="s">
        <v>18</v>
      </c>
      <c r="I2499" t="s">
        <v>34</v>
      </c>
      <c r="J2499" t="s">
        <v>26</v>
      </c>
      <c r="K2499" t="s">
        <v>35</v>
      </c>
      <c r="L2499" t="s">
        <v>28</v>
      </c>
      <c r="M2499">
        <v>8999.94</v>
      </c>
      <c r="N2499">
        <v>2020</v>
      </c>
      <c r="O2499">
        <v>6</v>
      </c>
    </row>
    <row r="2500" spans="1:15" x14ac:dyDescent="0.3">
      <c r="A2500" s="1">
        <v>43996</v>
      </c>
      <c r="B2500">
        <v>1000000056</v>
      </c>
      <c r="C2500" t="s">
        <v>42</v>
      </c>
      <c r="D2500">
        <v>1</v>
      </c>
      <c r="E2500">
        <v>7000.01</v>
      </c>
      <c r="F2500" t="s">
        <v>16</v>
      </c>
      <c r="G2500" t="s">
        <v>43</v>
      </c>
      <c r="H2500" t="s">
        <v>18</v>
      </c>
      <c r="I2500" t="s">
        <v>34</v>
      </c>
      <c r="J2500" t="s">
        <v>26</v>
      </c>
      <c r="K2500" t="s">
        <v>35</v>
      </c>
      <c r="L2500" t="s">
        <v>28</v>
      </c>
      <c r="M2500">
        <v>7000.01</v>
      </c>
      <c r="N2500">
        <v>2020</v>
      </c>
      <c r="O2500">
        <v>6</v>
      </c>
    </row>
    <row r="2501" spans="1:15" x14ac:dyDescent="0.3">
      <c r="A2501" s="1">
        <v>43996</v>
      </c>
      <c r="B2501">
        <v>1000000060</v>
      </c>
      <c r="C2501" t="s">
        <v>42</v>
      </c>
      <c r="D2501">
        <v>1</v>
      </c>
      <c r="E2501">
        <v>1228.18</v>
      </c>
      <c r="F2501" t="s">
        <v>16</v>
      </c>
      <c r="G2501" t="s">
        <v>43</v>
      </c>
      <c r="H2501" t="s">
        <v>18</v>
      </c>
      <c r="I2501" t="s">
        <v>40</v>
      </c>
      <c r="J2501" t="s">
        <v>26</v>
      </c>
      <c r="K2501" t="s">
        <v>41</v>
      </c>
      <c r="L2501" t="s">
        <v>22</v>
      </c>
      <c r="M2501">
        <v>1228.18</v>
      </c>
      <c r="N2501">
        <v>2020</v>
      </c>
      <c r="O2501">
        <v>6</v>
      </c>
    </row>
    <row r="2502" spans="1:15" x14ac:dyDescent="0.3">
      <c r="A2502" s="1">
        <v>43996</v>
      </c>
      <c r="B2502">
        <v>1000000067</v>
      </c>
      <c r="C2502" t="s">
        <v>23</v>
      </c>
      <c r="D2502">
        <v>3</v>
      </c>
      <c r="E2502">
        <v>25500.18</v>
      </c>
      <c r="F2502" t="s">
        <v>16</v>
      </c>
      <c r="G2502" t="s">
        <v>24</v>
      </c>
      <c r="H2502" t="s">
        <v>18</v>
      </c>
      <c r="I2502" t="s">
        <v>25</v>
      </c>
      <c r="J2502" t="s">
        <v>20</v>
      </c>
      <c r="K2502" t="s">
        <v>51</v>
      </c>
      <c r="L2502" t="s">
        <v>22</v>
      </c>
      <c r="M2502">
        <v>8500.06</v>
      </c>
      <c r="N2502">
        <v>2020</v>
      </c>
      <c r="O2502">
        <v>6</v>
      </c>
    </row>
    <row r="2503" spans="1:15" x14ac:dyDescent="0.3">
      <c r="A2503" s="1">
        <v>43996</v>
      </c>
      <c r="B2503">
        <v>1000000067</v>
      </c>
      <c r="C2503" t="s">
        <v>42</v>
      </c>
      <c r="D2503">
        <v>1</v>
      </c>
      <c r="E2503">
        <v>1113.56</v>
      </c>
      <c r="F2503" t="s">
        <v>16</v>
      </c>
      <c r="G2503" t="s">
        <v>43</v>
      </c>
      <c r="H2503" t="s">
        <v>18</v>
      </c>
      <c r="I2503" t="s">
        <v>25</v>
      </c>
      <c r="J2503" t="s">
        <v>20</v>
      </c>
      <c r="K2503" t="s">
        <v>51</v>
      </c>
      <c r="L2503" t="s">
        <v>22</v>
      </c>
      <c r="M2503">
        <v>1113.56</v>
      </c>
      <c r="N2503">
        <v>2020</v>
      </c>
      <c r="O2503">
        <v>6</v>
      </c>
    </row>
    <row r="2504" spans="1:15" x14ac:dyDescent="0.3">
      <c r="A2504" s="1">
        <v>43996</v>
      </c>
      <c r="B2504">
        <v>1000000068</v>
      </c>
      <c r="C2504" t="s">
        <v>15</v>
      </c>
      <c r="D2504">
        <v>2</v>
      </c>
      <c r="E2504">
        <v>23000.09</v>
      </c>
      <c r="F2504" t="s">
        <v>16</v>
      </c>
      <c r="G2504" t="s">
        <v>17</v>
      </c>
      <c r="H2504" t="s">
        <v>30</v>
      </c>
      <c r="I2504" t="s">
        <v>55</v>
      </c>
      <c r="J2504" t="s">
        <v>26</v>
      </c>
      <c r="K2504" t="s">
        <v>56</v>
      </c>
      <c r="L2504" t="s">
        <v>28</v>
      </c>
      <c r="M2504">
        <v>11500.045</v>
      </c>
      <c r="N2504">
        <v>2020</v>
      </c>
      <c r="O2504">
        <v>6</v>
      </c>
    </row>
    <row r="2505" spans="1:15" x14ac:dyDescent="0.3">
      <c r="A2505" s="1">
        <v>43996</v>
      </c>
      <c r="B2505">
        <v>1000000104</v>
      </c>
      <c r="C2505" t="s">
        <v>42</v>
      </c>
      <c r="D2505">
        <v>1</v>
      </c>
      <c r="E2505">
        <v>17000.73</v>
      </c>
      <c r="F2505" t="s">
        <v>16</v>
      </c>
      <c r="G2505" t="s">
        <v>43</v>
      </c>
      <c r="H2505" t="s">
        <v>18</v>
      </c>
      <c r="I2505" t="s">
        <v>40</v>
      </c>
      <c r="J2505" t="s">
        <v>26</v>
      </c>
      <c r="K2505" t="s">
        <v>41</v>
      </c>
      <c r="L2505" t="s">
        <v>22</v>
      </c>
      <c r="M2505">
        <v>17000.73</v>
      </c>
      <c r="N2505">
        <v>2020</v>
      </c>
      <c r="O2505">
        <v>6</v>
      </c>
    </row>
    <row r="2506" spans="1:15" x14ac:dyDescent="0.3">
      <c r="A2506" s="1">
        <v>43996</v>
      </c>
      <c r="B2506">
        <v>1000000237</v>
      </c>
      <c r="C2506" t="s">
        <v>23</v>
      </c>
      <c r="D2506">
        <v>1</v>
      </c>
      <c r="E2506">
        <v>500.36</v>
      </c>
      <c r="F2506" t="s">
        <v>16</v>
      </c>
      <c r="G2506" t="s">
        <v>24</v>
      </c>
      <c r="H2506" t="s">
        <v>18</v>
      </c>
      <c r="I2506" t="s">
        <v>40</v>
      </c>
      <c r="J2506" t="s">
        <v>26</v>
      </c>
      <c r="K2506" t="s">
        <v>41</v>
      </c>
      <c r="L2506" t="s">
        <v>22</v>
      </c>
      <c r="M2506">
        <v>500.36</v>
      </c>
      <c r="N2506">
        <v>2020</v>
      </c>
      <c r="O2506">
        <v>6</v>
      </c>
    </row>
    <row r="2507" spans="1:15" x14ac:dyDescent="0.3">
      <c r="A2507" s="1">
        <v>43996</v>
      </c>
      <c r="B2507">
        <v>1000000566</v>
      </c>
      <c r="C2507" t="s">
        <v>23</v>
      </c>
      <c r="D2507">
        <v>2</v>
      </c>
      <c r="E2507">
        <v>30000.449999999997</v>
      </c>
      <c r="F2507" t="s">
        <v>16</v>
      </c>
      <c r="G2507" t="s">
        <v>24</v>
      </c>
      <c r="H2507" t="s">
        <v>47</v>
      </c>
      <c r="I2507" t="s">
        <v>48</v>
      </c>
      <c r="J2507" t="s">
        <v>36</v>
      </c>
      <c r="K2507" t="s">
        <v>49</v>
      </c>
      <c r="L2507" t="s">
        <v>22</v>
      </c>
      <c r="M2507">
        <v>15000.224999999999</v>
      </c>
      <c r="N2507">
        <v>2020</v>
      </c>
      <c r="O2507">
        <v>6</v>
      </c>
    </row>
    <row r="2508" spans="1:15" x14ac:dyDescent="0.3">
      <c r="A2508" s="1">
        <v>43996</v>
      </c>
      <c r="B2508">
        <v>1000000576</v>
      </c>
      <c r="C2508" t="s">
        <v>23</v>
      </c>
      <c r="D2508">
        <v>1</v>
      </c>
      <c r="E2508">
        <v>2396.0300000000002</v>
      </c>
      <c r="F2508" t="s">
        <v>16</v>
      </c>
      <c r="G2508" t="s">
        <v>24</v>
      </c>
      <c r="H2508" t="s">
        <v>18</v>
      </c>
      <c r="I2508" t="s">
        <v>25</v>
      </c>
      <c r="J2508" t="s">
        <v>36</v>
      </c>
      <c r="K2508" t="s">
        <v>37</v>
      </c>
      <c r="L2508" t="s">
        <v>22</v>
      </c>
      <c r="M2508">
        <v>2396.0300000000002</v>
      </c>
      <c r="N2508">
        <v>2020</v>
      </c>
      <c r="O2508">
        <v>6</v>
      </c>
    </row>
    <row r="2509" spans="1:15" x14ac:dyDescent="0.3">
      <c r="A2509" s="1">
        <v>43996</v>
      </c>
      <c r="B2509">
        <v>1000000594</v>
      </c>
      <c r="C2509" t="s">
        <v>15</v>
      </c>
      <c r="D2509">
        <v>1</v>
      </c>
      <c r="E2509">
        <v>22000.720000000001</v>
      </c>
      <c r="F2509" t="s">
        <v>16</v>
      </c>
      <c r="G2509" t="s">
        <v>17</v>
      </c>
      <c r="H2509" t="s">
        <v>18</v>
      </c>
      <c r="I2509" t="s">
        <v>25</v>
      </c>
      <c r="J2509" t="s">
        <v>20</v>
      </c>
      <c r="K2509" t="s">
        <v>51</v>
      </c>
      <c r="L2509" t="s">
        <v>22</v>
      </c>
      <c r="M2509">
        <v>22000.720000000001</v>
      </c>
      <c r="N2509">
        <v>2020</v>
      </c>
      <c r="O2509">
        <v>6</v>
      </c>
    </row>
    <row r="2510" spans="1:15" x14ac:dyDescent="0.3">
      <c r="A2510" s="1">
        <v>43996</v>
      </c>
      <c r="B2510">
        <v>1000000594</v>
      </c>
      <c r="C2510" t="s">
        <v>42</v>
      </c>
      <c r="D2510">
        <v>1</v>
      </c>
      <c r="E2510">
        <v>11000.18</v>
      </c>
      <c r="F2510" t="s">
        <v>16</v>
      </c>
      <c r="G2510" t="s">
        <v>43</v>
      </c>
      <c r="H2510" t="s">
        <v>18</v>
      </c>
      <c r="I2510" t="s">
        <v>25</v>
      </c>
      <c r="J2510" t="s">
        <v>20</v>
      </c>
      <c r="K2510" t="s">
        <v>51</v>
      </c>
      <c r="L2510" t="s">
        <v>22</v>
      </c>
      <c r="M2510">
        <v>11000.18</v>
      </c>
      <c r="N2510">
        <v>2020</v>
      </c>
      <c r="O2510">
        <v>6</v>
      </c>
    </row>
    <row r="2511" spans="1:15" x14ac:dyDescent="0.3">
      <c r="A2511" s="1">
        <v>43996</v>
      </c>
      <c r="B2511">
        <v>1000000928</v>
      </c>
      <c r="C2511" t="s">
        <v>15</v>
      </c>
      <c r="D2511">
        <v>1</v>
      </c>
      <c r="E2511">
        <v>1715.4</v>
      </c>
      <c r="F2511" t="s">
        <v>16</v>
      </c>
      <c r="G2511" t="s">
        <v>17</v>
      </c>
      <c r="H2511" t="s">
        <v>30</v>
      </c>
      <c r="I2511" t="s">
        <v>57</v>
      </c>
      <c r="J2511" t="s">
        <v>26</v>
      </c>
      <c r="K2511" t="s">
        <v>58</v>
      </c>
      <c r="L2511" t="s">
        <v>22</v>
      </c>
      <c r="M2511">
        <v>1715.4</v>
      </c>
      <c r="N2511">
        <v>2020</v>
      </c>
      <c r="O2511">
        <v>6</v>
      </c>
    </row>
    <row r="2512" spans="1:15" x14ac:dyDescent="0.3">
      <c r="A2512" s="1">
        <v>43996</v>
      </c>
      <c r="B2512">
        <v>1000001513</v>
      </c>
      <c r="C2512" t="s">
        <v>42</v>
      </c>
      <c r="D2512">
        <v>1</v>
      </c>
      <c r="E2512">
        <v>2799.6</v>
      </c>
      <c r="F2512" t="s">
        <v>16</v>
      </c>
      <c r="G2512" t="s">
        <v>43</v>
      </c>
      <c r="H2512" t="s">
        <v>18</v>
      </c>
      <c r="I2512" t="s">
        <v>34</v>
      </c>
      <c r="J2512" t="s">
        <v>20</v>
      </c>
      <c r="K2512" t="s">
        <v>44</v>
      </c>
      <c r="L2512" t="s">
        <v>22</v>
      </c>
      <c r="M2512">
        <v>2799.6</v>
      </c>
      <c r="N2512">
        <v>2020</v>
      </c>
      <c r="O2512">
        <v>6</v>
      </c>
    </row>
    <row r="2513" spans="1:15" x14ac:dyDescent="0.3">
      <c r="A2513" s="1">
        <v>43996</v>
      </c>
      <c r="B2513">
        <v>1000001524</v>
      </c>
      <c r="C2513" t="s">
        <v>23</v>
      </c>
      <c r="D2513">
        <v>2</v>
      </c>
      <c r="E2513">
        <v>23000.76</v>
      </c>
      <c r="F2513" t="s">
        <v>16</v>
      </c>
      <c r="G2513" t="s">
        <v>24</v>
      </c>
      <c r="H2513" t="s">
        <v>18</v>
      </c>
      <c r="I2513" t="s">
        <v>25</v>
      </c>
      <c r="J2513" t="s">
        <v>20</v>
      </c>
      <c r="K2513" t="s">
        <v>51</v>
      </c>
      <c r="L2513" t="s">
        <v>22</v>
      </c>
      <c r="M2513">
        <v>11500.38</v>
      </c>
      <c r="N2513">
        <v>2020</v>
      </c>
      <c r="O2513">
        <v>6</v>
      </c>
    </row>
    <row r="2514" spans="1:15" x14ac:dyDescent="0.3">
      <c r="A2514" s="1">
        <v>43996</v>
      </c>
      <c r="B2514">
        <v>1000003489</v>
      </c>
      <c r="C2514" t="s">
        <v>15</v>
      </c>
      <c r="D2514">
        <v>2</v>
      </c>
      <c r="E2514">
        <v>50000.75</v>
      </c>
      <c r="F2514" t="s">
        <v>16</v>
      </c>
      <c r="G2514" t="s">
        <v>17</v>
      </c>
      <c r="H2514" t="s">
        <v>47</v>
      </c>
      <c r="I2514" t="s">
        <v>48</v>
      </c>
      <c r="J2514" t="s">
        <v>26</v>
      </c>
      <c r="K2514" t="s">
        <v>50</v>
      </c>
      <c r="L2514" t="s">
        <v>22</v>
      </c>
      <c r="M2514">
        <v>25000.375</v>
      </c>
      <c r="N2514">
        <v>2020</v>
      </c>
      <c r="O2514">
        <v>6</v>
      </c>
    </row>
    <row r="2515" spans="1:15" x14ac:dyDescent="0.3">
      <c r="A2515" s="1">
        <v>43996</v>
      </c>
      <c r="B2515">
        <v>1000003803</v>
      </c>
      <c r="C2515" t="s">
        <v>15</v>
      </c>
      <c r="D2515">
        <v>1</v>
      </c>
      <c r="E2515">
        <v>10000.530000000001</v>
      </c>
      <c r="F2515" t="s">
        <v>16</v>
      </c>
      <c r="G2515" t="s">
        <v>17</v>
      </c>
      <c r="H2515" t="s">
        <v>30</v>
      </c>
      <c r="I2515" t="s">
        <v>31</v>
      </c>
      <c r="J2515" t="s">
        <v>36</v>
      </c>
      <c r="K2515" t="s">
        <v>52</v>
      </c>
      <c r="L2515" t="s">
        <v>22</v>
      </c>
      <c r="M2515">
        <v>10000.530000000001</v>
      </c>
      <c r="N2515">
        <v>2020</v>
      </c>
      <c r="O2515">
        <v>6</v>
      </c>
    </row>
    <row r="2516" spans="1:15" x14ac:dyDescent="0.3">
      <c r="A2516" s="1">
        <v>43996</v>
      </c>
      <c r="B2516">
        <v>1000003926</v>
      </c>
      <c r="C2516" t="s">
        <v>23</v>
      </c>
      <c r="D2516">
        <v>5</v>
      </c>
      <c r="E2516">
        <v>51053.95</v>
      </c>
      <c r="F2516" t="s">
        <v>16</v>
      </c>
      <c r="G2516" t="s">
        <v>24</v>
      </c>
      <c r="H2516" t="s">
        <v>47</v>
      </c>
      <c r="I2516" t="s">
        <v>48</v>
      </c>
      <c r="J2516" t="s">
        <v>26</v>
      </c>
      <c r="K2516" t="s">
        <v>50</v>
      </c>
      <c r="L2516" t="s">
        <v>28</v>
      </c>
      <c r="M2516">
        <v>10210.789999999999</v>
      </c>
      <c r="N2516">
        <v>2020</v>
      </c>
      <c r="O2516">
        <v>6</v>
      </c>
    </row>
    <row r="2517" spans="1:15" x14ac:dyDescent="0.3">
      <c r="A2517" s="1">
        <v>43996</v>
      </c>
      <c r="B2517">
        <v>1000003989</v>
      </c>
      <c r="C2517" t="s">
        <v>23</v>
      </c>
      <c r="D2517">
        <v>2</v>
      </c>
      <c r="E2517">
        <v>8501.32</v>
      </c>
      <c r="F2517" t="s">
        <v>16</v>
      </c>
      <c r="G2517" t="s">
        <v>24</v>
      </c>
      <c r="H2517" t="s">
        <v>30</v>
      </c>
      <c r="I2517" t="s">
        <v>31</v>
      </c>
      <c r="J2517" t="s">
        <v>36</v>
      </c>
      <c r="K2517" t="s">
        <v>52</v>
      </c>
      <c r="L2517" t="s">
        <v>22</v>
      </c>
      <c r="M2517">
        <v>4250.66</v>
      </c>
      <c r="N2517">
        <v>2020</v>
      </c>
      <c r="O2517">
        <v>6</v>
      </c>
    </row>
    <row r="2518" spans="1:15" x14ac:dyDescent="0.3">
      <c r="A2518" s="1">
        <v>43996</v>
      </c>
      <c r="B2518">
        <v>1000003989</v>
      </c>
      <c r="C2518" t="s">
        <v>15</v>
      </c>
      <c r="D2518">
        <v>1</v>
      </c>
      <c r="E2518">
        <v>25000.45</v>
      </c>
      <c r="F2518" t="s">
        <v>16</v>
      </c>
      <c r="G2518" t="s">
        <v>17</v>
      </c>
      <c r="H2518" t="s">
        <v>30</v>
      </c>
      <c r="I2518" t="s">
        <v>31</v>
      </c>
      <c r="J2518" t="s">
        <v>36</v>
      </c>
      <c r="K2518" t="s">
        <v>52</v>
      </c>
      <c r="L2518" t="s">
        <v>22</v>
      </c>
      <c r="M2518">
        <v>25000.45</v>
      </c>
      <c r="N2518">
        <v>2020</v>
      </c>
      <c r="O2518">
        <v>6</v>
      </c>
    </row>
    <row r="2519" spans="1:15" x14ac:dyDescent="0.3">
      <c r="A2519" s="1">
        <v>43996</v>
      </c>
      <c r="B2519">
        <v>1000004170</v>
      </c>
      <c r="C2519" t="s">
        <v>23</v>
      </c>
      <c r="D2519">
        <v>3</v>
      </c>
      <c r="E2519">
        <v>32000.799999999999</v>
      </c>
      <c r="F2519" t="s">
        <v>16</v>
      </c>
      <c r="G2519" t="s">
        <v>24</v>
      </c>
      <c r="H2519" t="s">
        <v>18</v>
      </c>
      <c r="I2519" t="s">
        <v>34</v>
      </c>
      <c r="J2519" t="s">
        <v>20</v>
      </c>
      <c r="K2519" t="s">
        <v>44</v>
      </c>
      <c r="L2519" t="s">
        <v>28</v>
      </c>
      <c r="M2519">
        <v>10666.933333333332</v>
      </c>
      <c r="N2519">
        <v>2020</v>
      </c>
      <c r="O2519">
        <v>6</v>
      </c>
    </row>
    <row r="2520" spans="1:15" x14ac:dyDescent="0.3">
      <c r="A2520" s="1">
        <v>43996</v>
      </c>
      <c r="B2520">
        <v>1000004170</v>
      </c>
      <c r="C2520" t="s">
        <v>15</v>
      </c>
      <c r="D2520">
        <v>1</v>
      </c>
      <c r="E2520">
        <v>18000.150000000001</v>
      </c>
      <c r="F2520" t="s">
        <v>16</v>
      </c>
      <c r="G2520" t="s">
        <v>17</v>
      </c>
      <c r="H2520" t="s">
        <v>18</v>
      </c>
      <c r="I2520" t="s">
        <v>34</v>
      </c>
      <c r="J2520" t="s">
        <v>20</v>
      </c>
      <c r="K2520" t="s">
        <v>44</v>
      </c>
      <c r="L2520" t="s">
        <v>28</v>
      </c>
      <c r="M2520">
        <v>18000.150000000001</v>
      </c>
      <c r="N2520">
        <v>2020</v>
      </c>
      <c r="O2520">
        <v>6</v>
      </c>
    </row>
    <row r="2521" spans="1:15" x14ac:dyDescent="0.3">
      <c r="A2521" s="1">
        <v>43996</v>
      </c>
      <c r="B2521">
        <v>1000004256</v>
      </c>
      <c r="C2521" t="s">
        <v>15</v>
      </c>
      <c r="D2521">
        <v>1</v>
      </c>
      <c r="E2521">
        <v>15000.43</v>
      </c>
      <c r="F2521" t="s">
        <v>16</v>
      </c>
      <c r="G2521" t="s">
        <v>17</v>
      </c>
      <c r="H2521" t="s">
        <v>18</v>
      </c>
      <c r="I2521" t="s">
        <v>40</v>
      </c>
      <c r="J2521" t="s">
        <v>26</v>
      </c>
      <c r="K2521" t="s">
        <v>41</v>
      </c>
      <c r="L2521" t="s">
        <v>22</v>
      </c>
      <c r="M2521">
        <v>15000.43</v>
      </c>
      <c r="N2521">
        <v>2020</v>
      </c>
      <c r="O2521">
        <v>6</v>
      </c>
    </row>
    <row r="2522" spans="1:15" x14ac:dyDescent="0.3">
      <c r="A2522" s="1">
        <v>43996</v>
      </c>
      <c r="B2522">
        <v>1000004256</v>
      </c>
      <c r="C2522" t="s">
        <v>42</v>
      </c>
      <c r="D2522">
        <v>1</v>
      </c>
      <c r="E2522">
        <v>2199.9899999999998</v>
      </c>
      <c r="F2522" t="s">
        <v>16</v>
      </c>
      <c r="G2522" t="s">
        <v>43</v>
      </c>
      <c r="H2522" t="s">
        <v>18</v>
      </c>
      <c r="I2522" t="s">
        <v>40</v>
      </c>
      <c r="J2522" t="s">
        <v>26</v>
      </c>
      <c r="K2522" t="s">
        <v>41</v>
      </c>
      <c r="L2522" t="s">
        <v>22</v>
      </c>
      <c r="M2522">
        <v>2199.9899999999998</v>
      </c>
      <c r="N2522">
        <v>2020</v>
      </c>
      <c r="O2522">
        <v>6</v>
      </c>
    </row>
    <row r="2523" spans="1:15" x14ac:dyDescent="0.3">
      <c r="A2523" s="1">
        <v>43996</v>
      </c>
      <c r="B2523">
        <v>1000005873</v>
      </c>
      <c r="C2523" t="s">
        <v>23</v>
      </c>
      <c r="D2523">
        <v>3</v>
      </c>
      <c r="E2523">
        <v>25300.95</v>
      </c>
      <c r="F2523" t="s">
        <v>16</v>
      </c>
      <c r="G2523" t="s">
        <v>24</v>
      </c>
      <c r="H2523" t="s">
        <v>18</v>
      </c>
      <c r="I2523" t="s">
        <v>19</v>
      </c>
      <c r="J2523" t="s">
        <v>20</v>
      </c>
      <c r="K2523" t="s">
        <v>21</v>
      </c>
      <c r="L2523" t="s">
        <v>28</v>
      </c>
      <c r="M2523">
        <v>8433.65</v>
      </c>
      <c r="N2523">
        <v>2020</v>
      </c>
      <c r="O2523">
        <v>6</v>
      </c>
    </row>
    <row r="2524" spans="1:15" x14ac:dyDescent="0.3">
      <c r="A2524" s="1">
        <v>43996</v>
      </c>
      <c r="B2524">
        <v>1000005873</v>
      </c>
      <c r="C2524" t="s">
        <v>15</v>
      </c>
      <c r="D2524">
        <v>1</v>
      </c>
      <c r="E2524">
        <v>1160.56</v>
      </c>
      <c r="F2524" t="s">
        <v>16</v>
      </c>
      <c r="G2524" t="s">
        <v>17</v>
      </c>
      <c r="H2524" t="s">
        <v>18</v>
      </c>
      <c r="I2524" t="s">
        <v>19</v>
      </c>
      <c r="J2524" t="s">
        <v>20</v>
      </c>
      <c r="K2524" t="s">
        <v>21</v>
      </c>
      <c r="L2524" t="s">
        <v>28</v>
      </c>
      <c r="M2524">
        <v>1160.56</v>
      </c>
      <c r="N2524">
        <v>2020</v>
      </c>
      <c r="O2524">
        <v>6</v>
      </c>
    </row>
    <row r="2525" spans="1:15" x14ac:dyDescent="0.3">
      <c r="A2525" s="1">
        <v>43996</v>
      </c>
      <c r="B2525">
        <v>1000005873</v>
      </c>
      <c r="C2525" t="s">
        <v>42</v>
      </c>
      <c r="D2525">
        <v>1</v>
      </c>
      <c r="E2525">
        <v>25000.31</v>
      </c>
      <c r="F2525" t="s">
        <v>16</v>
      </c>
      <c r="G2525" t="s">
        <v>43</v>
      </c>
      <c r="H2525" t="s">
        <v>18</v>
      </c>
      <c r="I2525" t="s">
        <v>19</v>
      </c>
      <c r="J2525" t="s">
        <v>20</v>
      </c>
      <c r="K2525" t="s">
        <v>21</v>
      </c>
      <c r="L2525" t="s">
        <v>28</v>
      </c>
      <c r="M2525">
        <v>25000.31</v>
      </c>
      <c r="N2525">
        <v>2020</v>
      </c>
      <c r="O2525">
        <v>6</v>
      </c>
    </row>
    <row r="2526" spans="1:15" x14ac:dyDescent="0.3">
      <c r="A2526" s="1">
        <v>43996</v>
      </c>
      <c r="B2526">
        <v>1000006064</v>
      </c>
      <c r="C2526" t="s">
        <v>15</v>
      </c>
      <c r="D2526">
        <v>1</v>
      </c>
      <c r="E2526">
        <v>1000.69</v>
      </c>
      <c r="F2526" t="s">
        <v>16</v>
      </c>
      <c r="G2526" t="s">
        <v>17</v>
      </c>
      <c r="H2526" t="s">
        <v>18</v>
      </c>
      <c r="I2526" t="s">
        <v>40</v>
      </c>
      <c r="J2526" t="s">
        <v>26</v>
      </c>
      <c r="K2526" t="s">
        <v>41</v>
      </c>
      <c r="L2526" t="s">
        <v>22</v>
      </c>
      <c r="M2526">
        <v>1000.69</v>
      </c>
      <c r="N2526">
        <v>2020</v>
      </c>
      <c r="O2526">
        <v>6</v>
      </c>
    </row>
    <row r="2527" spans="1:15" x14ac:dyDescent="0.3">
      <c r="A2527" s="1">
        <v>43996</v>
      </c>
      <c r="B2527">
        <v>1000006698</v>
      </c>
      <c r="C2527" t="s">
        <v>15</v>
      </c>
      <c r="D2527">
        <v>2</v>
      </c>
      <c r="E2527">
        <v>33000.74</v>
      </c>
      <c r="F2527" t="s">
        <v>16</v>
      </c>
      <c r="G2527" t="s">
        <v>17</v>
      </c>
      <c r="H2527" t="s">
        <v>30</v>
      </c>
      <c r="I2527" t="s">
        <v>38</v>
      </c>
      <c r="J2527" t="s">
        <v>26</v>
      </c>
      <c r="K2527" t="s">
        <v>39</v>
      </c>
      <c r="L2527" t="s">
        <v>28</v>
      </c>
      <c r="M2527">
        <v>16500.37</v>
      </c>
      <c r="N2527">
        <v>2020</v>
      </c>
      <c r="O2527">
        <v>6</v>
      </c>
    </row>
    <row r="2528" spans="1:15" x14ac:dyDescent="0.3">
      <c r="A2528" s="1">
        <v>43996</v>
      </c>
      <c r="B2528">
        <v>1000006698</v>
      </c>
      <c r="C2528" t="s">
        <v>42</v>
      </c>
      <c r="D2528">
        <v>1</v>
      </c>
      <c r="E2528">
        <v>10000.19</v>
      </c>
      <c r="F2528" t="s">
        <v>16</v>
      </c>
      <c r="G2528" t="s">
        <v>43</v>
      </c>
      <c r="H2528" t="s">
        <v>30</v>
      </c>
      <c r="I2528" t="s">
        <v>38</v>
      </c>
      <c r="J2528" t="s">
        <v>26</v>
      </c>
      <c r="K2528" t="s">
        <v>39</v>
      </c>
      <c r="L2528" t="s">
        <v>28</v>
      </c>
      <c r="M2528">
        <v>10000.19</v>
      </c>
      <c r="N2528">
        <v>2020</v>
      </c>
      <c r="O2528">
        <v>6</v>
      </c>
    </row>
    <row r="2529" spans="1:15" x14ac:dyDescent="0.3">
      <c r="A2529" s="1">
        <v>43996</v>
      </c>
      <c r="B2529">
        <v>1000006867</v>
      </c>
      <c r="C2529" t="s">
        <v>23</v>
      </c>
      <c r="D2529">
        <v>1</v>
      </c>
      <c r="E2529">
        <v>20000.189999999999</v>
      </c>
      <c r="F2529" t="s">
        <v>16</v>
      </c>
      <c r="G2529" t="s">
        <v>24</v>
      </c>
      <c r="H2529" t="s">
        <v>18</v>
      </c>
      <c r="I2529" t="s">
        <v>61</v>
      </c>
      <c r="J2529" t="s">
        <v>26</v>
      </c>
      <c r="K2529" t="s">
        <v>62</v>
      </c>
      <c r="L2529" t="s">
        <v>22</v>
      </c>
      <c r="M2529">
        <v>20000.189999999999</v>
      </c>
      <c r="N2529">
        <v>2020</v>
      </c>
      <c r="O2529">
        <v>6</v>
      </c>
    </row>
    <row r="2530" spans="1:15" x14ac:dyDescent="0.3">
      <c r="A2530" s="1">
        <v>43996</v>
      </c>
      <c r="B2530">
        <v>1000006867</v>
      </c>
      <c r="C2530" t="s">
        <v>15</v>
      </c>
      <c r="D2530">
        <v>1</v>
      </c>
      <c r="E2530">
        <v>8000.53</v>
      </c>
      <c r="F2530" t="s">
        <v>16</v>
      </c>
      <c r="G2530" t="s">
        <v>17</v>
      </c>
      <c r="H2530" t="s">
        <v>18</v>
      </c>
      <c r="I2530" t="s">
        <v>61</v>
      </c>
      <c r="J2530" t="s">
        <v>26</v>
      </c>
      <c r="K2530" t="s">
        <v>62</v>
      </c>
      <c r="L2530" t="s">
        <v>22</v>
      </c>
      <c r="M2530">
        <v>8000.53</v>
      </c>
      <c r="N2530">
        <v>2020</v>
      </c>
      <c r="O2530">
        <v>6</v>
      </c>
    </row>
    <row r="2531" spans="1:15" x14ac:dyDescent="0.3">
      <c r="A2531" s="1">
        <v>43996</v>
      </c>
      <c r="B2531">
        <v>1000006867</v>
      </c>
      <c r="C2531" t="s">
        <v>42</v>
      </c>
      <c r="D2531">
        <v>1</v>
      </c>
      <c r="E2531">
        <v>13000.05</v>
      </c>
      <c r="F2531" t="s">
        <v>16</v>
      </c>
      <c r="G2531" t="s">
        <v>43</v>
      </c>
      <c r="H2531" t="s">
        <v>18</v>
      </c>
      <c r="I2531" t="s">
        <v>61</v>
      </c>
      <c r="J2531" t="s">
        <v>26</v>
      </c>
      <c r="K2531" t="s">
        <v>62</v>
      </c>
      <c r="L2531" t="s">
        <v>22</v>
      </c>
      <c r="M2531">
        <v>13000.05</v>
      </c>
      <c r="N2531">
        <v>2020</v>
      </c>
      <c r="O2531">
        <v>6</v>
      </c>
    </row>
    <row r="2532" spans="1:15" x14ac:dyDescent="0.3">
      <c r="A2532" s="1">
        <v>43996</v>
      </c>
      <c r="B2532">
        <v>1000008239</v>
      </c>
      <c r="C2532" t="s">
        <v>23</v>
      </c>
      <c r="D2532">
        <v>1</v>
      </c>
      <c r="E2532">
        <v>18000.669999999998</v>
      </c>
      <c r="F2532" t="s">
        <v>16</v>
      </c>
      <c r="G2532" t="s">
        <v>24</v>
      </c>
      <c r="H2532" t="s">
        <v>18</v>
      </c>
      <c r="I2532" t="s">
        <v>61</v>
      </c>
      <c r="J2532" t="s">
        <v>26</v>
      </c>
      <c r="K2532" t="s">
        <v>62</v>
      </c>
      <c r="L2532" t="s">
        <v>28</v>
      </c>
      <c r="M2532">
        <v>18000.669999999998</v>
      </c>
      <c r="N2532">
        <v>2020</v>
      </c>
      <c r="O2532">
        <v>6</v>
      </c>
    </row>
    <row r="2533" spans="1:15" x14ac:dyDescent="0.3">
      <c r="A2533" s="1">
        <v>43996</v>
      </c>
      <c r="B2533">
        <v>1000008239</v>
      </c>
      <c r="C2533" t="s">
        <v>15</v>
      </c>
      <c r="D2533">
        <v>1</v>
      </c>
      <c r="E2533">
        <v>20000.47</v>
      </c>
      <c r="F2533" t="s">
        <v>16</v>
      </c>
      <c r="G2533" t="s">
        <v>17</v>
      </c>
      <c r="H2533" t="s">
        <v>18</v>
      </c>
      <c r="I2533" t="s">
        <v>61</v>
      </c>
      <c r="J2533" t="s">
        <v>26</v>
      </c>
      <c r="K2533" t="s">
        <v>62</v>
      </c>
      <c r="L2533" t="s">
        <v>28</v>
      </c>
      <c r="M2533">
        <v>20000.47</v>
      </c>
      <c r="N2533">
        <v>2020</v>
      </c>
      <c r="O2533">
        <v>6</v>
      </c>
    </row>
    <row r="2534" spans="1:15" x14ac:dyDescent="0.3">
      <c r="A2534" s="1">
        <v>43996</v>
      </c>
      <c r="B2534">
        <v>1000008542</v>
      </c>
      <c r="C2534" t="s">
        <v>15</v>
      </c>
      <c r="D2534">
        <v>1</v>
      </c>
      <c r="E2534">
        <v>500.76</v>
      </c>
      <c r="F2534" t="s">
        <v>16</v>
      </c>
      <c r="G2534" t="s">
        <v>17</v>
      </c>
      <c r="H2534" t="s">
        <v>18</v>
      </c>
      <c r="I2534" t="s">
        <v>40</v>
      </c>
      <c r="J2534" t="s">
        <v>26</v>
      </c>
      <c r="K2534" t="s">
        <v>41</v>
      </c>
      <c r="L2534" t="s">
        <v>22</v>
      </c>
      <c r="M2534">
        <v>500.76</v>
      </c>
      <c r="N2534">
        <v>2020</v>
      </c>
      <c r="O2534">
        <v>6</v>
      </c>
    </row>
    <row r="2535" spans="1:15" x14ac:dyDescent="0.3">
      <c r="A2535" s="1">
        <v>43996</v>
      </c>
      <c r="B2535">
        <v>1000010814</v>
      </c>
      <c r="C2535" t="s">
        <v>42</v>
      </c>
      <c r="D2535">
        <v>1</v>
      </c>
      <c r="E2535">
        <v>5000.3</v>
      </c>
      <c r="F2535" t="s">
        <v>16</v>
      </c>
      <c r="G2535" t="s">
        <v>43</v>
      </c>
      <c r="H2535" t="s">
        <v>18</v>
      </c>
      <c r="I2535" t="s">
        <v>61</v>
      </c>
      <c r="J2535" t="s">
        <v>32</v>
      </c>
      <c r="K2535" t="s">
        <v>63</v>
      </c>
      <c r="L2535" t="s">
        <v>22</v>
      </c>
      <c r="M2535">
        <v>5000.3</v>
      </c>
      <c r="N2535">
        <v>2020</v>
      </c>
      <c r="O2535">
        <v>6</v>
      </c>
    </row>
    <row r="2536" spans="1:15" x14ac:dyDescent="0.3">
      <c r="A2536" s="1">
        <v>43996</v>
      </c>
      <c r="B2536">
        <v>1000010815</v>
      </c>
      <c r="C2536" t="s">
        <v>15</v>
      </c>
      <c r="D2536">
        <v>1</v>
      </c>
      <c r="E2536">
        <v>5000.04</v>
      </c>
      <c r="F2536" t="s">
        <v>16</v>
      </c>
      <c r="G2536" t="s">
        <v>17</v>
      </c>
      <c r="H2536" t="s">
        <v>18</v>
      </c>
      <c r="I2536" t="s">
        <v>61</v>
      </c>
      <c r="J2536" t="s">
        <v>26</v>
      </c>
      <c r="K2536" t="s">
        <v>62</v>
      </c>
      <c r="L2536" t="s">
        <v>22</v>
      </c>
      <c r="M2536">
        <v>5000.04</v>
      </c>
      <c r="N2536">
        <v>2020</v>
      </c>
      <c r="O2536">
        <v>6</v>
      </c>
    </row>
    <row r="2537" spans="1:15" x14ac:dyDescent="0.3">
      <c r="A2537" s="1">
        <v>43996</v>
      </c>
      <c r="B2537">
        <v>1000010881</v>
      </c>
      <c r="C2537" t="s">
        <v>15</v>
      </c>
      <c r="D2537">
        <v>1</v>
      </c>
      <c r="E2537">
        <v>17000.080000000002</v>
      </c>
      <c r="F2537" t="s">
        <v>16</v>
      </c>
      <c r="G2537" t="s">
        <v>17</v>
      </c>
      <c r="H2537" t="s">
        <v>47</v>
      </c>
      <c r="I2537" t="s">
        <v>48</v>
      </c>
      <c r="J2537" t="s">
        <v>26</v>
      </c>
      <c r="K2537" t="s">
        <v>50</v>
      </c>
      <c r="L2537" t="s">
        <v>22</v>
      </c>
      <c r="M2537">
        <v>17000.080000000002</v>
      </c>
      <c r="N2537">
        <v>2020</v>
      </c>
      <c r="O2537">
        <v>6</v>
      </c>
    </row>
    <row r="2538" spans="1:15" x14ac:dyDescent="0.3">
      <c r="A2538" s="1">
        <v>43996</v>
      </c>
      <c r="B2538">
        <v>1000011697</v>
      </c>
      <c r="C2538" t="s">
        <v>23</v>
      </c>
      <c r="D2538">
        <v>1</v>
      </c>
      <c r="E2538">
        <v>16000.64</v>
      </c>
      <c r="F2538" t="s">
        <v>16</v>
      </c>
      <c r="G2538" t="s">
        <v>24</v>
      </c>
      <c r="H2538" t="s">
        <v>18</v>
      </c>
      <c r="I2538" t="s">
        <v>34</v>
      </c>
      <c r="J2538" t="s">
        <v>20</v>
      </c>
      <c r="K2538" t="s">
        <v>44</v>
      </c>
      <c r="L2538" t="s">
        <v>22</v>
      </c>
      <c r="M2538">
        <v>16000.64</v>
      </c>
      <c r="N2538">
        <v>2020</v>
      </c>
      <c r="O2538">
        <v>6</v>
      </c>
    </row>
    <row r="2539" spans="1:15" x14ac:dyDescent="0.3">
      <c r="A2539" s="1">
        <v>43996</v>
      </c>
      <c r="B2539">
        <v>1000012099</v>
      </c>
      <c r="C2539" t="s">
        <v>23</v>
      </c>
      <c r="D2539">
        <v>2</v>
      </c>
      <c r="E2539">
        <v>33001.31</v>
      </c>
      <c r="F2539" t="s">
        <v>16</v>
      </c>
      <c r="G2539" t="s">
        <v>24</v>
      </c>
      <c r="H2539" t="s">
        <v>18</v>
      </c>
      <c r="I2539" t="s">
        <v>19</v>
      </c>
      <c r="J2539" t="s">
        <v>20</v>
      </c>
      <c r="K2539" t="s">
        <v>21</v>
      </c>
      <c r="L2539" t="s">
        <v>22</v>
      </c>
      <c r="M2539">
        <v>16500.654999999999</v>
      </c>
      <c r="N2539">
        <v>2020</v>
      </c>
      <c r="O2539">
        <v>6</v>
      </c>
    </row>
    <row r="2540" spans="1:15" x14ac:dyDescent="0.3">
      <c r="A2540" s="1">
        <v>43996</v>
      </c>
      <c r="B2540">
        <v>1000012099</v>
      </c>
      <c r="C2540" t="s">
        <v>15</v>
      </c>
      <c r="D2540">
        <v>4</v>
      </c>
      <c r="E2540">
        <v>62000.67</v>
      </c>
      <c r="F2540" t="s">
        <v>16</v>
      </c>
      <c r="G2540" t="s">
        <v>17</v>
      </c>
      <c r="H2540" t="s">
        <v>18</v>
      </c>
      <c r="I2540" t="s">
        <v>19</v>
      </c>
      <c r="J2540" t="s">
        <v>20</v>
      </c>
      <c r="K2540" t="s">
        <v>21</v>
      </c>
      <c r="L2540" t="s">
        <v>22</v>
      </c>
      <c r="M2540">
        <v>15500.1675</v>
      </c>
      <c r="N2540">
        <v>2020</v>
      </c>
      <c r="O2540">
        <v>6</v>
      </c>
    </row>
    <row r="2541" spans="1:15" x14ac:dyDescent="0.3">
      <c r="A2541" s="1">
        <v>43996</v>
      </c>
      <c r="B2541">
        <v>1000012112</v>
      </c>
      <c r="C2541" t="s">
        <v>23</v>
      </c>
      <c r="D2541">
        <v>4</v>
      </c>
      <c r="E2541">
        <v>41901.68</v>
      </c>
      <c r="F2541" t="s">
        <v>16</v>
      </c>
      <c r="G2541" t="s">
        <v>24</v>
      </c>
      <c r="H2541" t="s">
        <v>18</v>
      </c>
      <c r="I2541" t="s">
        <v>19</v>
      </c>
      <c r="J2541" t="s">
        <v>36</v>
      </c>
      <c r="K2541" t="s">
        <v>64</v>
      </c>
      <c r="L2541" t="s">
        <v>28</v>
      </c>
      <c r="M2541">
        <v>10475.42</v>
      </c>
      <c r="N2541">
        <v>2020</v>
      </c>
      <c r="O2541">
        <v>6</v>
      </c>
    </row>
    <row r="2542" spans="1:15" x14ac:dyDescent="0.3">
      <c r="A2542" s="1">
        <v>43996</v>
      </c>
      <c r="B2542">
        <v>1000012124</v>
      </c>
      <c r="C2542" t="s">
        <v>23</v>
      </c>
      <c r="D2542">
        <v>1</v>
      </c>
      <c r="E2542">
        <v>18000.080000000002</v>
      </c>
      <c r="F2542" t="s">
        <v>16</v>
      </c>
      <c r="G2542" t="s">
        <v>24</v>
      </c>
      <c r="H2542" t="s">
        <v>18</v>
      </c>
      <c r="I2542" t="s">
        <v>19</v>
      </c>
      <c r="J2542" t="s">
        <v>26</v>
      </c>
      <c r="K2542" t="s">
        <v>29</v>
      </c>
      <c r="L2542" t="s">
        <v>22</v>
      </c>
      <c r="M2542">
        <v>18000.080000000002</v>
      </c>
      <c r="N2542">
        <v>2020</v>
      </c>
      <c r="O2542">
        <v>6</v>
      </c>
    </row>
    <row r="2543" spans="1:15" x14ac:dyDescent="0.3">
      <c r="A2543" s="1">
        <v>43996</v>
      </c>
      <c r="B2543">
        <v>1000012124</v>
      </c>
      <c r="C2543" t="s">
        <v>15</v>
      </c>
      <c r="D2543">
        <v>1</v>
      </c>
      <c r="E2543">
        <v>20000.25</v>
      </c>
      <c r="F2543" t="s">
        <v>16</v>
      </c>
      <c r="G2543" t="s">
        <v>17</v>
      </c>
      <c r="H2543" t="s">
        <v>18</v>
      </c>
      <c r="I2543" t="s">
        <v>19</v>
      </c>
      <c r="J2543" t="s">
        <v>26</v>
      </c>
      <c r="K2543" t="s">
        <v>29</v>
      </c>
      <c r="L2543" t="s">
        <v>22</v>
      </c>
      <c r="M2543">
        <v>20000.25</v>
      </c>
      <c r="N2543">
        <v>2020</v>
      </c>
      <c r="O2543">
        <v>6</v>
      </c>
    </row>
    <row r="2544" spans="1:15" x14ac:dyDescent="0.3">
      <c r="A2544" s="1">
        <v>43996</v>
      </c>
      <c r="B2544">
        <v>1000012126</v>
      </c>
      <c r="C2544" t="s">
        <v>15</v>
      </c>
      <c r="D2544">
        <v>1</v>
      </c>
      <c r="E2544">
        <v>15000.39</v>
      </c>
      <c r="F2544" t="s">
        <v>16</v>
      </c>
      <c r="G2544" t="s">
        <v>17</v>
      </c>
      <c r="H2544" t="s">
        <v>18</v>
      </c>
      <c r="I2544" t="s">
        <v>19</v>
      </c>
      <c r="J2544" t="s">
        <v>26</v>
      </c>
      <c r="K2544" t="s">
        <v>29</v>
      </c>
      <c r="L2544" t="s">
        <v>22</v>
      </c>
      <c r="M2544">
        <v>15000.39</v>
      </c>
      <c r="N2544">
        <v>2020</v>
      </c>
      <c r="O2544">
        <v>6</v>
      </c>
    </row>
    <row r="2545" spans="1:15" x14ac:dyDescent="0.3">
      <c r="A2545" s="1">
        <v>43996</v>
      </c>
      <c r="B2545">
        <v>1000012234</v>
      </c>
      <c r="C2545" t="s">
        <v>23</v>
      </c>
      <c r="D2545">
        <v>1</v>
      </c>
      <c r="E2545">
        <v>14000.59</v>
      </c>
      <c r="F2545" t="s">
        <v>16</v>
      </c>
      <c r="G2545" t="s">
        <v>24</v>
      </c>
      <c r="H2545" t="s">
        <v>18</v>
      </c>
      <c r="I2545" t="s">
        <v>25</v>
      </c>
      <c r="J2545" t="s">
        <v>26</v>
      </c>
      <c r="K2545" t="s">
        <v>27</v>
      </c>
      <c r="L2545" t="s">
        <v>22</v>
      </c>
      <c r="M2545">
        <v>14000.59</v>
      </c>
      <c r="N2545">
        <v>2020</v>
      </c>
      <c r="O2545">
        <v>6</v>
      </c>
    </row>
    <row r="2546" spans="1:15" x14ac:dyDescent="0.3">
      <c r="A2546" s="1">
        <v>43996</v>
      </c>
      <c r="B2546">
        <v>1000012234</v>
      </c>
      <c r="C2546" t="s">
        <v>15</v>
      </c>
      <c r="D2546">
        <v>1</v>
      </c>
      <c r="E2546">
        <v>5000.04</v>
      </c>
      <c r="F2546" t="s">
        <v>16</v>
      </c>
      <c r="G2546" t="s">
        <v>17</v>
      </c>
      <c r="H2546" t="s">
        <v>18</v>
      </c>
      <c r="I2546" t="s">
        <v>25</v>
      </c>
      <c r="J2546" t="s">
        <v>26</v>
      </c>
      <c r="K2546" t="s">
        <v>27</v>
      </c>
      <c r="L2546" t="s">
        <v>22</v>
      </c>
      <c r="M2546">
        <v>5000.04</v>
      </c>
      <c r="N2546">
        <v>2020</v>
      </c>
      <c r="O2546">
        <v>6</v>
      </c>
    </row>
    <row r="2547" spans="1:15" x14ac:dyDescent="0.3">
      <c r="A2547" s="1">
        <v>43996</v>
      </c>
      <c r="B2547">
        <v>1000012446</v>
      </c>
      <c r="C2547" t="s">
        <v>15</v>
      </c>
      <c r="D2547">
        <v>1</v>
      </c>
      <c r="E2547">
        <v>20000.64</v>
      </c>
      <c r="F2547" t="s">
        <v>16</v>
      </c>
      <c r="G2547" t="s">
        <v>17</v>
      </c>
      <c r="H2547" t="s">
        <v>30</v>
      </c>
      <c r="I2547" t="s">
        <v>31</v>
      </c>
      <c r="J2547" t="s">
        <v>36</v>
      </c>
      <c r="K2547" t="s">
        <v>52</v>
      </c>
      <c r="L2547" t="s">
        <v>22</v>
      </c>
      <c r="M2547">
        <v>20000.64</v>
      </c>
      <c r="N2547">
        <v>2020</v>
      </c>
      <c r="O2547">
        <v>6</v>
      </c>
    </row>
    <row r="2548" spans="1:15" x14ac:dyDescent="0.3">
      <c r="A2548" s="1">
        <v>43996</v>
      </c>
      <c r="B2548">
        <v>1000012675</v>
      </c>
      <c r="C2548" t="s">
        <v>23</v>
      </c>
      <c r="D2548">
        <v>1</v>
      </c>
      <c r="E2548">
        <v>7000.21</v>
      </c>
      <c r="F2548" t="s">
        <v>16</v>
      </c>
      <c r="G2548" t="s">
        <v>24</v>
      </c>
      <c r="H2548" t="s">
        <v>18</v>
      </c>
      <c r="I2548" t="s">
        <v>34</v>
      </c>
      <c r="J2548" t="s">
        <v>26</v>
      </c>
      <c r="K2548" t="s">
        <v>35</v>
      </c>
      <c r="L2548" t="s">
        <v>22</v>
      </c>
      <c r="M2548">
        <v>7000.21</v>
      </c>
      <c r="N2548">
        <v>2020</v>
      </c>
      <c r="O2548">
        <v>6</v>
      </c>
    </row>
    <row r="2549" spans="1:15" x14ac:dyDescent="0.3">
      <c r="A2549" s="1">
        <v>43996</v>
      </c>
      <c r="B2549">
        <v>1000012675</v>
      </c>
      <c r="C2549" t="s">
        <v>15</v>
      </c>
      <c r="D2549">
        <v>2</v>
      </c>
      <c r="E2549">
        <v>42001</v>
      </c>
      <c r="F2549" t="s">
        <v>16</v>
      </c>
      <c r="G2549" t="s">
        <v>17</v>
      </c>
      <c r="H2549" t="s">
        <v>18</v>
      </c>
      <c r="I2549" t="s">
        <v>34</v>
      </c>
      <c r="J2549" t="s">
        <v>26</v>
      </c>
      <c r="K2549" t="s">
        <v>35</v>
      </c>
      <c r="L2549" t="s">
        <v>22</v>
      </c>
      <c r="M2549">
        <v>21000.5</v>
      </c>
      <c r="N2549">
        <v>2020</v>
      </c>
      <c r="O2549">
        <v>6</v>
      </c>
    </row>
    <row r="2550" spans="1:15" x14ac:dyDescent="0.3">
      <c r="A2550" s="1">
        <v>43996</v>
      </c>
      <c r="B2550">
        <v>1000013535</v>
      </c>
      <c r="C2550" t="s">
        <v>23</v>
      </c>
      <c r="D2550">
        <v>1</v>
      </c>
      <c r="E2550">
        <v>16000.13</v>
      </c>
      <c r="F2550" t="s">
        <v>16</v>
      </c>
      <c r="G2550" t="s">
        <v>24</v>
      </c>
      <c r="H2550" t="s">
        <v>47</v>
      </c>
      <c r="I2550" t="s">
        <v>48</v>
      </c>
      <c r="J2550" t="s">
        <v>36</v>
      </c>
      <c r="K2550" t="s">
        <v>49</v>
      </c>
      <c r="L2550" t="s">
        <v>22</v>
      </c>
      <c r="M2550">
        <v>16000.13</v>
      </c>
      <c r="N2550">
        <v>2020</v>
      </c>
      <c r="O2550">
        <v>6</v>
      </c>
    </row>
    <row r="2551" spans="1:15" x14ac:dyDescent="0.3">
      <c r="A2551" s="1">
        <v>43996</v>
      </c>
      <c r="B2551">
        <v>1000013546</v>
      </c>
      <c r="C2551" t="s">
        <v>42</v>
      </c>
      <c r="D2551">
        <v>1</v>
      </c>
      <c r="E2551">
        <v>6500.31</v>
      </c>
      <c r="F2551" t="s">
        <v>16</v>
      </c>
      <c r="G2551" t="s">
        <v>43</v>
      </c>
      <c r="H2551" t="s">
        <v>18</v>
      </c>
      <c r="I2551" t="s">
        <v>40</v>
      </c>
      <c r="J2551" t="s">
        <v>26</v>
      </c>
      <c r="K2551" t="s">
        <v>41</v>
      </c>
      <c r="L2551" t="s">
        <v>22</v>
      </c>
      <c r="M2551">
        <v>6500.31</v>
      </c>
      <c r="N2551">
        <v>2020</v>
      </c>
      <c r="O2551">
        <v>6</v>
      </c>
    </row>
    <row r="2552" spans="1:15" x14ac:dyDescent="0.3">
      <c r="A2552" s="1">
        <v>43996</v>
      </c>
      <c r="B2552">
        <v>1000013607</v>
      </c>
      <c r="C2552" t="s">
        <v>15</v>
      </c>
      <c r="D2552">
        <v>1</v>
      </c>
      <c r="E2552">
        <v>17000.72</v>
      </c>
      <c r="F2552" t="s">
        <v>16</v>
      </c>
      <c r="G2552" t="s">
        <v>17</v>
      </c>
      <c r="H2552" t="s">
        <v>18</v>
      </c>
      <c r="I2552" t="s">
        <v>25</v>
      </c>
      <c r="J2552" t="s">
        <v>26</v>
      </c>
      <c r="K2552" t="s">
        <v>27</v>
      </c>
      <c r="L2552" t="s">
        <v>22</v>
      </c>
      <c r="M2552">
        <v>17000.72</v>
      </c>
      <c r="N2552">
        <v>2020</v>
      </c>
      <c r="O2552">
        <v>6</v>
      </c>
    </row>
    <row r="2553" spans="1:15" x14ac:dyDescent="0.3">
      <c r="A2553" s="1">
        <v>43996</v>
      </c>
      <c r="B2553">
        <v>1000014037</v>
      </c>
      <c r="C2553" t="s">
        <v>15</v>
      </c>
      <c r="D2553">
        <v>2</v>
      </c>
      <c r="E2553">
        <v>22501.14</v>
      </c>
      <c r="F2553" t="s">
        <v>16</v>
      </c>
      <c r="G2553" t="s">
        <v>17</v>
      </c>
      <c r="H2553" t="s">
        <v>18</v>
      </c>
      <c r="I2553" t="s">
        <v>25</v>
      </c>
      <c r="J2553" t="s">
        <v>36</v>
      </c>
      <c r="K2553" t="s">
        <v>37</v>
      </c>
      <c r="L2553" t="s">
        <v>22</v>
      </c>
      <c r="M2553">
        <v>11250.57</v>
      </c>
      <c r="N2553">
        <v>2020</v>
      </c>
      <c r="O2553">
        <v>6</v>
      </c>
    </row>
    <row r="2554" spans="1:15" x14ac:dyDescent="0.3">
      <c r="A2554" s="1">
        <v>43996</v>
      </c>
      <c r="B2554">
        <v>1000014273</v>
      </c>
      <c r="C2554" t="s">
        <v>23</v>
      </c>
      <c r="D2554">
        <v>4</v>
      </c>
      <c r="E2554">
        <v>64000.840000000011</v>
      </c>
      <c r="F2554" t="s">
        <v>16</v>
      </c>
      <c r="G2554" t="s">
        <v>24</v>
      </c>
      <c r="H2554" t="s">
        <v>18</v>
      </c>
      <c r="I2554" t="s">
        <v>19</v>
      </c>
      <c r="J2554" t="s">
        <v>20</v>
      </c>
      <c r="K2554" t="s">
        <v>21</v>
      </c>
      <c r="L2554" t="s">
        <v>22</v>
      </c>
      <c r="M2554">
        <v>16000.210000000003</v>
      </c>
      <c r="N2554">
        <v>2020</v>
      </c>
      <c r="O2554">
        <v>6</v>
      </c>
    </row>
    <row r="2555" spans="1:15" x14ac:dyDescent="0.3">
      <c r="A2555" s="1">
        <v>43996</v>
      </c>
      <c r="B2555">
        <v>1000014273</v>
      </c>
      <c r="C2555" t="s">
        <v>15</v>
      </c>
      <c r="D2555">
        <v>1</v>
      </c>
      <c r="E2555">
        <v>13000.36</v>
      </c>
      <c r="F2555" t="s">
        <v>16</v>
      </c>
      <c r="G2555" t="s">
        <v>17</v>
      </c>
      <c r="H2555" t="s">
        <v>18</v>
      </c>
      <c r="I2555" t="s">
        <v>19</v>
      </c>
      <c r="J2555" t="s">
        <v>20</v>
      </c>
      <c r="K2555" t="s">
        <v>21</v>
      </c>
      <c r="L2555" t="s">
        <v>22</v>
      </c>
      <c r="M2555">
        <v>13000.36</v>
      </c>
      <c r="N2555">
        <v>2020</v>
      </c>
      <c r="O2555">
        <v>6</v>
      </c>
    </row>
    <row r="2556" spans="1:15" x14ac:dyDescent="0.3">
      <c r="A2556" s="1">
        <v>43996</v>
      </c>
      <c r="B2556">
        <v>1000014291</v>
      </c>
      <c r="C2556" t="s">
        <v>23</v>
      </c>
      <c r="D2556">
        <v>3</v>
      </c>
      <c r="E2556">
        <v>53000.72</v>
      </c>
      <c r="F2556" t="s">
        <v>16</v>
      </c>
      <c r="G2556" t="s">
        <v>24</v>
      </c>
      <c r="H2556" t="s">
        <v>47</v>
      </c>
      <c r="I2556" t="s">
        <v>48</v>
      </c>
      <c r="J2556" t="s">
        <v>20</v>
      </c>
      <c r="K2556" t="s">
        <v>67</v>
      </c>
      <c r="L2556" t="s">
        <v>28</v>
      </c>
      <c r="M2556">
        <v>17666.906666666666</v>
      </c>
      <c r="N2556">
        <v>2020</v>
      </c>
      <c r="O2556">
        <v>6</v>
      </c>
    </row>
    <row r="2557" spans="1:15" x14ac:dyDescent="0.3">
      <c r="A2557" s="1">
        <v>43996</v>
      </c>
      <c r="B2557">
        <v>1000014291</v>
      </c>
      <c r="C2557" t="s">
        <v>15</v>
      </c>
      <c r="D2557">
        <v>2</v>
      </c>
      <c r="E2557">
        <v>16501.21</v>
      </c>
      <c r="F2557" t="s">
        <v>16</v>
      </c>
      <c r="G2557" t="s">
        <v>17</v>
      </c>
      <c r="H2557" t="s">
        <v>47</v>
      </c>
      <c r="I2557" t="s">
        <v>48</v>
      </c>
      <c r="J2557" t="s">
        <v>20</v>
      </c>
      <c r="K2557" t="s">
        <v>67</v>
      </c>
      <c r="L2557" t="s">
        <v>28</v>
      </c>
      <c r="M2557">
        <v>8250.6049999999996</v>
      </c>
      <c r="N2557">
        <v>2020</v>
      </c>
      <c r="O2557">
        <v>6</v>
      </c>
    </row>
    <row r="2558" spans="1:15" x14ac:dyDescent="0.3">
      <c r="A2558" s="1">
        <v>43996</v>
      </c>
      <c r="B2558">
        <v>1000014291</v>
      </c>
      <c r="C2558" t="s">
        <v>42</v>
      </c>
      <c r="D2558">
        <v>2</v>
      </c>
      <c r="E2558">
        <v>32000.699999999997</v>
      </c>
      <c r="F2558" t="s">
        <v>16</v>
      </c>
      <c r="G2558" t="s">
        <v>43</v>
      </c>
      <c r="H2558" t="s">
        <v>47</v>
      </c>
      <c r="I2558" t="s">
        <v>48</v>
      </c>
      <c r="J2558" t="s">
        <v>20</v>
      </c>
      <c r="K2558" t="s">
        <v>67</v>
      </c>
      <c r="L2558" t="s">
        <v>28</v>
      </c>
      <c r="M2558">
        <v>16000.349999999999</v>
      </c>
      <c r="N2558">
        <v>2020</v>
      </c>
      <c r="O2558">
        <v>6</v>
      </c>
    </row>
    <row r="2559" spans="1:15" x14ac:dyDescent="0.3">
      <c r="A2559" s="1">
        <v>43996</v>
      </c>
      <c r="B2559">
        <v>1000014572</v>
      </c>
      <c r="C2559" t="s">
        <v>23</v>
      </c>
      <c r="D2559">
        <v>1</v>
      </c>
      <c r="E2559">
        <v>25000.53</v>
      </c>
      <c r="F2559" t="s">
        <v>16</v>
      </c>
      <c r="G2559" t="s">
        <v>24</v>
      </c>
      <c r="H2559" t="s">
        <v>18</v>
      </c>
      <c r="I2559" t="s">
        <v>34</v>
      </c>
      <c r="J2559" t="s">
        <v>26</v>
      </c>
      <c r="K2559" t="s">
        <v>35</v>
      </c>
      <c r="L2559" t="s">
        <v>22</v>
      </c>
      <c r="M2559">
        <v>25000.53</v>
      </c>
      <c r="N2559">
        <v>2020</v>
      </c>
      <c r="O2559">
        <v>6</v>
      </c>
    </row>
    <row r="2560" spans="1:15" x14ac:dyDescent="0.3">
      <c r="A2560" s="1">
        <v>43996</v>
      </c>
      <c r="B2560">
        <v>1000014572</v>
      </c>
      <c r="C2560" t="s">
        <v>15</v>
      </c>
      <c r="D2560">
        <v>2</v>
      </c>
      <c r="E2560">
        <v>38000.35</v>
      </c>
      <c r="F2560" t="s">
        <v>16</v>
      </c>
      <c r="G2560" t="s">
        <v>17</v>
      </c>
      <c r="H2560" t="s">
        <v>18</v>
      </c>
      <c r="I2560" t="s">
        <v>34</v>
      </c>
      <c r="J2560" t="s">
        <v>26</v>
      </c>
      <c r="K2560" t="s">
        <v>35</v>
      </c>
      <c r="L2560" t="s">
        <v>22</v>
      </c>
      <c r="M2560">
        <v>19000.174999999999</v>
      </c>
      <c r="N2560">
        <v>2020</v>
      </c>
      <c r="O2560">
        <v>6</v>
      </c>
    </row>
    <row r="2561" spans="1:15" x14ac:dyDescent="0.3">
      <c r="A2561" s="1">
        <v>43996</v>
      </c>
      <c r="B2561">
        <v>1000014588</v>
      </c>
      <c r="C2561" t="s">
        <v>42</v>
      </c>
      <c r="D2561">
        <v>1</v>
      </c>
      <c r="E2561">
        <v>22000.32</v>
      </c>
      <c r="F2561" t="s">
        <v>16</v>
      </c>
      <c r="G2561" t="s">
        <v>43</v>
      </c>
      <c r="H2561" t="s">
        <v>18</v>
      </c>
      <c r="I2561" t="s">
        <v>40</v>
      </c>
      <c r="J2561" t="s">
        <v>20</v>
      </c>
      <c r="K2561" t="s">
        <v>68</v>
      </c>
      <c r="L2561" t="s">
        <v>22</v>
      </c>
      <c r="M2561">
        <v>22000.32</v>
      </c>
      <c r="N2561">
        <v>2020</v>
      </c>
      <c r="O2561">
        <v>6</v>
      </c>
    </row>
    <row r="2562" spans="1:15" x14ac:dyDescent="0.3">
      <c r="A2562" s="1">
        <v>43996</v>
      </c>
      <c r="B2562">
        <v>1000014879</v>
      </c>
      <c r="C2562" t="s">
        <v>42</v>
      </c>
      <c r="D2562">
        <v>1</v>
      </c>
      <c r="E2562">
        <v>12000.66</v>
      </c>
      <c r="F2562" t="s">
        <v>16</v>
      </c>
      <c r="G2562" t="s">
        <v>43</v>
      </c>
      <c r="H2562" t="s">
        <v>18</v>
      </c>
      <c r="I2562" t="s">
        <v>40</v>
      </c>
      <c r="J2562" t="s">
        <v>26</v>
      </c>
      <c r="K2562" t="s">
        <v>41</v>
      </c>
      <c r="L2562" t="s">
        <v>22</v>
      </c>
      <c r="M2562">
        <v>12000.66</v>
      </c>
      <c r="N2562">
        <v>2020</v>
      </c>
      <c r="O2562">
        <v>6</v>
      </c>
    </row>
    <row r="2563" spans="1:15" x14ac:dyDescent="0.3">
      <c r="A2563" s="1">
        <v>43996</v>
      </c>
      <c r="B2563">
        <v>1000015015</v>
      </c>
      <c r="C2563" t="s">
        <v>23</v>
      </c>
      <c r="D2563">
        <v>1</v>
      </c>
      <c r="E2563">
        <v>25000.38</v>
      </c>
      <c r="F2563" t="s">
        <v>16</v>
      </c>
      <c r="G2563" t="s">
        <v>24</v>
      </c>
      <c r="H2563" t="s">
        <v>18</v>
      </c>
      <c r="I2563" t="s">
        <v>61</v>
      </c>
      <c r="J2563" t="s">
        <v>26</v>
      </c>
      <c r="K2563" t="s">
        <v>62</v>
      </c>
      <c r="L2563" t="s">
        <v>22</v>
      </c>
      <c r="M2563">
        <v>25000.38</v>
      </c>
      <c r="N2563">
        <v>2020</v>
      </c>
      <c r="O2563">
        <v>6</v>
      </c>
    </row>
    <row r="2564" spans="1:15" x14ac:dyDescent="0.3">
      <c r="A2564" s="1">
        <v>43996</v>
      </c>
      <c r="B2564">
        <v>1000015015</v>
      </c>
      <c r="C2564" t="s">
        <v>15</v>
      </c>
      <c r="D2564">
        <v>1</v>
      </c>
      <c r="E2564">
        <v>13999.99</v>
      </c>
      <c r="F2564" t="s">
        <v>16</v>
      </c>
      <c r="G2564" t="s">
        <v>17</v>
      </c>
      <c r="H2564" t="s">
        <v>18</v>
      </c>
      <c r="I2564" t="s">
        <v>61</v>
      </c>
      <c r="J2564" t="s">
        <v>26</v>
      </c>
      <c r="K2564" t="s">
        <v>62</v>
      </c>
      <c r="L2564" t="s">
        <v>22</v>
      </c>
      <c r="M2564">
        <v>13999.99</v>
      </c>
      <c r="N2564">
        <v>2020</v>
      </c>
      <c r="O2564">
        <v>6</v>
      </c>
    </row>
    <row r="2565" spans="1:15" x14ac:dyDescent="0.3">
      <c r="A2565" s="1">
        <v>43996</v>
      </c>
      <c r="B2565">
        <v>1000015133</v>
      </c>
      <c r="C2565" t="s">
        <v>15</v>
      </c>
      <c r="D2565">
        <v>1</v>
      </c>
      <c r="E2565">
        <v>7000.16</v>
      </c>
      <c r="F2565" t="s">
        <v>16</v>
      </c>
      <c r="G2565" t="s">
        <v>17</v>
      </c>
      <c r="H2565" t="s">
        <v>30</v>
      </c>
      <c r="I2565" t="s">
        <v>31</v>
      </c>
      <c r="J2565" t="s">
        <v>36</v>
      </c>
      <c r="K2565" t="s">
        <v>52</v>
      </c>
      <c r="L2565" t="s">
        <v>22</v>
      </c>
      <c r="M2565">
        <v>7000.16</v>
      </c>
      <c r="N2565">
        <v>2020</v>
      </c>
      <c r="O2565">
        <v>6</v>
      </c>
    </row>
    <row r="2566" spans="1:15" x14ac:dyDescent="0.3">
      <c r="A2566" s="1">
        <v>43996</v>
      </c>
      <c r="B2566">
        <v>1000015203</v>
      </c>
      <c r="C2566" t="s">
        <v>15</v>
      </c>
      <c r="D2566">
        <v>1</v>
      </c>
      <c r="E2566">
        <v>13000.03</v>
      </c>
      <c r="F2566" t="s">
        <v>16</v>
      </c>
      <c r="G2566" t="s">
        <v>17</v>
      </c>
      <c r="H2566" t="s">
        <v>47</v>
      </c>
      <c r="I2566" t="s">
        <v>65</v>
      </c>
      <c r="J2566" t="s">
        <v>26</v>
      </c>
      <c r="K2566" t="s">
        <v>66</v>
      </c>
      <c r="L2566" t="s">
        <v>22</v>
      </c>
      <c r="M2566">
        <v>13000.03</v>
      </c>
      <c r="N2566">
        <v>2020</v>
      </c>
      <c r="O2566">
        <v>6</v>
      </c>
    </row>
    <row r="2567" spans="1:15" x14ac:dyDescent="0.3">
      <c r="A2567" s="1">
        <v>43997</v>
      </c>
      <c r="B2567">
        <v>1000000028</v>
      </c>
      <c r="C2567" t="s">
        <v>42</v>
      </c>
      <c r="D2567">
        <v>1</v>
      </c>
      <c r="E2567">
        <v>606.27</v>
      </c>
      <c r="F2567" t="s">
        <v>16</v>
      </c>
      <c r="G2567" t="s">
        <v>43</v>
      </c>
      <c r="H2567" t="s">
        <v>18</v>
      </c>
      <c r="I2567" t="s">
        <v>19</v>
      </c>
      <c r="J2567" t="s">
        <v>20</v>
      </c>
      <c r="K2567" t="s">
        <v>21</v>
      </c>
      <c r="L2567" t="s">
        <v>22</v>
      </c>
      <c r="M2567">
        <v>606.27</v>
      </c>
      <c r="N2567">
        <v>2020</v>
      </c>
      <c r="O2567">
        <v>6</v>
      </c>
    </row>
    <row r="2568" spans="1:15" x14ac:dyDescent="0.3">
      <c r="A2568" s="1">
        <v>43997</v>
      </c>
      <c r="B2568">
        <v>1000000029</v>
      </c>
      <c r="C2568" t="s">
        <v>15</v>
      </c>
      <c r="D2568">
        <v>1</v>
      </c>
      <c r="E2568">
        <v>985.43</v>
      </c>
      <c r="F2568" t="s">
        <v>16</v>
      </c>
      <c r="G2568" t="s">
        <v>17</v>
      </c>
      <c r="H2568" t="s">
        <v>18</v>
      </c>
      <c r="I2568" t="s">
        <v>19</v>
      </c>
      <c r="J2568" t="s">
        <v>20</v>
      </c>
      <c r="K2568" t="s">
        <v>21</v>
      </c>
      <c r="L2568" t="s">
        <v>22</v>
      </c>
      <c r="M2568">
        <v>985.43</v>
      </c>
      <c r="N2568">
        <v>2020</v>
      </c>
      <c r="O2568">
        <v>6</v>
      </c>
    </row>
    <row r="2569" spans="1:15" x14ac:dyDescent="0.3">
      <c r="A2569" s="1">
        <v>43997</v>
      </c>
      <c r="B2569">
        <v>1000000029</v>
      </c>
      <c r="C2569" t="s">
        <v>42</v>
      </c>
      <c r="D2569">
        <v>1</v>
      </c>
      <c r="E2569">
        <v>2847.73</v>
      </c>
      <c r="F2569" t="s">
        <v>16</v>
      </c>
      <c r="G2569" t="s">
        <v>43</v>
      </c>
      <c r="H2569" t="s">
        <v>18</v>
      </c>
      <c r="I2569" t="s">
        <v>19</v>
      </c>
      <c r="J2569" t="s">
        <v>20</v>
      </c>
      <c r="K2569" t="s">
        <v>21</v>
      </c>
      <c r="L2569" t="s">
        <v>22</v>
      </c>
      <c r="M2569">
        <v>2847.73</v>
      </c>
      <c r="N2569">
        <v>2020</v>
      </c>
      <c r="O2569">
        <v>6</v>
      </c>
    </row>
    <row r="2570" spans="1:15" x14ac:dyDescent="0.3">
      <c r="A2570" s="1">
        <v>43997</v>
      </c>
      <c r="B2570">
        <v>1000000031</v>
      </c>
      <c r="C2570" t="s">
        <v>23</v>
      </c>
      <c r="D2570">
        <v>2</v>
      </c>
      <c r="E2570">
        <v>5501.17</v>
      </c>
      <c r="F2570" t="s">
        <v>16</v>
      </c>
      <c r="G2570" t="s">
        <v>24</v>
      </c>
      <c r="H2570" t="s">
        <v>18</v>
      </c>
      <c r="I2570" t="s">
        <v>19</v>
      </c>
      <c r="J2570" t="s">
        <v>26</v>
      </c>
      <c r="K2570" t="s">
        <v>29</v>
      </c>
      <c r="L2570" t="s">
        <v>28</v>
      </c>
      <c r="M2570">
        <v>2750.585</v>
      </c>
      <c r="N2570">
        <v>2020</v>
      </c>
      <c r="O2570">
        <v>6</v>
      </c>
    </row>
    <row r="2571" spans="1:15" x14ac:dyDescent="0.3">
      <c r="A2571" s="1">
        <v>43997</v>
      </c>
      <c r="B2571">
        <v>1000000031</v>
      </c>
      <c r="C2571" t="s">
        <v>15</v>
      </c>
      <c r="D2571">
        <v>1</v>
      </c>
      <c r="E2571">
        <v>6999.95</v>
      </c>
      <c r="F2571" t="s">
        <v>16</v>
      </c>
      <c r="G2571" t="s">
        <v>17</v>
      </c>
      <c r="H2571" t="s">
        <v>18</v>
      </c>
      <c r="I2571" t="s">
        <v>19</v>
      </c>
      <c r="J2571" t="s">
        <v>26</v>
      </c>
      <c r="K2571" t="s">
        <v>29</v>
      </c>
      <c r="L2571" t="s">
        <v>28</v>
      </c>
      <c r="M2571">
        <v>6999.95</v>
      </c>
      <c r="N2571">
        <v>2020</v>
      </c>
      <c r="O2571">
        <v>6</v>
      </c>
    </row>
    <row r="2572" spans="1:15" x14ac:dyDescent="0.3">
      <c r="A2572" s="1">
        <v>43997</v>
      </c>
      <c r="B2572">
        <v>1000000032</v>
      </c>
      <c r="C2572" t="s">
        <v>23</v>
      </c>
      <c r="D2572">
        <v>1</v>
      </c>
      <c r="E2572">
        <v>8000.64</v>
      </c>
      <c r="F2572" t="s">
        <v>16</v>
      </c>
      <c r="G2572" t="s">
        <v>24</v>
      </c>
      <c r="H2572" t="s">
        <v>18</v>
      </c>
      <c r="I2572" t="s">
        <v>25</v>
      </c>
      <c r="J2572" t="s">
        <v>26</v>
      </c>
      <c r="K2572" t="s">
        <v>27</v>
      </c>
      <c r="L2572" t="s">
        <v>28</v>
      </c>
      <c r="M2572">
        <v>8000.64</v>
      </c>
      <c r="N2572">
        <v>2020</v>
      </c>
      <c r="O2572">
        <v>6</v>
      </c>
    </row>
    <row r="2573" spans="1:15" x14ac:dyDescent="0.3">
      <c r="A2573" s="1">
        <v>43997</v>
      </c>
      <c r="B2573">
        <v>1000000032</v>
      </c>
      <c r="C2573" t="s">
        <v>15</v>
      </c>
      <c r="D2573">
        <v>1</v>
      </c>
      <c r="E2573">
        <v>736.33</v>
      </c>
      <c r="F2573" t="s">
        <v>16</v>
      </c>
      <c r="G2573" t="s">
        <v>17</v>
      </c>
      <c r="H2573" t="s">
        <v>18</v>
      </c>
      <c r="I2573" t="s">
        <v>25</v>
      </c>
      <c r="J2573" t="s">
        <v>26</v>
      </c>
      <c r="K2573" t="s">
        <v>27</v>
      </c>
      <c r="L2573" t="s">
        <v>28</v>
      </c>
      <c r="M2573">
        <v>736.33</v>
      </c>
      <c r="N2573">
        <v>2020</v>
      </c>
      <c r="O2573">
        <v>6</v>
      </c>
    </row>
    <row r="2574" spans="1:15" x14ac:dyDescent="0.3">
      <c r="A2574" s="1">
        <v>43997</v>
      </c>
      <c r="B2574">
        <v>1000000033</v>
      </c>
      <c r="C2574" t="s">
        <v>23</v>
      </c>
      <c r="D2574">
        <v>1</v>
      </c>
      <c r="E2574">
        <v>2917.02</v>
      </c>
      <c r="F2574" t="s">
        <v>16</v>
      </c>
      <c r="G2574" t="s">
        <v>24</v>
      </c>
      <c r="H2574" t="s">
        <v>18</v>
      </c>
      <c r="I2574" t="s">
        <v>25</v>
      </c>
      <c r="J2574" t="s">
        <v>26</v>
      </c>
      <c r="K2574" t="s">
        <v>27</v>
      </c>
      <c r="L2574" t="s">
        <v>22</v>
      </c>
      <c r="M2574">
        <v>2917.02</v>
      </c>
      <c r="N2574">
        <v>2020</v>
      </c>
      <c r="O2574">
        <v>6</v>
      </c>
    </row>
    <row r="2575" spans="1:15" x14ac:dyDescent="0.3">
      <c r="A2575" s="1">
        <v>43997</v>
      </c>
      <c r="B2575">
        <v>1000000033</v>
      </c>
      <c r="C2575" t="s">
        <v>15</v>
      </c>
      <c r="D2575">
        <v>2</v>
      </c>
      <c r="E2575">
        <v>32001.02</v>
      </c>
      <c r="F2575" t="s">
        <v>16</v>
      </c>
      <c r="G2575" t="s">
        <v>17</v>
      </c>
      <c r="H2575" t="s">
        <v>18</v>
      </c>
      <c r="I2575" t="s">
        <v>25</v>
      </c>
      <c r="J2575" t="s">
        <v>26</v>
      </c>
      <c r="K2575" t="s">
        <v>27</v>
      </c>
      <c r="L2575" t="s">
        <v>22</v>
      </c>
      <c r="M2575">
        <v>16000.51</v>
      </c>
      <c r="N2575">
        <v>2020</v>
      </c>
      <c r="O2575">
        <v>6</v>
      </c>
    </row>
    <row r="2576" spans="1:15" x14ac:dyDescent="0.3">
      <c r="A2576" s="1">
        <v>43997</v>
      </c>
      <c r="B2576">
        <v>1000000033</v>
      </c>
      <c r="C2576" t="s">
        <v>42</v>
      </c>
      <c r="D2576">
        <v>1</v>
      </c>
      <c r="E2576">
        <v>2000.46</v>
      </c>
      <c r="F2576" t="s">
        <v>16</v>
      </c>
      <c r="G2576" t="s">
        <v>43</v>
      </c>
      <c r="H2576" t="s">
        <v>18</v>
      </c>
      <c r="I2576" t="s">
        <v>25</v>
      </c>
      <c r="J2576" t="s">
        <v>26</v>
      </c>
      <c r="K2576" t="s">
        <v>27</v>
      </c>
      <c r="L2576" t="s">
        <v>22</v>
      </c>
      <c r="M2576">
        <v>2000.46</v>
      </c>
      <c r="N2576">
        <v>2020</v>
      </c>
      <c r="O2576">
        <v>6</v>
      </c>
    </row>
    <row r="2577" spans="1:15" x14ac:dyDescent="0.3">
      <c r="A2577" s="1">
        <v>43997</v>
      </c>
      <c r="B2577">
        <v>1000000034</v>
      </c>
      <c r="C2577" t="s">
        <v>15</v>
      </c>
      <c r="D2577">
        <v>1</v>
      </c>
      <c r="E2577">
        <v>13000.51</v>
      </c>
      <c r="F2577" t="s">
        <v>16</v>
      </c>
      <c r="G2577" t="s">
        <v>17</v>
      </c>
      <c r="H2577" t="s">
        <v>18</v>
      </c>
      <c r="I2577" t="s">
        <v>25</v>
      </c>
      <c r="J2577" t="s">
        <v>26</v>
      </c>
      <c r="K2577" t="s">
        <v>27</v>
      </c>
      <c r="L2577" t="s">
        <v>22</v>
      </c>
      <c r="M2577">
        <v>13000.51</v>
      </c>
      <c r="N2577">
        <v>2020</v>
      </c>
      <c r="O2577">
        <v>6</v>
      </c>
    </row>
    <row r="2578" spans="1:15" x14ac:dyDescent="0.3">
      <c r="A2578" s="1">
        <v>43997</v>
      </c>
      <c r="B2578">
        <v>1000000036</v>
      </c>
      <c r="C2578" t="s">
        <v>23</v>
      </c>
      <c r="D2578">
        <v>1</v>
      </c>
      <c r="E2578">
        <v>19999.96</v>
      </c>
      <c r="F2578" t="s">
        <v>16</v>
      </c>
      <c r="G2578" t="s">
        <v>24</v>
      </c>
      <c r="H2578" t="s">
        <v>47</v>
      </c>
      <c r="I2578" t="s">
        <v>48</v>
      </c>
      <c r="J2578" t="s">
        <v>36</v>
      </c>
      <c r="K2578" t="s">
        <v>49</v>
      </c>
      <c r="L2578" t="s">
        <v>28</v>
      </c>
      <c r="M2578">
        <v>19999.96</v>
      </c>
      <c r="N2578">
        <v>2020</v>
      </c>
      <c r="O2578">
        <v>6</v>
      </c>
    </row>
    <row r="2579" spans="1:15" x14ac:dyDescent="0.3">
      <c r="A2579" s="1">
        <v>43997</v>
      </c>
      <c r="B2579">
        <v>1000000036</v>
      </c>
      <c r="C2579" t="s">
        <v>15</v>
      </c>
      <c r="D2579">
        <v>1</v>
      </c>
      <c r="E2579">
        <v>1779.14</v>
      </c>
      <c r="F2579" t="s">
        <v>16</v>
      </c>
      <c r="G2579" t="s">
        <v>17</v>
      </c>
      <c r="H2579" t="s">
        <v>47</v>
      </c>
      <c r="I2579" t="s">
        <v>48</v>
      </c>
      <c r="J2579" t="s">
        <v>36</v>
      </c>
      <c r="K2579" t="s">
        <v>49</v>
      </c>
      <c r="L2579" t="s">
        <v>28</v>
      </c>
      <c r="M2579">
        <v>1779.14</v>
      </c>
      <c r="N2579">
        <v>2020</v>
      </c>
      <c r="O2579">
        <v>6</v>
      </c>
    </row>
    <row r="2580" spans="1:15" x14ac:dyDescent="0.3">
      <c r="A2580" s="1">
        <v>43997</v>
      </c>
      <c r="B2580">
        <v>1000000039</v>
      </c>
      <c r="C2580" t="s">
        <v>15</v>
      </c>
      <c r="D2580">
        <v>2</v>
      </c>
      <c r="E2580">
        <v>5583.5</v>
      </c>
      <c r="F2580" t="s">
        <v>16</v>
      </c>
      <c r="G2580" t="s">
        <v>17</v>
      </c>
      <c r="H2580" t="s">
        <v>18</v>
      </c>
      <c r="I2580" t="s">
        <v>25</v>
      </c>
      <c r="J2580" t="s">
        <v>20</v>
      </c>
      <c r="K2580" t="s">
        <v>51</v>
      </c>
      <c r="L2580" t="s">
        <v>28</v>
      </c>
      <c r="M2580">
        <v>2791.75</v>
      </c>
      <c r="N2580">
        <v>2020</v>
      </c>
      <c r="O2580">
        <v>6</v>
      </c>
    </row>
    <row r="2581" spans="1:15" x14ac:dyDescent="0.3">
      <c r="A2581" s="1">
        <v>43997</v>
      </c>
      <c r="B2581">
        <v>1000000044</v>
      </c>
      <c r="C2581" t="s">
        <v>23</v>
      </c>
      <c r="D2581">
        <v>1</v>
      </c>
      <c r="E2581">
        <v>1000.14</v>
      </c>
      <c r="F2581" t="s">
        <v>16</v>
      </c>
      <c r="G2581" t="s">
        <v>24</v>
      </c>
      <c r="H2581" t="s">
        <v>30</v>
      </c>
      <c r="I2581" t="s">
        <v>31</v>
      </c>
      <c r="J2581" t="s">
        <v>36</v>
      </c>
      <c r="K2581" t="s">
        <v>52</v>
      </c>
      <c r="L2581" t="s">
        <v>28</v>
      </c>
      <c r="M2581">
        <v>1000.14</v>
      </c>
      <c r="N2581">
        <v>2020</v>
      </c>
      <c r="O2581">
        <v>6</v>
      </c>
    </row>
    <row r="2582" spans="1:15" x14ac:dyDescent="0.3">
      <c r="A2582" s="1">
        <v>43997</v>
      </c>
      <c r="B2582">
        <v>1000000045</v>
      </c>
      <c r="C2582" t="s">
        <v>23</v>
      </c>
      <c r="D2582">
        <v>3</v>
      </c>
      <c r="E2582">
        <v>37001.090000000004</v>
      </c>
      <c r="F2582" t="s">
        <v>16</v>
      </c>
      <c r="G2582" t="s">
        <v>24</v>
      </c>
      <c r="H2582" t="s">
        <v>47</v>
      </c>
      <c r="I2582" t="s">
        <v>59</v>
      </c>
      <c r="J2582" t="s">
        <v>26</v>
      </c>
      <c r="K2582" t="s">
        <v>60</v>
      </c>
      <c r="L2582" t="s">
        <v>22</v>
      </c>
      <c r="M2582">
        <v>12333.696666666669</v>
      </c>
      <c r="N2582">
        <v>2020</v>
      </c>
      <c r="O2582">
        <v>6</v>
      </c>
    </row>
    <row r="2583" spans="1:15" x14ac:dyDescent="0.3">
      <c r="A2583" s="1">
        <v>43997</v>
      </c>
      <c r="B2583">
        <v>1000000054</v>
      </c>
      <c r="C2583" t="s">
        <v>23</v>
      </c>
      <c r="D2583">
        <v>1</v>
      </c>
      <c r="E2583">
        <v>4999.96</v>
      </c>
      <c r="F2583" t="s">
        <v>16</v>
      </c>
      <c r="G2583" t="s">
        <v>24</v>
      </c>
      <c r="H2583" t="s">
        <v>18</v>
      </c>
      <c r="I2583" t="s">
        <v>34</v>
      </c>
      <c r="J2583" t="s">
        <v>26</v>
      </c>
      <c r="K2583" t="s">
        <v>35</v>
      </c>
      <c r="L2583" t="s">
        <v>22</v>
      </c>
      <c r="M2583">
        <v>4999.96</v>
      </c>
      <c r="N2583">
        <v>2020</v>
      </c>
      <c r="O2583">
        <v>6</v>
      </c>
    </row>
    <row r="2584" spans="1:15" x14ac:dyDescent="0.3">
      <c r="A2584" s="1">
        <v>43997</v>
      </c>
      <c r="B2584">
        <v>1000000067</v>
      </c>
      <c r="C2584" t="s">
        <v>23</v>
      </c>
      <c r="D2584">
        <v>1</v>
      </c>
      <c r="E2584">
        <v>10000.719999999999</v>
      </c>
      <c r="F2584" t="s">
        <v>16</v>
      </c>
      <c r="G2584" t="s">
        <v>24</v>
      </c>
      <c r="H2584" t="s">
        <v>18</v>
      </c>
      <c r="I2584" t="s">
        <v>25</v>
      </c>
      <c r="J2584" t="s">
        <v>20</v>
      </c>
      <c r="K2584" t="s">
        <v>51</v>
      </c>
      <c r="L2584" t="s">
        <v>22</v>
      </c>
      <c r="M2584">
        <v>10000.719999999999</v>
      </c>
      <c r="N2584">
        <v>2020</v>
      </c>
      <c r="O2584">
        <v>6</v>
      </c>
    </row>
    <row r="2585" spans="1:15" x14ac:dyDescent="0.3">
      <c r="A2585" s="1">
        <v>43997</v>
      </c>
      <c r="B2585">
        <v>1000000067</v>
      </c>
      <c r="C2585" t="s">
        <v>15</v>
      </c>
      <c r="D2585">
        <v>1</v>
      </c>
      <c r="E2585">
        <v>13000.35</v>
      </c>
      <c r="F2585" t="s">
        <v>16</v>
      </c>
      <c r="G2585" t="s">
        <v>17</v>
      </c>
      <c r="H2585" t="s">
        <v>18</v>
      </c>
      <c r="I2585" t="s">
        <v>25</v>
      </c>
      <c r="J2585" t="s">
        <v>20</v>
      </c>
      <c r="K2585" t="s">
        <v>51</v>
      </c>
      <c r="L2585" t="s">
        <v>22</v>
      </c>
      <c r="M2585">
        <v>13000.35</v>
      </c>
      <c r="N2585">
        <v>2020</v>
      </c>
      <c r="O2585">
        <v>6</v>
      </c>
    </row>
    <row r="2586" spans="1:15" x14ac:dyDescent="0.3">
      <c r="A2586" s="1">
        <v>43997</v>
      </c>
      <c r="B2586">
        <v>1000000104</v>
      </c>
      <c r="C2586" t="s">
        <v>23</v>
      </c>
      <c r="D2586">
        <v>1</v>
      </c>
      <c r="E2586">
        <v>7500.7</v>
      </c>
      <c r="F2586" t="s">
        <v>16</v>
      </c>
      <c r="G2586" t="s">
        <v>24</v>
      </c>
      <c r="H2586" t="s">
        <v>18</v>
      </c>
      <c r="I2586" t="s">
        <v>40</v>
      </c>
      <c r="J2586" t="s">
        <v>26</v>
      </c>
      <c r="K2586" t="s">
        <v>41</v>
      </c>
      <c r="L2586" t="s">
        <v>22</v>
      </c>
      <c r="M2586">
        <v>7500.7</v>
      </c>
      <c r="N2586">
        <v>2020</v>
      </c>
      <c r="O2586">
        <v>6</v>
      </c>
    </row>
    <row r="2587" spans="1:15" x14ac:dyDescent="0.3">
      <c r="A2587" s="1">
        <v>43997</v>
      </c>
      <c r="B2587">
        <v>1000000104</v>
      </c>
      <c r="C2587" t="s">
        <v>15</v>
      </c>
      <c r="D2587">
        <v>1</v>
      </c>
      <c r="E2587">
        <v>1113.68</v>
      </c>
      <c r="F2587" t="s">
        <v>16</v>
      </c>
      <c r="G2587" t="s">
        <v>17</v>
      </c>
      <c r="H2587" t="s">
        <v>18</v>
      </c>
      <c r="I2587" t="s">
        <v>40</v>
      </c>
      <c r="J2587" t="s">
        <v>26</v>
      </c>
      <c r="K2587" t="s">
        <v>41</v>
      </c>
      <c r="L2587" t="s">
        <v>22</v>
      </c>
      <c r="M2587">
        <v>1113.68</v>
      </c>
      <c r="N2587">
        <v>2020</v>
      </c>
      <c r="O2587">
        <v>6</v>
      </c>
    </row>
    <row r="2588" spans="1:15" x14ac:dyDescent="0.3">
      <c r="A2588" s="1">
        <v>43997</v>
      </c>
      <c r="B2588">
        <v>1000000104</v>
      </c>
      <c r="C2588" t="s">
        <v>42</v>
      </c>
      <c r="D2588">
        <v>1</v>
      </c>
      <c r="E2588">
        <v>6000.45</v>
      </c>
      <c r="F2588" t="s">
        <v>16</v>
      </c>
      <c r="G2588" t="s">
        <v>43</v>
      </c>
      <c r="H2588" t="s">
        <v>18</v>
      </c>
      <c r="I2588" t="s">
        <v>40</v>
      </c>
      <c r="J2588" t="s">
        <v>26</v>
      </c>
      <c r="K2588" t="s">
        <v>41</v>
      </c>
      <c r="L2588" t="s">
        <v>22</v>
      </c>
      <c r="M2588">
        <v>6000.45</v>
      </c>
      <c r="N2588">
        <v>2020</v>
      </c>
      <c r="O2588">
        <v>6</v>
      </c>
    </row>
    <row r="2589" spans="1:15" x14ac:dyDescent="0.3">
      <c r="A2589" s="1">
        <v>43997</v>
      </c>
      <c r="B2589">
        <v>1000000237</v>
      </c>
      <c r="C2589" t="s">
        <v>15</v>
      </c>
      <c r="D2589">
        <v>1</v>
      </c>
      <c r="E2589">
        <v>7000.42</v>
      </c>
      <c r="F2589" t="s">
        <v>16</v>
      </c>
      <c r="G2589" t="s">
        <v>17</v>
      </c>
      <c r="H2589" t="s">
        <v>18</v>
      </c>
      <c r="I2589" t="s">
        <v>40</v>
      </c>
      <c r="J2589" t="s">
        <v>26</v>
      </c>
      <c r="K2589" t="s">
        <v>41</v>
      </c>
      <c r="L2589" t="s">
        <v>22</v>
      </c>
      <c r="M2589">
        <v>7000.42</v>
      </c>
      <c r="N2589">
        <v>2020</v>
      </c>
      <c r="O2589">
        <v>6</v>
      </c>
    </row>
    <row r="2590" spans="1:15" x14ac:dyDescent="0.3">
      <c r="A2590" s="1">
        <v>43997</v>
      </c>
      <c r="B2590">
        <v>1000000237</v>
      </c>
      <c r="C2590" t="s">
        <v>42</v>
      </c>
      <c r="D2590">
        <v>1</v>
      </c>
      <c r="E2590">
        <v>7000.47</v>
      </c>
      <c r="F2590" t="s">
        <v>16</v>
      </c>
      <c r="G2590" t="s">
        <v>43</v>
      </c>
      <c r="H2590" t="s">
        <v>18</v>
      </c>
      <c r="I2590" t="s">
        <v>40</v>
      </c>
      <c r="J2590" t="s">
        <v>26</v>
      </c>
      <c r="K2590" t="s">
        <v>41</v>
      </c>
      <c r="L2590" t="s">
        <v>22</v>
      </c>
      <c r="M2590">
        <v>7000.47</v>
      </c>
      <c r="N2590">
        <v>2020</v>
      </c>
      <c r="O2590">
        <v>6</v>
      </c>
    </row>
    <row r="2591" spans="1:15" x14ac:dyDescent="0.3">
      <c r="A2591" s="1">
        <v>43997</v>
      </c>
      <c r="B2591">
        <v>1000000266</v>
      </c>
      <c r="C2591" t="s">
        <v>15</v>
      </c>
      <c r="D2591">
        <v>1</v>
      </c>
      <c r="E2591">
        <v>6500.75</v>
      </c>
      <c r="F2591" t="s">
        <v>16</v>
      </c>
      <c r="G2591" t="s">
        <v>17</v>
      </c>
      <c r="H2591" t="s">
        <v>30</v>
      </c>
      <c r="I2591" t="s">
        <v>55</v>
      </c>
      <c r="J2591" t="s">
        <v>26</v>
      </c>
      <c r="K2591" t="s">
        <v>56</v>
      </c>
      <c r="L2591" t="s">
        <v>22</v>
      </c>
      <c r="M2591">
        <v>6500.75</v>
      </c>
      <c r="N2591">
        <v>2020</v>
      </c>
      <c r="O2591">
        <v>6</v>
      </c>
    </row>
    <row r="2592" spans="1:15" x14ac:dyDescent="0.3">
      <c r="A2592" s="1">
        <v>43997</v>
      </c>
      <c r="B2592">
        <v>1000000566</v>
      </c>
      <c r="C2592" t="s">
        <v>23</v>
      </c>
      <c r="D2592">
        <v>1</v>
      </c>
      <c r="E2592">
        <v>6000.72</v>
      </c>
      <c r="F2592" t="s">
        <v>16</v>
      </c>
      <c r="G2592" t="s">
        <v>24</v>
      </c>
      <c r="H2592" t="s">
        <v>47</v>
      </c>
      <c r="I2592" t="s">
        <v>48</v>
      </c>
      <c r="J2592" t="s">
        <v>36</v>
      </c>
      <c r="K2592" t="s">
        <v>49</v>
      </c>
      <c r="L2592" t="s">
        <v>22</v>
      </c>
      <c r="M2592">
        <v>6000.72</v>
      </c>
      <c r="N2592">
        <v>2020</v>
      </c>
      <c r="O2592">
        <v>6</v>
      </c>
    </row>
    <row r="2593" spans="1:15" x14ac:dyDescent="0.3">
      <c r="A2593" s="1">
        <v>43997</v>
      </c>
      <c r="B2593">
        <v>1000000576</v>
      </c>
      <c r="C2593" t="s">
        <v>15</v>
      </c>
      <c r="D2593">
        <v>4</v>
      </c>
      <c r="E2593">
        <v>54501.180000000008</v>
      </c>
      <c r="F2593" t="s">
        <v>16</v>
      </c>
      <c r="G2593" t="s">
        <v>17</v>
      </c>
      <c r="H2593" t="s">
        <v>18</v>
      </c>
      <c r="I2593" t="s">
        <v>25</v>
      </c>
      <c r="J2593" t="s">
        <v>36</v>
      </c>
      <c r="K2593" t="s">
        <v>37</v>
      </c>
      <c r="L2593" t="s">
        <v>22</v>
      </c>
      <c r="M2593">
        <v>13625.295000000002</v>
      </c>
      <c r="N2593">
        <v>2020</v>
      </c>
      <c r="O2593">
        <v>6</v>
      </c>
    </row>
    <row r="2594" spans="1:15" x14ac:dyDescent="0.3">
      <c r="A2594" s="1">
        <v>43997</v>
      </c>
      <c r="B2594">
        <v>1000000594</v>
      </c>
      <c r="C2594" t="s">
        <v>42</v>
      </c>
      <c r="D2594">
        <v>1</v>
      </c>
      <c r="E2594">
        <v>14000.06</v>
      </c>
      <c r="F2594" t="s">
        <v>16</v>
      </c>
      <c r="G2594" t="s">
        <v>43</v>
      </c>
      <c r="H2594" t="s">
        <v>18</v>
      </c>
      <c r="I2594" t="s">
        <v>25</v>
      </c>
      <c r="J2594" t="s">
        <v>20</v>
      </c>
      <c r="K2594" t="s">
        <v>51</v>
      </c>
      <c r="L2594" t="s">
        <v>22</v>
      </c>
      <c r="M2594">
        <v>14000.06</v>
      </c>
      <c r="N2594">
        <v>2020</v>
      </c>
      <c r="O2594">
        <v>6</v>
      </c>
    </row>
    <row r="2595" spans="1:15" x14ac:dyDescent="0.3">
      <c r="A2595" s="1">
        <v>43997</v>
      </c>
      <c r="B2595">
        <v>1000000928</v>
      </c>
      <c r="C2595" t="s">
        <v>23</v>
      </c>
      <c r="D2595">
        <v>1</v>
      </c>
      <c r="E2595">
        <v>2000.53</v>
      </c>
      <c r="F2595" t="s">
        <v>16</v>
      </c>
      <c r="G2595" t="s">
        <v>24</v>
      </c>
      <c r="H2595" t="s">
        <v>30</v>
      </c>
      <c r="I2595" t="s">
        <v>57</v>
      </c>
      <c r="J2595" t="s">
        <v>26</v>
      </c>
      <c r="K2595" t="s">
        <v>58</v>
      </c>
      <c r="L2595" t="s">
        <v>22</v>
      </c>
      <c r="M2595">
        <v>2000.53</v>
      </c>
      <c r="N2595">
        <v>2020</v>
      </c>
      <c r="O2595">
        <v>6</v>
      </c>
    </row>
    <row r="2596" spans="1:15" x14ac:dyDescent="0.3">
      <c r="A2596" s="1">
        <v>43997</v>
      </c>
      <c r="B2596">
        <v>1000000928</v>
      </c>
      <c r="C2596" t="s">
        <v>15</v>
      </c>
      <c r="D2596">
        <v>3</v>
      </c>
      <c r="E2596">
        <v>46894.06</v>
      </c>
      <c r="F2596" t="s">
        <v>16</v>
      </c>
      <c r="G2596" t="s">
        <v>17</v>
      </c>
      <c r="H2596" t="s">
        <v>30</v>
      </c>
      <c r="I2596" t="s">
        <v>57</v>
      </c>
      <c r="J2596" t="s">
        <v>26</v>
      </c>
      <c r="K2596" t="s">
        <v>58</v>
      </c>
      <c r="L2596" t="s">
        <v>22</v>
      </c>
      <c r="M2596">
        <v>15631.353333333333</v>
      </c>
      <c r="N2596">
        <v>2020</v>
      </c>
      <c r="O2596">
        <v>6</v>
      </c>
    </row>
    <row r="2597" spans="1:15" x14ac:dyDescent="0.3">
      <c r="A2597" s="1">
        <v>43997</v>
      </c>
      <c r="B2597">
        <v>1000001524</v>
      </c>
      <c r="C2597" t="s">
        <v>15</v>
      </c>
      <c r="D2597">
        <v>1</v>
      </c>
      <c r="E2597">
        <v>14000.56</v>
      </c>
      <c r="F2597" t="s">
        <v>16</v>
      </c>
      <c r="G2597" t="s">
        <v>17</v>
      </c>
      <c r="H2597" t="s">
        <v>18</v>
      </c>
      <c r="I2597" t="s">
        <v>25</v>
      </c>
      <c r="J2597" t="s">
        <v>20</v>
      </c>
      <c r="K2597" t="s">
        <v>51</v>
      </c>
      <c r="L2597" t="s">
        <v>22</v>
      </c>
      <c r="M2597">
        <v>14000.56</v>
      </c>
      <c r="N2597">
        <v>2020</v>
      </c>
      <c r="O2597">
        <v>6</v>
      </c>
    </row>
    <row r="2598" spans="1:15" x14ac:dyDescent="0.3">
      <c r="A2598" s="1">
        <v>43997</v>
      </c>
      <c r="B2598">
        <v>1000003803</v>
      </c>
      <c r="C2598" t="s">
        <v>15</v>
      </c>
      <c r="D2598">
        <v>1</v>
      </c>
      <c r="E2598">
        <v>11000.68</v>
      </c>
      <c r="F2598" t="s">
        <v>16</v>
      </c>
      <c r="G2598" t="s">
        <v>17</v>
      </c>
      <c r="H2598" t="s">
        <v>30</v>
      </c>
      <c r="I2598" t="s">
        <v>31</v>
      </c>
      <c r="J2598" t="s">
        <v>36</v>
      </c>
      <c r="K2598" t="s">
        <v>52</v>
      </c>
      <c r="L2598" t="s">
        <v>22</v>
      </c>
      <c r="M2598">
        <v>11000.68</v>
      </c>
      <c r="N2598">
        <v>2020</v>
      </c>
      <c r="O2598">
        <v>6</v>
      </c>
    </row>
    <row r="2599" spans="1:15" x14ac:dyDescent="0.3">
      <c r="A2599" s="1">
        <v>43997</v>
      </c>
      <c r="B2599">
        <v>1000003926</v>
      </c>
      <c r="C2599" t="s">
        <v>23</v>
      </c>
      <c r="D2599">
        <v>3</v>
      </c>
      <c r="E2599">
        <v>37501.020000000004</v>
      </c>
      <c r="F2599" t="s">
        <v>16</v>
      </c>
      <c r="G2599" t="s">
        <v>24</v>
      </c>
      <c r="H2599" t="s">
        <v>47</v>
      </c>
      <c r="I2599" t="s">
        <v>48</v>
      </c>
      <c r="J2599" t="s">
        <v>26</v>
      </c>
      <c r="K2599" t="s">
        <v>50</v>
      </c>
      <c r="L2599" t="s">
        <v>28</v>
      </c>
      <c r="M2599">
        <v>12500.340000000002</v>
      </c>
      <c r="N2599">
        <v>2020</v>
      </c>
      <c r="O2599">
        <v>6</v>
      </c>
    </row>
    <row r="2600" spans="1:15" x14ac:dyDescent="0.3">
      <c r="A2600" s="1">
        <v>43997</v>
      </c>
      <c r="B2600">
        <v>1000003989</v>
      </c>
      <c r="C2600" t="s">
        <v>23</v>
      </c>
      <c r="D2600">
        <v>1</v>
      </c>
      <c r="E2600">
        <v>10000.52</v>
      </c>
      <c r="F2600" t="s">
        <v>16</v>
      </c>
      <c r="G2600" t="s">
        <v>24</v>
      </c>
      <c r="H2600" t="s">
        <v>30</v>
      </c>
      <c r="I2600" t="s">
        <v>31</v>
      </c>
      <c r="J2600" t="s">
        <v>36</v>
      </c>
      <c r="K2600" t="s">
        <v>52</v>
      </c>
      <c r="L2600" t="s">
        <v>22</v>
      </c>
      <c r="M2600">
        <v>10000.52</v>
      </c>
      <c r="N2600">
        <v>2020</v>
      </c>
      <c r="O2600">
        <v>6</v>
      </c>
    </row>
    <row r="2601" spans="1:15" x14ac:dyDescent="0.3">
      <c r="A2601" s="1">
        <v>43997</v>
      </c>
      <c r="B2601">
        <v>1000004170</v>
      </c>
      <c r="C2601" t="s">
        <v>15</v>
      </c>
      <c r="D2601">
        <v>1</v>
      </c>
      <c r="E2601">
        <v>20000</v>
      </c>
      <c r="F2601" t="s">
        <v>16</v>
      </c>
      <c r="G2601" t="s">
        <v>17</v>
      </c>
      <c r="H2601" t="s">
        <v>18</v>
      </c>
      <c r="I2601" t="s">
        <v>34</v>
      </c>
      <c r="J2601" t="s">
        <v>20</v>
      </c>
      <c r="K2601" t="s">
        <v>44</v>
      </c>
      <c r="L2601" t="s">
        <v>28</v>
      </c>
      <c r="M2601">
        <v>20000</v>
      </c>
      <c r="N2601">
        <v>2020</v>
      </c>
      <c r="O2601">
        <v>6</v>
      </c>
    </row>
    <row r="2602" spans="1:15" x14ac:dyDescent="0.3">
      <c r="A2602" s="1">
        <v>43997</v>
      </c>
      <c r="B2602">
        <v>1000004170</v>
      </c>
      <c r="C2602" t="s">
        <v>42</v>
      </c>
      <c r="D2602">
        <v>1</v>
      </c>
      <c r="E2602">
        <v>7999.94</v>
      </c>
      <c r="F2602" t="s">
        <v>16</v>
      </c>
      <c r="G2602" t="s">
        <v>43</v>
      </c>
      <c r="H2602" t="s">
        <v>18</v>
      </c>
      <c r="I2602" t="s">
        <v>34</v>
      </c>
      <c r="J2602" t="s">
        <v>20</v>
      </c>
      <c r="K2602" t="s">
        <v>44</v>
      </c>
      <c r="L2602" t="s">
        <v>28</v>
      </c>
      <c r="M2602">
        <v>7999.94</v>
      </c>
      <c r="N2602">
        <v>2020</v>
      </c>
      <c r="O2602">
        <v>6</v>
      </c>
    </row>
    <row r="2603" spans="1:15" x14ac:dyDescent="0.3">
      <c r="A2603" s="1">
        <v>43997</v>
      </c>
      <c r="B2603">
        <v>1000004256</v>
      </c>
      <c r="C2603" t="s">
        <v>42</v>
      </c>
      <c r="D2603">
        <v>1</v>
      </c>
      <c r="E2603">
        <v>10000.15</v>
      </c>
      <c r="F2603" t="s">
        <v>16</v>
      </c>
      <c r="G2603" t="s">
        <v>43</v>
      </c>
      <c r="H2603" t="s">
        <v>18</v>
      </c>
      <c r="I2603" t="s">
        <v>40</v>
      </c>
      <c r="J2603" t="s">
        <v>26</v>
      </c>
      <c r="K2603" t="s">
        <v>41</v>
      </c>
      <c r="L2603" t="s">
        <v>22</v>
      </c>
      <c r="M2603">
        <v>10000.15</v>
      </c>
      <c r="N2603">
        <v>2020</v>
      </c>
      <c r="O2603">
        <v>6</v>
      </c>
    </row>
    <row r="2604" spans="1:15" x14ac:dyDescent="0.3">
      <c r="A2604" s="1">
        <v>43997</v>
      </c>
      <c r="B2604">
        <v>1000005873</v>
      </c>
      <c r="C2604" t="s">
        <v>15</v>
      </c>
      <c r="D2604">
        <v>2</v>
      </c>
      <c r="E2604">
        <v>18000.68</v>
      </c>
      <c r="F2604" t="s">
        <v>16</v>
      </c>
      <c r="G2604" t="s">
        <v>17</v>
      </c>
      <c r="H2604" t="s">
        <v>18</v>
      </c>
      <c r="I2604" t="s">
        <v>19</v>
      </c>
      <c r="J2604" t="s">
        <v>20</v>
      </c>
      <c r="K2604" t="s">
        <v>21</v>
      </c>
      <c r="L2604" t="s">
        <v>28</v>
      </c>
      <c r="M2604">
        <v>9000.34</v>
      </c>
      <c r="N2604">
        <v>2020</v>
      </c>
      <c r="O2604">
        <v>6</v>
      </c>
    </row>
    <row r="2605" spans="1:15" x14ac:dyDescent="0.3">
      <c r="A2605" s="1">
        <v>43997</v>
      </c>
      <c r="B2605">
        <v>1000006859</v>
      </c>
      <c r="C2605" t="s">
        <v>23</v>
      </c>
      <c r="D2605">
        <v>1</v>
      </c>
      <c r="E2605">
        <v>3494.2</v>
      </c>
      <c r="F2605" t="s">
        <v>16</v>
      </c>
      <c r="G2605" t="s">
        <v>24</v>
      </c>
      <c r="H2605" t="s">
        <v>18</v>
      </c>
      <c r="I2605" t="s">
        <v>61</v>
      </c>
      <c r="J2605" t="s">
        <v>26</v>
      </c>
      <c r="K2605" t="s">
        <v>62</v>
      </c>
      <c r="L2605" t="s">
        <v>22</v>
      </c>
      <c r="M2605">
        <v>3494.2</v>
      </c>
      <c r="N2605">
        <v>2020</v>
      </c>
      <c r="O2605">
        <v>6</v>
      </c>
    </row>
    <row r="2606" spans="1:15" x14ac:dyDescent="0.3">
      <c r="A2606" s="1">
        <v>43997</v>
      </c>
      <c r="B2606">
        <v>1000006859</v>
      </c>
      <c r="C2606" t="s">
        <v>42</v>
      </c>
      <c r="D2606">
        <v>1</v>
      </c>
      <c r="E2606">
        <v>4000.26</v>
      </c>
      <c r="F2606" t="s">
        <v>16</v>
      </c>
      <c r="G2606" t="s">
        <v>43</v>
      </c>
      <c r="H2606" t="s">
        <v>18</v>
      </c>
      <c r="I2606" t="s">
        <v>61</v>
      </c>
      <c r="J2606" t="s">
        <v>26</v>
      </c>
      <c r="K2606" t="s">
        <v>62</v>
      </c>
      <c r="L2606" t="s">
        <v>22</v>
      </c>
      <c r="M2606">
        <v>4000.26</v>
      </c>
      <c r="N2606">
        <v>2020</v>
      </c>
      <c r="O2606">
        <v>6</v>
      </c>
    </row>
    <row r="2607" spans="1:15" x14ac:dyDescent="0.3">
      <c r="A2607" s="1">
        <v>43997</v>
      </c>
      <c r="B2607">
        <v>1000008228</v>
      </c>
      <c r="C2607" t="s">
        <v>23</v>
      </c>
      <c r="D2607">
        <v>1</v>
      </c>
      <c r="E2607">
        <v>6500.76</v>
      </c>
      <c r="F2607" t="s">
        <v>16</v>
      </c>
      <c r="G2607" t="s">
        <v>24</v>
      </c>
      <c r="H2607" t="s">
        <v>30</v>
      </c>
      <c r="I2607" t="s">
        <v>31</v>
      </c>
      <c r="J2607" t="s">
        <v>36</v>
      </c>
      <c r="K2607" t="s">
        <v>52</v>
      </c>
      <c r="L2607" t="s">
        <v>22</v>
      </c>
      <c r="M2607">
        <v>6500.76</v>
      </c>
      <c r="N2607">
        <v>2020</v>
      </c>
      <c r="O2607">
        <v>6</v>
      </c>
    </row>
    <row r="2608" spans="1:15" x14ac:dyDescent="0.3">
      <c r="A2608" s="1">
        <v>43997</v>
      </c>
      <c r="B2608">
        <v>1000008239</v>
      </c>
      <c r="C2608" t="s">
        <v>23</v>
      </c>
      <c r="D2608">
        <v>1</v>
      </c>
      <c r="E2608">
        <v>14000.71</v>
      </c>
      <c r="F2608" t="s">
        <v>16</v>
      </c>
      <c r="G2608" t="s">
        <v>24</v>
      </c>
      <c r="H2608" t="s">
        <v>18</v>
      </c>
      <c r="I2608" t="s">
        <v>61</v>
      </c>
      <c r="J2608" t="s">
        <v>26</v>
      </c>
      <c r="K2608" t="s">
        <v>62</v>
      </c>
      <c r="L2608" t="s">
        <v>28</v>
      </c>
      <c r="M2608">
        <v>14000.71</v>
      </c>
      <c r="N2608">
        <v>2020</v>
      </c>
      <c r="O2608">
        <v>6</v>
      </c>
    </row>
    <row r="2609" spans="1:15" x14ac:dyDescent="0.3">
      <c r="A2609" s="1">
        <v>43997</v>
      </c>
      <c r="B2609">
        <v>1000008239</v>
      </c>
      <c r="C2609" t="s">
        <v>15</v>
      </c>
      <c r="D2609">
        <v>2</v>
      </c>
      <c r="E2609">
        <v>28000.309999999998</v>
      </c>
      <c r="F2609" t="s">
        <v>16</v>
      </c>
      <c r="G2609" t="s">
        <v>17</v>
      </c>
      <c r="H2609" t="s">
        <v>18</v>
      </c>
      <c r="I2609" t="s">
        <v>61</v>
      </c>
      <c r="J2609" t="s">
        <v>26</v>
      </c>
      <c r="K2609" t="s">
        <v>62</v>
      </c>
      <c r="L2609" t="s">
        <v>28</v>
      </c>
      <c r="M2609">
        <v>14000.154999999999</v>
      </c>
      <c r="N2609">
        <v>2020</v>
      </c>
      <c r="O2609">
        <v>6</v>
      </c>
    </row>
    <row r="2610" spans="1:15" x14ac:dyDescent="0.3">
      <c r="A2610" s="1">
        <v>43997</v>
      </c>
      <c r="B2610">
        <v>1000010814</v>
      </c>
      <c r="C2610" t="s">
        <v>15</v>
      </c>
      <c r="D2610">
        <v>1</v>
      </c>
      <c r="E2610">
        <v>3000.48</v>
      </c>
      <c r="F2610" t="s">
        <v>16</v>
      </c>
      <c r="G2610" t="s">
        <v>17</v>
      </c>
      <c r="H2610" t="s">
        <v>18</v>
      </c>
      <c r="I2610" t="s">
        <v>61</v>
      </c>
      <c r="J2610" t="s">
        <v>32</v>
      </c>
      <c r="K2610" t="s">
        <v>63</v>
      </c>
      <c r="L2610" t="s">
        <v>22</v>
      </c>
      <c r="M2610">
        <v>3000.48</v>
      </c>
      <c r="N2610">
        <v>2020</v>
      </c>
      <c r="O2610">
        <v>6</v>
      </c>
    </row>
    <row r="2611" spans="1:15" x14ac:dyDescent="0.3">
      <c r="A2611" s="1">
        <v>43997</v>
      </c>
      <c r="B2611">
        <v>1000010837</v>
      </c>
      <c r="C2611" t="s">
        <v>23</v>
      </c>
      <c r="D2611">
        <v>1</v>
      </c>
      <c r="E2611">
        <v>1000.58</v>
      </c>
      <c r="F2611" t="s">
        <v>16</v>
      </c>
      <c r="G2611" t="s">
        <v>24</v>
      </c>
      <c r="H2611" t="s">
        <v>18</v>
      </c>
      <c r="I2611" t="s">
        <v>61</v>
      </c>
      <c r="J2611" t="s">
        <v>26</v>
      </c>
      <c r="K2611" t="s">
        <v>62</v>
      </c>
      <c r="L2611" t="s">
        <v>22</v>
      </c>
      <c r="M2611">
        <v>1000.58</v>
      </c>
      <c r="N2611">
        <v>2020</v>
      </c>
      <c r="O2611">
        <v>6</v>
      </c>
    </row>
    <row r="2612" spans="1:15" x14ac:dyDescent="0.3">
      <c r="A2612" s="1">
        <v>43997</v>
      </c>
      <c r="B2612">
        <v>1000010837</v>
      </c>
      <c r="C2612" t="s">
        <v>15</v>
      </c>
      <c r="D2612">
        <v>1</v>
      </c>
      <c r="E2612">
        <v>5000.59</v>
      </c>
      <c r="F2612" t="s">
        <v>16</v>
      </c>
      <c r="G2612" t="s">
        <v>17</v>
      </c>
      <c r="H2612" t="s">
        <v>18</v>
      </c>
      <c r="I2612" t="s">
        <v>61</v>
      </c>
      <c r="J2612" t="s">
        <v>26</v>
      </c>
      <c r="K2612" t="s">
        <v>62</v>
      </c>
      <c r="L2612" t="s">
        <v>22</v>
      </c>
      <c r="M2612">
        <v>5000.59</v>
      </c>
      <c r="N2612">
        <v>2020</v>
      </c>
      <c r="O2612">
        <v>6</v>
      </c>
    </row>
    <row r="2613" spans="1:15" x14ac:dyDescent="0.3">
      <c r="A2613" s="1">
        <v>43997</v>
      </c>
      <c r="B2613">
        <v>1000010881</v>
      </c>
      <c r="C2613" t="s">
        <v>23</v>
      </c>
      <c r="D2613">
        <v>1</v>
      </c>
      <c r="E2613">
        <v>10000.280000000001</v>
      </c>
      <c r="F2613" t="s">
        <v>16</v>
      </c>
      <c r="G2613" t="s">
        <v>24</v>
      </c>
      <c r="H2613" t="s">
        <v>47</v>
      </c>
      <c r="I2613" t="s">
        <v>48</v>
      </c>
      <c r="J2613" t="s">
        <v>26</v>
      </c>
      <c r="K2613" t="s">
        <v>50</v>
      </c>
      <c r="L2613" t="s">
        <v>22</v>
      </c>
      <c r="M2613">
        <v>10000.280000000001</v>
      </c>
      <c r="N2613">
        <v>2020</v>
      </c>
      <c r="O2613">
        <v>6</v>
      </c>
    </row>
    <row r="2614" spans="1:15" x14ac:dyDescent="0.3">
      <c r="A2614" s="1">
        <v>43997</v>
      </c>
      <c r="B2614">
        <v>1000011538</v>
      </c>
      <c r="C2614" t="s">
        <v>15</v>
      </c>
      <c r="D2614">
        <v>1</v>
      </c>
      <c r="E2614">
        <v>10000.290000000001</v>
      </c>
      <c r="F2614" t="s">
        <v>16</v>
      </c>
      <c r="G2614" t="s">
        <v>17</v>
      </c>
      <c r="H2614" t="s">
        <v>18</v>
      </c>
      <c r="I2614" t="s">
        <v>40</v>
      </c>
      <c r="J2614" t="s">
        <v>20</v>
      </c>
      <c r="K2614" t="s">
        <v>68</v>
      </c>
      <c r="L2614" t="s">
        <v>22</v>
      </c>
      <c r="M2614">
        <v>10000.290000000001</v>
      </c>
      <c r="N2614">
        <v>2020</v>
      </c>
      <c r="O2614">
        <v>6</v>
      </c>
    </row>
    <row r="2615" spans="1:15" x14ac:dyDescent="0.3">
      <c r="A2615" s="1">
        <v>43997</v>
      </c>
      <c r="B2615">
        <v>1000011697</v>
      </c>
      <c r="C2615" t="s">
        <v>23</v>
      </c>
      <c r="D2615">
        <v>2</v>
      </c>
      <c r="E2615">
        <v>20556.43</v>
      </c>
      <c r="F2615" t="s">
        <v>16</v>
      </c>
      <c r="G2615" t="s">
        <v>24</v>
      </c>
      <c r="H2615" t="s">
        <v>18</v>
      </c>
      <c r="I2615" t="s">
        <v>34</v>
      </c>
      <c r="J2615" t="s">
        <v>20</v>
      </c>
      <c r="K2615" t="s">
        <v>44</v>
      </c>
      <c r="L2615" t="s">
        <v>22</v>
      </c>
      <c r="M2615">
        <v>10278.215</v>
      </c>
      <c r="N2615">
        <v>2020</v>
      </c>
      <c r="O2615">
        <v>6</v>
      </c>
    </row>
    <row r="2616" spans="1:15" x14ac:dyDescent="0.3">
      <c r="A2616" s="1">
        <v>43997</v>
      </c>
      <c r="B2616">
        <v>1000011697</v>
      </c>
      <c r="C2616" t="s">
        <v>42</v>
      </c>
      <c r="D2616">
        <v>1</v>
      </c>
      <c r="E2616">
        <v>15000.25</v>
      </c>
      <c r="F2616" t="s">
        <v>16</v>
      </c>
      <c r="G2616" t="s">
        <v>43</v>
      </c>
      <c r="H2616" t="s">
        <v>18</v>
      </c>
      <c r="I2616" t="s">
        <v>34</v>
      </c>
      <c r="J2616" t="s">
        <v>20</v>
      </c>
      <c r="K2616" t="s">
        <v>44</v>
      </c>
      <c r="L2616" t="s">
        <v>22</v>
      </c>
      <c r="M2616">
        <v>15000.25</v>
      </c>
      <c r="N2616">
        <v>2020</v>
      </c>
      <c r="O2616">
        <v>6</v>
      </c>
    </row>
    <row r="2617" spans="1:15" x14ac:dyDescent="0.3">
      <c r="A2617" s="1">
        <v>43997</v>
      </c>
      <c r="B2617">
        <v>1000011698</v>
      </c>
      <c r="C2617" t="s">
        <v>15</v>
      </c>
      <c r="D2617">
        <v>1</v>
      </c>
      <c r="E2617">
        <v>9000.2199999999993</v>
      </c>
      <c r="F2617" t="s">
        <v>16</v>
      </c>
      <c r="G2617" t="s">
        <v>17</v>
      </c>
      <c r="H2617" t="s">
        <v>18</v>
      </c>
      <c r="I2617" t="s">
        <v>34</v>
      </c>
      <c r="J2617" t="s">
        <v>20</v>
      </c>
      <c r="K2617" t="s">
        <v>44</v>
      </c>
      <c r="L2617" t="s">
        <v>22</v>
      </c>
      <c r="M2617">
        <v>9000.2199999999993</v>
      </c>
      <c r="N2617">
        <v>2020</v>
      </c>
      <c r="O2617">
        <v>6</v>
      </c>
    </row>
    <row r="2618" spans="1:15" x14ac:dyDescent="0.3">
      <c r="A2618" s="1">
        <v>43997</v>
      </c>
      <c r="B2618">
        <v>1000011828</v>
      </c>
      <c r="C2618" t="s">
        <v>15</v>
      </c>
      <c r="D2618">
        <v>1</v>
      </c>
      <c r="E2618">
        <v>5000.75</v>
      </c>
      <c r="F2618" t="s">
        <v>16</v>
      </c>
      <c r="G2618" t="s">
        <v>17</v>
      </c>
      <c r="H2618" t="s">
        <v>18</v>
      </c>
      <c r="I2618" t="s">
        <v>19</v>
      </c>
      <c r="J2618" t="s">
        <v>20</v>
      </c>
      <c r="K2618" t="s">
        <v>21</v>
      </c>
      <c r="L2618" t="s">
        <v>22</v>
      </c>
      <c r="M2618">
        <v>5000.75</v>
      </c>
      <c r="N2618">
        <v>2020</v>
      </c>
      <c r="O2618">
        <v>6</v>
      </c>
    </row>
    <row r="2619" spans="1:15" x14ac:dyDescent="0.3">
      <c r="A2619" s="1">
        <v>43997</v>
      </c>
      <c r="B2619">
        <v>1000012096</v>
      </c>
      <c r="C2619" t="s">
        <v>23</v>
      </c>
      <c r="D2619">
        <v>3</v>
      </c>
      <c r="E2619">
        <v>46001</v>
      </c>
      <c r="F2619" t="s">
        <v>16</v>
      </c>
      <c r="G2619" t="s">
        <v>24</v>
      </c>
      <c r="H2619" t="s">
        <v>18</v>
      </c>
      <c r="I2619" t="s">
        <v>19</v>
      </c>
      <c r="J2619" t="s">
        <v>26</v>
      </c>
      <c r="K2619" t="s">
        <v>29</v>
      </c>
      <c r="L2619" t="s">
        <v>22</v>
      </c>
      <c r="M2619">
        <v>15333.666666666666</v>
      </c>
      <c r="N2619">
        <v>2020</v>
      </c>
      <c r="O2619">
        <v>6</v>
      </c>
    </row>
    <row r="2620" spans="1:15" x14ac:dyDescent="0.3">
      <c r="A2620" s="1">
        <v>43997</v>
      </c>
      <c r="B2620">
        <v>1000012112</v>
      </c>
      <c r="C2620" t="s">
        <v>23</v>
      </c>
      <c r="D2620">
        <v>2</v>
      </c>
      <c r="E2620">
        <v>12500.3</v>
      </c>
      <c r="F2620" t="s">
        <v>16</v>
      </c>
      <c r="G2620" t="s">
        <v>24</v>
      </c>
      <c r="H2620" t="s">
        <v>18</v>
      </c>
      <c r="I2620" t="s">
        <v>19</v>
      </c>
      <c r="J2620" t="s">
        <v>36</v>
      </c>
      <c r="K2620" t="s">
        <v>64</v>
      </c>
      <c r="L2620" t="s">
        <v>28</v>
      </c>
      <c r="M2620">
        <v>6250.15</v>
      </c>
      <c r="N2620">
        <v>2020</v>
      </c>
      <c r="O2620">
        <v>6</v>
      </c>
    </row>
    <row r="2621" spans="1:15" x14ac:dyDescent="0.3">
      <c r="A2621" s="1">
        <v>43997</v>
      </c>
      <c r="B2621">
        <v>1000012112</v>
      </c>
      <c r="C2621" t="s">
        <v>15</v>
      </c>
      <c r="D2621">
        <v>2</v>
      </c>
      <c r="E2621">
        <v>20000.66</v>
      </c>
      <c r="F2621" t="s">
        <v>16</v>
      </c>
      <c r="G2621" t="s">
        <v>17</v>
      </c>
      <c r="H2621" t="s">
        <v>18</v>
      </c>
      <c r="I2621" t="s">
        <v>19</v>
      </c>
      <c r="J2621" t="s">
        <v>36</v>
      </c>
      <c r="K2621" t="s">
        <v>64</v>
      </c>
      <c r="L2621" t="s">
        <v>28</v>
      </c>
      <c r="M2621">
        <v>10000.33</v>
      </c>
      <c r="N2621">
        <v>2020</v>
      </c>
      <c r="O2621">
        <v>6</v>
      </c>
    </row>
    <row r="2622" spans="1:15" x14ac:dyDescent="0.3">
      <c r="A2622" s="1">
        <v>43997</v>
      </c>
      <c r="B2622">
        <v>1000012313</v>
      </c>
      <c r="C2622" t="s">
        <v>23</v>
      </c>
      <c r="D2622">
        <v>1</v>
      </c>
      <c r="E2622">
        <v>20000.419999999998</v>
      </c>
      <c r="F2622" t="s">
        <v>16</v>
      </c>
      <c r="G2622" t="s">
        <v>24</v>
      </c>
      <c r="H2622" t="s">
        <v>47</v>
      </c>
      <c r="I2622" t="s">
        <v>65</v>
      </c>
      <c r="J2622" t="s">
        <v>26</v>
      </c>
      <c r="K2622" t="s">
        <v>66</v>
      </c>
      <c r="L2622" t="s">
        <v>22</v>
      </c>
      <c r="M2622">
        <v>20000.419999999998</v>
      </c>
      <c r="N2622">
        <v>2020</v>
      </c>
      <c r="O2622">
        <v>6</v>
      </c>
    </row>
    <row r="2623" spans="1:15" x14ac:dyDescent="0.3">
      <c r="A2623" s="1">
        <v>43997</v>
      </c>
      <c r="B2623">
        <v>1000012313</v>
      </c>
      <c r="C2623" t="s">
        <v>15</v>
      </c>
      <c r="D2623">
        <v>1</v>
      </c>
      <c r="E2623">
        <v>10000.32</v>
      </c>
      <c r="F2623" t="s">
        <v>16</v>
      </c>
      <c r="G2623" t="s">
        <v>17</v>
      </c>
      <c r="H2623" t="s">
        <v>47</v>
      </c>
      <c r="I2623" t="s">
        <v>65</v>
      </c>
      <c r="J2623" t="s">
        <v>26</v>
      </c>
      <c r="K2623" t="s">
        <v>66</v>
      </c>
      <c r="L2623" t="s">
        <v>22</v>
      </c>
      <c r="M2623">
        <v>10000.32</v>
      </c>
      <c r="N2623">
        <v>2020</v>
      </c>
      <c r="O2623">
        <v>6</v>
      </c>
    </row>
    <row r="2624" spans="1:15" x14ac:dyDescent="0.3">
      <c r="A2624" s="1">
        <v>43997</v>
      </c>
      <c r="B2624">
        <v>1000012446</v>
      </c>
      <c r="C2624" t="s">
        <v>23</v>
      </c>
      <c r="D2624">
        <v>1</v>
      </c>
      <c r="E2624">
        <v>5000.2700000000004</v>
      </c>
      <c r="F2624" t="s">
        <v>16</v>
      </c>
      <c r="G2624" t="s">
        <v>24</v>
      </c>
      <c r="H2624" t="s">
        <v>30</v>
      </c>
      <c r="I2624" t="s">
        <v>31</v>
      </c>
      <c r="J2624" t="s">
        <v>36</v>
      </c>
      <c r="K2624" t="s">
        <v>52</v>
      </c>
      <c r="L2624" t="s">
        <v>22</v>
      </c>
      <c r="M2624">
        <v>5000.2700000000004</v>
      </c>
      <c r="N2624">
        <v>2020</v>
      </c>
      <c r="O2624">
        <v>6</v>
      </c>
    </row>
    <row r="2625" spans="1:15" x14ac:dyDescent="0.3">
      <c r="A2625" s="1">
        <v>43997</v>
      </c>
      <c r="B2625">
        <v>1000013535</v>
      </c>
      <c r="C2625" t="s">
        <v>23</v>
      </c>
      <c r="D2625">
        <v>1</v>
      </c>
      <c r="E2625">
        <v>6000.2</v>
      </c>
      <c r="F2625" t="s">
        <v>16</v>
      </c>
      <c r="G2625" t="s">
        <v>24</v>
      </c>
      <c r="H2625" t="s">
        <v>47</v>
      </c>
      <c r="I2625" t="s">
        <v>48</v>
      </c>
      <c r="J2625" t="s">
        <v>36</v>
      </c>
      <c r="K2625" t="s">
        <v>49</v>
      </c>
      <c r="L2625" t="s">
        <v>22</v>
      </c>
      <c r="M2625">
        <v>6000.2</v>
      </c>
      <c r="N2625">
        <v>2020</v>
      </c>
      <c r="O2625">
        <v>6</v>
      </c>
    </row>
    <row r="2626" spans="1:15" x14ac:dyDescent="0.3">
      <c r="A2626" s="1">
        <v>43997</v>
      </c>
      <c r="B2626">
        <v>1000014072</v>
      </c>
      <c r="C2626" t="s">
        <v>15</v>
      </c>
      <c r="D2626">
        <v>1</v>
      </c>
      <c r="E2626">
        <v>5000.6899999999996</v>
      </c>
      <c r="F2626" t="s">
        <v>16</v>
      </c>
      <c r="G2626" t="s">
        <v>17</v>
      </c>
      <c r="H2626" t="s">
        <v>47</v>
      </c>
      <c r="I2626" t="s">
        <v>65</v>
      </c>
      <c r="J2626" t="s">
        <v>26</v>
      </c>
      <c r="K2626" t="s">
        <v>66</v>
      </c>
      <c r="L2626" t="s">
        <v>22</v>
      </c>
      <c r="M2626">
        <v>5000.6899999999996</v>
      </c>
      <c r="N2626">
        <v>2020</v>
      </c>
      <c r="O2626">
        <v>6</v>
      </c>
    </row>
    <row r="2627" spans="1:15" x14ac:dyDescent="0.3">
      <c r="A2627" s="1">
        <v>43997</v>
      </c>
      <c r="B2627">
        <v>1000014273</v>
      </c>
      <c r="C2627" t="s">
        <v>15</v>
      </c>
      <c r="D2627">
        <v>1</v>
      </c>
      <c r="E2627">
        <v>14000.02</v>
      </c>
      <c r="F2627" t="s">
        <v>16</v>
      </c>
      <c r="G2627" t="s">
        <v>17</v>
      </c>
      <c r="H2627" t="s">
        <v>18</v>
      </c>
      <c r="I2627" t="s">
        <v>19</v>
      </c>
      <c r="J2627" t="s">
        <v>20</v>
      </c>
      <c r="K2627" t="s">
        <v>21</v>
      </c>
      <c r="L2627" t="s">
        <v>22</v>
      </c>
      <c r="M2627">
        <v>14000.02</v>
      </c>
      <c r="N2627">
        <v>2020</v>
      </c>
      <c r="O2627">
        <v>6</v>
      </c>
    </row>
    <row r="2628" spans="1:15" x14ac:dyDescent="0.3">
      <c r="A2628" s="1">
        <v>43997</v>
      </c>
      <c r="B2628">
        <v>1000014291</v>
      </c>
      <c r="C2628" t="s">
        <v>23</v>
      </c>
      <c r="D2628">
        <v>4</v>
      </c>
      <c r="E2628">
        <v>33001.490000000005</v>
      </c>
      <c r="F2628" t="s">
        <v>16</v>
      </c>
      <c r="G2628" t="s">
        <v>24</v>
      </c>
      <c r="H2628" t="s">
        <v>47</v>
      </c>
      <c r="I2628" t="s">
        <v>48</v>
      </c>
      <c r="J2628" t="s">
        <v>20</v>
      </c>
      <c r="K2628" t="s">
        <v>67</v>
      </c>
      <c r="L2628" t="s">
        <v>28</v>
      </c>
      <c r="M2628">
        <v>8250.3725000000013</v>
      </c>
      <c r="N2628">
        <v>2020</v>
      </c>
      <c r="O2628">
        <v>6</v>
      </c>
    </row>
    <row r="2629" spans="1:15" x14ac:dyDescent="0.3">
      <c r="A2629" s="1">
        <v>43997</v>
      </c>
      <c r="B2629">
        <v>1000014291</v>
      </c>
      <c r="C2629" t="s">
        <v>15</v>
      </c>
      <c r="D2629">
        <v>1</v>
      </c>
      <c r="E2629">
        <v>22000.720000000001</v>
      </c>
      <c r="F2629" t="s">
        <v>16</v>
      </c>
      <c r="G2629" t="s">
        <v>17</v>
      </c>
      <c r="H2629" t="s">
        <v>47</v>
      </c>
      <c r="I2629" t="s">
        <v>48</v>
      </c>
      <c r="J2629" t="s">
        <v>20</v>
      </c>
      <c r="K2629" t="s">
        <v>67</v>
      </c>
      <c r="L2629" t="s">
        <v>28</v>
      </c>
      <c r="M2629">
        <v>22000.720000000001</v>
      </c>
      <c r="N2629">
        <v>2020</v>
      </c>
      <c r="O2629">
        <v>6</v>
      </c>
    </row>
    <row r="2630" spans="1:15" x14ac:dyDescent="0.3">
      <c r="A2630" s="1">
        <v>43997</v>
      </c>
      <c r="B2630">
        <v>1000014530</v>
      </c>
      <c r="C2630" t="s">
        <v>15</v>
      </c>
      <c r="D2630">
        <v>3</v>
      </c>
      <c r="E2630">
        <v>26500.52</v>
      </c>
      <c r="F2630" t="s">
        <v>16</v>
      </c>
      <c r="G2630" t="s">
        <v>17</v>
      </c>
      <c r="H2630" t="s">
        <v>47</v>
      </c>
      <c r="I2630" t="s">
        <v>65</v>
      </c>
      <c r="J2630" t="s">
        <v>26</v>
      </c>
      <c r="K2630" t="s">
        <v>66</v>
      </c>
      <c r="L2630" t="s">
        <v>22</v>
      </c>
      <c r="M2630">
        <v>8833.5066666666662</v>
      </c>
      <c r="N2630">
        <v>2020</v>
      </c>
      <c r="O2630">
        <v>6</v>
      </c>
    </row>
    <row r="2631" spans="1:15" x14ac:dyDescent="0.3">
      <c r="A2631" s="1">
        <v>43997</v>
      </c>
      <c r="B2631">
        <v>1000014530</v>
      </c>
      <c r="C2631" t="s">
        <v>42</v>
      </c>
      <c r="D2631">
        <v>1</v>
      </c>
      <c r="E2631">
        <v>11000.11</v>
      </c>
      <c r="F2631" t="s">
        <v>16</v>
      </c>
      <c r="G2631" t="s">
        <v>43</v>
      </c>
      <c r="H2631" t="s">
        <v>47</v>
      </c>
      <c r="I2631" t="s">
        <v>65</v>
      </c>
      <c r="J2631" t="s">
        <v>26</v>
      </c>
      <c r="K2631" t="s">
        <v>66</v>
      </c>
      <c r="L2631" t="s">
        <v>22</v>
      </c>
      <c r="M2631">
        <v>11000.11</v>
      </c>
      <c r="N2631">
        <v>2020</v>
      </c>
      <c r="O2631">
        <v>6</v>
      </c>
    </row>
    <row r="2632" spans="1:15" x14ac:dyDescent="0.3">
      <c r="A2632" s="1">
        <v>43997</v>
      </c>
      <c r="B2632">
        <v>1000014572</v>
      </c>
      <c r="C2632" t="s">
        <v>23</v>
      </c>
      <c r="D2632">
        <v>5</v>
      </c>
      <c r="E2632">
        <v>45501.84</v>
      </c>
      <c r="F2632" t="s">
        <v>16</v>
      </c>
      <c r="G2632" t="s">
        <v>24</v>
      </c>
      <c r="H2632" t="s">
        <v>18</v>
      </c>
      <c r="I2632" t="s">
        <v>34</v>
      </c>
      <c r="J2632" t="s">
        <v>26</v>
      </c>
      <c r="K2632" t="s">
        <v>35</v>
      </c>
      <c r="L2632" t="s">
        <v>22</v>
      </c>
      <c r="M2632">
        <v>9100.3679999999986</v>
      </c>
      <c r="N2632">
        <v>2020</v>
      </c>
      <c r="O2632">
        <v>6</v>
      </c>
    </row>
    <row r="2633" spans="1:15" x14ac:dyDescent="0.3">
      <c r="A2633" s="1">
        <v>43997</v>
      </c>
      <c r="B2633">
        <v>1000014572</v>
      </c>
      <c r="C2633" t="s">
        <v>15</v>
      </c>
      <c r="D2633">
        <v>2</v>
      </c>
      <c r="E2633">
        <v>24000.75</v>
      </c>
      <c r="F2633" t="s">
        <v>16</v>
      </c>
      <c r="G2633" t="s">
        <v>17</v>
      </c>
      <c r="H2633" t="s">
        <v>18</v>
      </c>
      <c r="I2633" t="s">
        <v>34</v>
      </c>
      <c r="J2633" t="s">
        <v>26</v>
      </c>
      <c r="K2633" t="s">
        <v>35</v>
      </c>
      <c r="L2633" t="s">
        <v>22</v>
      </c>
      <c r="M2633">
        <v>12000.375</v>
      </c>
      <c r="N2633">
        <v>2020</v>
      </c>
      <c r="O2633">
        <v>6</v>
      </c>
    </row>
    <row r="2634" spans="1:15" x14ac:dyDescent="0.3">
      <c r="A2634" s="1">
        <v>43997</v>
      </c>
      <c r="B2634">
        <v>1000014588</v>
      </c>
      <c r="C2634" t="s">
        <v>42</v>
      </c>
      <c r="D2634">
        <v>1</v>
      </c>
      <c r="E2634">
        <v>22000.54</v>
      </c>
      <c r="F2634" t="s">
        <v>16</v>
      </c>
      <c r="G2634" t="s">
        <v>43</v>
      </c>
      <c r="H2634" t="s">
        <v>18</v>
      </c>
      <c r="I2634" t="s">
        <v>40</v>
      </c>
      <c r="J2634" t="s">
        <v>20</v>
      </c>
      <c r="K2634" t="s">
        <v>68</v>
      </c>
      <c r="L2634" t="s">
        <v>22</v>
      </c>
      <c r="M2634">
        <v>22000.54</v>
      </c>
      <c r="N2634">
        <v>2020</v>
      </c>
      <c r="O2634">
        <v>6</v>
      </c>
    </row>
    <row r="2635" spans="1:15" x14ac:dyDescent="0.3">
      <c r="A2635" s="1">
        <v>43997</v>
      </c>
      <c r="B2635">
        <v>1000014996</v>
      </c>
      <c r="C2635" t="s">
        <v>23</v>
      </c>
      <c r="D2635">
        <v>1</v>
      </c>
      <c r="E2635">
        <v>8000.26</v>
      </c>
      <c r="F2635" t="s">
        <v>16</v>
      </c>
      <c r="G2635" t="s">
        <v>24</v>
      </c>
      <c r="H2635" t="s">
        <v>30</v>
      </c>
      <c r="I2635" t="s">
        <v>57</v>
      </c>
      <c r="J2635" t="s">
        <v>26</v>
      </c>
      <c r="K2635" t="s">
        <v>58</v>
      </c>
      <c r="L2635" t="s">
        <v>22</v>
      </c>
      <c r="M2635">
        <v>8000.26</v>
      </c>
      <c r="N2635">
        <v>2020</v>
      </c>
      <c r="O2635">
        <v>6</v>
      </c>
    </row>
    <row r="2636" spans="1:15" x14ac:dyDescent="0.3">
      <c r="A2636" s="1">
        <v>43997</v>
      </c>
      <c r="B2636">
        <v>1000015013</v>
      </c>
      <c r="C2636" t="s">
        <v>23</v>
      </c>
      <c r="D2636">
        <v>1</v>
      </c>
      <c r="E2636">
        <v>20000.23</v>
      </c>
      <c r="F2636" t="s">
        <v>16</v>
      </c>
      <c r="G2636" t="s">
        <v>24</v>
      </c>
      <c r="H2636" t="s">
        <v>18</v>
      </c>
      <c r="I2636" t="s">
        <v>19</v>
      </c>
      <c r="J2636" t="s">
        <v>26</v>
      </c>
      <c r="K2636" t="s">
        <v>29</v>
      </c>
      <c r="L2636" t="s">
        <v>22</v>
      </c>
      <c r="M2636">
        <v>20000.23</v>
      </c>
      <c r="N2636">
        <v>2020</v>
      </c>
      <c r="O2636">
        <v>6</v>
      </c>
    </row>
    <row r="2637" spans="1:15" x14ac:dyDescent="0.3">
      <c r="A2637" s="1">
        <v>43997</v>
      </c>
      <c r="B2637">
        <v>1000015015</v>
      </c>
      <c r="C2637" t="s">
        <v>23</v>
      </c>
      <c r="D2637">
        <v>1</v>
      </c>
      <c r="E2637">
        <v>14000.45</v>
      </c>
      <c r="F2637" t="s">
        <v>16</v>
      </c>
      <c r="G2637" t="s">
        <v>24</v>
      </c>
      <c r="H2637" t="s">
        <v>18</v>
      </c>
      <c r="I2637" t="s">
        <v>61</v>
      </c>
      <c r="J2637" t="s">
        <v>26</v>
      </c>
      <c r="K2637" t="s">
        <v>62</v>
      </c>
      <c r="L2637" t="s">
        <v>22</v>
      </c>
      <c r="M2637">
        <v>14000.45</v>
      </c>
      <c r="N2637">
        <v>2020</v>
      </c>
      <c r="O2637">
        <v>6</v>
      </c>
    </row>
    <row r="2638" spans="1:15" x14ac:dyDescent="0.3">
      <c r="A2638" s="1">
        <v>43997</v>
      </c>
      <c r="B2638">
        <v>1000015015</v>
      </c>
      <c r="C2638" t="s">
        <v>15</v>
      </c>
      <c r="D2638">
        <v>1</v>
      </c>
      <c r="E2638">
        <v>9000.7099999999991</v>
      </c>
      <c r="F2638" t="s">
        <v>16</v>
      </c>
      <c r="G2638" t="s">
        <v>17</v>
      </c>
      <c r="H2638" t="s">
        <v>18</v>
      </c>
      <c r="I2638" t="s">
        <v>61</v>
      </c>
      <c r="J2638" t="s">
        <v>26</v>
      </c>
      <c r="K2638" t="s">
        <v>62</v>
      </c>
      <c r="L2638" t="s">
        <v>22</v>
      </c>
      <c r="M2638">
        <v>9000.7099999999991</v>
      </c>
      <c r="N2638">
        <v>2020</v>
      </c>
      <c r="O2638">
        <v>6</v>
      </c>
    </row>
    <row r="2639" spans="1:15" x14ac:dyDescent="0.3">
      <c r="A2639" s="1">
        <v>43997</v>
      </c>
      <c r="B2639">
        <v>1000015203</v>
      </c>
      <c r="C2639" t="s">
        <v>42</v>
      </c>
      <c r="D2639">
        <v>1</v>
      </c>
      <c r="E2639">
        <v>6500.59</v>
      </c>
      <c r="F2639" t="s">
        <v>16</v>
      </c>
      <c r="G2639" t="s">
        <v>43</v>
      </c>
      <c r="H2639" t="s">
        <v>47</v>
      </c>
      <c r="I2639" t="s">
        <v>65</v>
      </c>
      <c r="J2639" t="s">
        <v>26</v>
      </c>
      <c r="K2639" t="s">
        <v>66</v>
      </c>
      <c r="L2639" t="s">
        <v>22</v>
      </c>
      <c r="M2639">
        <v>6500.59</v>
      </c>
      <c r="N2639">
        <v>2020</v>
      </c>
      <c r="O2639">
        <v>6</v>
      </c>
    </row>
    <row r="2640" spans="1:15" x14ac:dyDescent="0.3">
      <c r="A2640" s="1">
        <v>43998</v>
      </c>
      <c r="B2640">
        <v>1000000028</v>
      </c>
      <c r="C2640" t="s">
        <v>42</v>
      </c>
      <c r="D2640">
        <v>1</v>
      </c>
      <c r="E2640">
        <v>5500.4</v>
      </c>
      <c r="F2640" t="s">
        <v>16</v>
      </c>
      <c r="G2640" t="s">
        <v>43</v>
      </c>
      <c r="H2640" t="s">
        <v>18</v>
      </c>
      <c r="I2640" t="s">
        <v>19</v>
      </c>
      <c r="J2640" t="s">
        <v>20</v>
      </c>
      <c r="K2640" t="s">
        <v>21</v>
      </c>
      <c r="L2640" t="s">
        <v>22</v>
      </c>
      <c r="M2640">
        <v>5500.4</v>
      </c>
      <c r="N2640">
        <v>2020</v>
      </c>
      <c r="O2640">
        <v>6</v>
      </c>
    </row>
    <row r="2641" spans="1:15" x14ac:dyDescent="0.3">
      <c r="A2641" s="1">
        <v>43998</v>
      </c>
      <c r="B2641">
        <v>1000000029</v>
      </c>
      <c r="C2641" t="s">
        <v>23</v>
      </c>
      <c r="D2641">
        <v>1</v>
      </c>
      <c r="E2641">
        <v>1657.42</v>
      </c>
      <c r="F2641" t="s">
        <v>16</v>
      </c>
      <c r="G2641" t="s">
        <v>24</v>
      </c>
      <c r="H2641" t="s">
        <v>18</v>
      </c>
      <c r="I2641" t="s">
        <v>19</v>
      </c>
      <c r="J2641" t="s">
        <v>20</v>
      </c>
      <c r="K2641" t="s">
        <v>21</v>
      </c>
      <c r="L2641" t="s">
        <v>22</v>
      </c>
      <c r="M2641">
        <v>1657.42</v>
      </c>
      <c r="N2641">
        <v>2020</v>
      </c>
      <c r="O2641">
        <v>6</v>
      </c>
    </row>
    <row r="2642" spans="1:15" x14ac:dyDescent="0.3">
      <c r="A2642" s="1">
        <v>43998</v>
      </c>
      <c r="B2642">
        <v>1000000030</v>
      </c>
      <c r="C2642" t="s">
        <v>23</v>
      </c>
      <c r="D2642">
        <v>1</v>
      </c>
      <c r="E2642">
        <v>1000.55</v>
      </c>
      <c r="F2642" t="s">
        <v>16</v>
      </c>
      <c r="G2642" t="s">
        <v>24</v>
      </c>
      <c r="H2642" t="s">
        <v>47</v>
      </c>
      <c r="I2642" t="s">
        <v>48</v>
      </c>
      <c r="J2642" t="s">
        <v>36</v>
      </c>
      <c r="K2642" t="s">
        <v>49</v>
      </c>
      <c r="L2642" t="s">
        <v>22</v>
      </c>
      <c r="M2642">
        <v>1000.55</v>
      </c>
      <c r="N2642">
        <v>2020</v>
      </c>
      <c r="O2642">
        <v>6</v>
      </c>
    </row>
    <row r="2643" spans="1:15" x14ac:dyDescent="0.3">
      <c r="A2643" s="1">
        <v>43998</v>
      </c>
      <c r="B2643">
        <v>1000000030</v>
      </c>
      <c r="C2643" t="s">
        <v>42</v>
      </c>
      <c r="D2643">
        <v>1</v>
      </c>
      <c r="E2643">
        <v>25000.52</v>
      </c>
      <c r="F2643" t="s">
        <v>16</v>
      </c>
      <c r="G2643" t="s">
        <v>43</v>
      </c>
      <c r="H2643" t="s">
        <v>47</v>
      </c>
      <c r="I2643" t="s">
        <v>48</v>
      </c>
      <c r="J2643" t="s">
        <v>36</v>
      </c>
      <c r="K2643" t="s">
        <v>49</v>
      </c>
      <c r="L2643" t="s">
        <v>22</v>
      </c>
      <c r="M2643">
        <v>25000.52</v>
      </c>
      <c r="N2643">
        <v>2020</v>
      </c>
      <c r="O2643">
        <v>6</v>
      </c>
    </row>
    <row r="2644" spans="1:15" x14ac:dyDescent="0.3">
      <c r="A2644" s="1">
        <v>43998</v>
      </c>
      <c r="B2644">
        <v>1000000031</v>
      </c>
      <c r="C2644" t="s">
        <v>15</v>
      </c>
      <c r="D2644">
        <v>2</v>
      </c>
      <c r="E2644">
        <v>16147.35</v>
      </c>
      <c r="F2644" t="s">
        <v>16</v>
      </c>
      <c r="G2644" t="s">
        <v>17</v>
      </c>
      <c r="H2644" t="s">
        <v>18</v>
      </c>
      <c r="I2644" t="s">
        <v>19</v>
      </c>
      <c r="J2644" t="s">
        <v>26</v>
      </c>
      <c r="K2644" t="s">
        <v>29</v>
      </c>
      <c r="L2644" t="s">
        <v>28</v>
      </c>
      <c r="M2644">
        <v>8073.6750000000002</v>
      </c>
      <c r="N2644">
        <v>2020</v>
      </c>
      <c r="O2644">
        <v>6</v>
      </c>
    </row>
    <row r="2645" spans="1:15" x14ac:dyDescent="0.3">
      <c r="A2645" s="1">
        <v>43998</v>
      </c>
      <c r="B2645">
        <v>1000000032</v>
      </c>
      <c r="C2645" t="s">
        <v>23</v>
      </c>
      <c r="D2645">
        <v>2</v>
      </c>
      <c r="E2645">
        <v>20943.449999999997</v>
      </c>
      <c r="F2645" t="s">
        <v>16</v>
      </c>
      <c r="G2645" t="s">
        <v>24</v>
      </c>
      <c r="H2645" t="s">
        <v>18</v>
      </c>
      <c r="I2645" t="s">
        <v>25</v>
      </c>
      <c r="J2645" t="s">
        <v>26</v>
      </c>
      <c r="K2645" t="s">
        <v>27</v>
      </c>
      <c r="L2645" t="s">
        <v>28</v>
      </c>
      <c r="M2645">
        <v>10471.724999999999</v>
      </c>
      <c r="N2645">
        <v>2020</v>
      </c>
      <c r="O2645">
        <v>6</v>
      </c>
    </row>
    <row r="2646" spans="1:15" x14ac:dyDescent="0.3">
      <c r="A2646" s="1">
        <v>43998</v>
      </c>
      <c r="B2646">
        <v>1000000034</v>
      </c>
      <c r="C2646" t="s">
        <v>23</v>
      </c>
      <c r="D2646">
        <v>1</v>
      </c>
      <c r="E2646">
        <v>6324.22</v>
      </c>
      <c r="F2646" t="s">
        <v>16</v>
      </c>
      <c r="G2646" t="s">
        <v>24</v>
      </c>
      <c r="H2646" t="s">
        <v>18</v>
      </c>
      <c r="I2646" t="s">
        <v>25</v>
      </c>
      <c r="J2646" t="s">
        <v>26</v>
      </c>
      <c r="K2646" t="s">
        <v>27</v>
      </c>
      <c r="L2646" t="s">
        <v>22</v>
      </c>
      <c r="M2646">
        <v>6324.22</v>
      </c>
      <c r="N2646">
        <v>2020</v>
      </c>
      <c r="O2646">
        <v>6</v>
      </c>
    </row>
    <row r="2647" spans="1:15" x14ac:dyDescent="0.3">
      <c r="A2647" s="1">
        <v>43998</v>
      </c>
      <c r="B2647">
        <v>1000000036</v>
      </c>
      <c r="C2647" t="s">
        <v>23</v>
      </c>
      <c r="D2647">
        <v>4</v>
      </c>
      <c r="E2647">
        <v>41400.92</v>
      </c>
      <c r="F2647" t="s">
        <v>16</v>
      </c>
      <c r="G2647" t="s">
        <v>24</v>
      </c>
      <c r="H2647" t="s">
        <v>47</v>
      </c>
      <c r="I2647" t="s">
        <v>48</v>
      </c>
      <c r="J2647" t="s">
        <v>36</v>
      </c>
      <c r="K2647" t="s">
        <v>49</v>
      </c>
      <c r="L2647" t="s">
        <v>28</v>
      </c>
      <c r="M2647">
        <v>10350.23</v>
      </c>
      <c r="N2647">
        <v>2020</v>
      </c>
      <c r="O2647">
        <v>6</v>
      </c>
    </row>
    <row r="2648" spans="1:15" x14ac:dyDescent="0.3">
      <c r="A2648" s="1">
        <v>43998</v>
      </c>
      <c r="B2648">
        <v>1000000036</v>
      </c>
      <c r="C2648" t="s">
        <v>15</v>
      </c>
      <c r="D2648">
        <v>1</v>
      </c>
      <c r="E2648">
        <v>17000.689999999999</v>
      </c>
      <c r="F2648" t="s">
        <v>16</v>
      </c>
      <c r="G2648" t="s">
        <v>17</v>
      </c>
      <c r="H2648" t="s">
        <v>47</v>
      </c>
      <c r="I2648" t="s">
        <v>48</v>
      </c>
      <c r="J2648" t="s">
        <v>36</v>
      </c>
      <c r="K2648" t="s">
        <v>49</v>
      </c>
      <c r="L2648" t="s">
        <v>28</v>
      </c>
      <c r="M2648">
        <v>17000.689999999999</v>
      </c>
      <c r="N2648">
        <v>2020</v>
      </c>
      <c r="O2648">
        <v>6</v>
      </c>
    </row>
    <row r="2649" spans="1:15" x14ac:dyDescent="0.3">
      <c r="A2649" s="1">
        <v>43998</v>
      </c>
      <c r="B2649">
        <v>1000000036</v>
      </c>
      <c r="C2649" t="s">
        <v>42</v>
      </c>
      <c r="D2649">
        <v>1</v>
      </c>
      <c r="E2649">
        <v>13999.98</v>
      </c>
      <c r="F2649" t="s">
        <v>16</v>
      </c>
      <c r="G2649" t="s">
        <v>43</v>
      </c>
      <c r="H2649" t="s">
        <v>47</v>
      </c>
      <c r="I2649" t="s">
        <v>48</v>
      </c>
      <c r="J2649" t="s">
        <v>36</v>
      </c>
      <c r="K2649" t="s">
        <v>49</v>
      </c>
      <c r="L2649" t="s">
        <v>28</v>
      </c>
      <c r="M2649">
        <v>13999.98</v>
      </c>
      <c r="N2649">
        <v>2020</v>
      </c>
      <c r="O2649">
        <v>6</v>
      </c>
    </row>
    <row r="2650" spans="1:15" x14ac:dyDescent="0.3">
      <c r="A2650" s="1">
        <v>43998</v>
      </c>
      <c r="B2650">
        <v>1000000037</v>
      </c>
      <c r="C2650" t="s">
        <v>42</v>
      </c>
      <c r="D2650">
        <v>2</v>
      </c>
      <c r="E2650">
        <v>17864.66</v>
      </c>
      <c r="F2650" t="s">
        <v>16</v>
      </c>
      <c r="G2650" t="s">
        <v>43</v>
      </c>
      <c r="H2650" t="s">
        <v>18</v>
      </c>
      <c r="I2650" t="s">
        <v>19</v>
      </c>
      <c r="J2650" t="s">
        <v>20</v>
      </c>
      <c r="K2650" t="s">
        <v>21</v>
      </c>
      <c r="L2650" t="s">
        <v>22</v>
      </c>
      <c r="M2650">
        <v>8932.33</v>
      </c>
      <c r="N2650">
        <v>2020</v>
      </c>
      <c r="O2650">
        <v>6</v>
      </c>
    </row>
    <row r="2651" spans="1:15" x14ac:dyDescent="0.3">
      <c r="A2651" s="1">
        <v>43998</v>
      </c>
      <c r="B2651">
        <v>1000000039</v>
      </c>
      <c r="C2651" t="s">
        <v>23</v>
      </c>
      <c r="D2651">
        <v>1</v>
      </c>
      <c r="E2651">
        <v>1000.01</v>
      </c>
      <c r="F2651" t="s">
        <v>16</v>
      </c>
      <c r="G2651" t="s">
        <v>24</v>
      </c>
      <c r="H2651" t="s">
        <v>18</v>
      </c>
      <c r="I2651" t="s">
        <v>25</v>
      </c>
      <c r="J2651" t="s">
        <v>20</v>
      </c>
      <c r="K2651" t="s">
        <v>51</v>
      </c>
      <c r="L2651" t="s">
        <v>28</v>
      </c>
      <c r="M2651">
        <v>1000.01</v>
      </c>
      <c r="N2651">
        <v>2020</v>
      </c>
      <c r="O2651">
        <v>6</v>
      </c>
    </row>
    <row r="2652" spans="1:15" x14ac:dyDescent="0.3">
      <c r="A2652" s="1">
        <v>43998</v>
      </c>
      <c r="B2652">
        <v>1000000039</v>
      </c>
      <c r="C2652" t="s">
        <v>15</v>
      </c>
      <c r="D2652">
        <v>1</v>
      </c>
      <c r="E2652">
        <v>500.75</v>
      </c>
      <c r="F2652" t="s">
        <v>16</v>
      </c>
      <c r="G2652" t="s">
        <v>17</v>
      </c>
      <c r="H2652" t="s">
        <v>18</v>
      </c>
      <c r="I2652" t="s">
        <v>25</v>
      </c>
      <c r="J2652" t="s">
        <v>20</v>
      </c>
      <c r="K2652" t="s">
        <v>51</v>
      </c>
      <c r="L2652" t="s">
        <v>28</v>
      </c>
      <c r="M2652">
        <v>500.75</v>
      </c>
      <c r="N2652">
        <v>2020</v>
      </c>
      <c r="O2652">
        <v>6</v>
      </c>
    </row>
    <row r="2653" spans="1:15" x14ac:dyDescent="0.3">
      <c r="A2653" s="1">
        <v>43998</v>
      </c>
      <c r="B2653">
        <v>1000000039</v>
      </c>
      <c r="C2653" t="s">
        <v>42</v>
      </c>
      <c r="D2653">
        <v>1</v>
      </c>
      <c r="E2653">
        <v>1000.07</v>
      </c>
      <c r="F2653" t="s">
        <v>16</v>
      </c>
      <c r="G2653" t="s">
        <v>43</v>
      </c>
      <c r="H2653" t="s">
        <v>18</v>
      </c>
      <c r="I2653" t="s">
        <v>25</v>
      </c>
      <c r="J2653" t="s">
        <v>20</v>
      </c>
      <c r="K2653" t="s">
        <v>51</v>
      </c>
      <c r="L2653" t="s">
        <v>28</v>
      </c>
      <c r="M2653">
        <v>1000.07</v>
      </c>
      <c r="N2653">
        <v>2020</v>
      </c>
      <c r="O2653">
        <v>6</v>
      </c>
    </row>
    <row r="2654" spans="1:15" x14ac:dyDescent="0.3">
      <c r="A2654" s="1">
        <v>43998</v>
      </c>
      <c r="B2654">
        <v>1000000040</v>
      </c>
      <c r="C2654" t="s">
        <v>15</v>
      </c>
      <c r="D2654">
        <v>2</v>
      </c>
      <c r="E2654">
        <v>36000.990000000005</v>
      </c>
      <c r="F2654" t="s">
        <v>16</v>
      </c>
      <c r="G2654" t="s">
        <v>17</v>
      </c>
      <c r="H2654" t="s">
        <v>30</v>
      </c>
      <c r="I2654" t="s">
        <v>31</v>
      </c>
      <c r="J2654" t="s">
        <v>32</v>
      </c>
      <c r="K2654" t="s">
        <v>33</v>
      </c>
      <c r="L2654" t="s">
        <v>28</v>
      </c>
      <c r="M2654">
        <v>18000.495000000003</v>
      </c>
      <c r="N2654">
        <v>2020</v>
      </c>
      <c r="O2654">
        <v>6</v>
      </c>
    </row>
    <row r="2655" spans="1:15" x14ac:dyDescent="0.3">
      <c r="A2655" s="1">
        <v>43998</v>
      </c>
      <c r="B2655">
        <v>1000000041</v>
      </c>
      <c r="C2655" t="s">
        <v>23</v>
      </c>
      <c r="D2655">
        <v>1</v>
      </c>
      <c r="E2655">
        <v>13000.34</v>
      </c>
      <c r="F2655" t="s">
        <v>16</v>
      </c>
      <c r="G2655" t="s">
        <v>24</v>
      </c>
      <c r="H2655" t="s">
        <v>30</v>
      </c>
      <c r="I2655" t="s">
        <v>31</v>
      </c>
      <c r="J2655" t="s">
        <v>32</v>
      </c>
      <c r="K2655" t="s">
        <v>33</v>
      </c>
      <c r="L2655" t="s">
        <v>22</v>
      </c>
      <c r="M2655">
        <v>13000.34</v>
      </c>
      <c r="N2655">
        <v>2020</v>
      </c>
      <c r="O2655">
        <v>6</v>
      </c>
    </row>
    <row r="2656" spans="1:15" x14ac:dyDescent="0.3">
      <c r="A2656" s="1">
        <v>43998</v>
      </c>
      <c r="B2656">
        <v>1000000041</v>
      </c>
      <c r="C2656" t="s">
        <v>15</v>
      </c>
      <c r="D2656">
        <v>1</v>
      </c>
      <c r="E2656">
        <v>5000.38</v>
      </c>
      <c r="F2656" t="s">
        <v>16</v>
      </c>
      <c r="G2656" t="s">
        <v>17</v>
      </c>
      <c r="H2656" t="s">
        <v>30</v>
      </c>
      <c r="I2656" t="s">
        <v>31</v>
      </c>
      <c r="J2656" t="s">
        <v>32</v>
      </c>
      <c r="K2656" t="s">
        <v>33</v>
      </c>
      <c r="L2656" t="s">
        <v>22</v>
      </c>
      <c r="M2656">
        <v>5000.38</v>
      </c>
      <c r="N2656">
        <v>2020</v>
      </c>
      <c r="O2656">
        <v>6</v>
      </c>
    </row>
    <row r="2657" spans="1:15" x14ac:dyDescent="0.3">
      <c r="A2657" s="1">
        <v>43998</v>
      </c>
      <c r="B2657">
        <v>1000000041</v>
      </c>
      <c r="C2657" t="s">
        <v>42</v>
      </c>
      <c r="D2657">
        <v>2</v>
      </c>
      <c r="E2657">
        <v>8439.36</v>
      </c>
      <c r="F2657" t="s">
        <v>16</v>
      </c>
      <c r="G2657" t="s">
        <v>43</v>
      </c>
      <c r="H2657" t="s">
        <v>30</v>
      </c>
      <c r="I2657" t="s">
        <v>31</v>
      </c>
      <c r="J2657" t="s">
        <v>32</v>
      </c>
      <c r="K2657" t="s">
        <v>33</v>
      </c>
      <c r="L2657" t="s">
        <v>22</v>
      </c>
      <c r="M2657">
        <v>4219.68</v>
      </c>
      <c r="N2657">
        <v>2020</v>
      </c>
      <c r="O2657">
        <v>6</v>
      </c>
    </row>
    <row r="2658" spans="1:15" x14ac:dyDescent="0.3">
      <c r="A2658" s="1">
        <v>43998</v>
      </c>
      <c r="B2658">
        <v>1000000045</v>
      </c>
      <c r="C2658" t="s">
        <v>23</v>
      </c>
      <c r="D2658">
        <v>2</v>
      </c>
      <c r="E2658">
        <v>27000.809999999998</v>
      </c>
      <c r="F2658" t="s">
        <v>16</v>
      </c>
      <c r="G2658" t="s">
        <v>24</v>
      </c>
      <c r="H2658" t="s">
        <v>47</v>
      </c>
      <c r="I2658" t="s">
        <v>59</v>
      </c>
      <c r="J2658" t="s">
        <v>26</v>
      </c>
      <c r="K2658" t="s">
        <v>60</v>
      </c>
      <c r="L2658" t="s">
        <v>22</v>
      </c>
      <c r="M2658">
        <v>13500.404999999999</v>
      </c>
      <c r="N2658">
        <v>2020</v>
      </c>
      <c r="O2658">
        <v>6</v>
      </c>
    </row>
    <row r="2659" spans="1:15" x14ac:dyDescent="0.3">
      <c r="A2659" s="1">
        <v>43998</v>
      </c>
      <c r="B2659">
        <v>1000000046</v>
      </c>
      <c r="C2659" t="s">
        <v>23</v>
      </c>
      <c r="D2659">
        <v>2</v>
      </c>
      <c r="E2659">
        <v>11500.09</v>
      </c>
      <c r="F2659" t="s">
        <v>16</v>
      </c>
      <c r="G2659" t="s">
        <v>24</v>
      </c>
      <c r="H2659" t="s">
        <v>30</v>
      </c>
      <c r="I2659" t="s">
        <v>38</v>
      </c>
      <c r="J2659" t="s">
        <v>26</v>
      </c>
      <c r="K2659" t="s">
        <v>39</v>
      </c>
      <c r="L2659" t="s">
        <v>22</v>
      </c>
      <c r="M2659">
        <v>5750.0450000000001</v>
      </c>
      <c r="N2659">
        <v>2020</v>
      </c>
      <c r="O2659">
        <v>6</v>
      </c>
    </row>
    <row r="2660" spans="1:15" x14ac:dyDescent="0.3">
      <c r="A2660" s="1">
        <v>43998</v>
      </c>
      <c r="B2660">
        <v>1000000050</v>
      </c>
      <c r="C2660" t="s">
        <v>23</v>
      </c>
      <c r="D2660">
        <v>1</v>
      </c>
      <c r="E2660">
        <v>783.46</v>
      </c>
      <c r="F2660" t="s">
        <v>16</v>
      </c>
      <c r="G2660" t="s">
        <v>24</v>
      </c>
      <c r="H2660" t="s">
        <v>18</v>
      </c>
      <c r="I2660" t="s">
        <v>40</v>
      </c>
      <c r="J2660" t="s">
        <v>26</v>
      </c>
      <c r="K2660" t="s">
        <v>41</v>
      </c>
      <c r="L2660" t="s">
        <v>22</v>
      </c>
      <c r="M2660">
        <v>783.46</v>
      </c>
      <c r="N2660">
        <v>2020</v>
      </c>
      <c r="O2660">
        <v>6</v>
      </c>
    </row>
    <row r="2661" spans="1:15" x14ac:dyDescent="0.3">
      <c r="A2661" s="1">
        <v>43998</v>
      </c>
      <c r="B2661">
        <v>1000000054</v>
      </c>
      <c r="C2661" t="s">
        <v>23</v>
      </c>
      <c r="D2661">
        <v>2</v>
      </c>
      <c r="E2661">
        <v>25001.239999999998</v>
      </c>
      <c r="F2661" t="s">
        <v>16</v>
      </c>
      <c r="G2661" t="s">
        <v>24</v>
      </c>
      <c r="H2661" t="s">
        <v>18</v>
      </c>
      <c r="I2661" t="s">
        <v>34</v>
      </c>
      <c r="J2661" t="s">
        <v>26</v>
      </c>
      <c r="K2661" t="s">
        <v>35</v>
      </c>
      <c r="L2661" t="s">
        <v>22</v>
      </c>
      <c r="M2661">
        <v>12500.619999999999</v>
      </c>
      <c r="N2661">
        <v>2020</v>
      </c>
      <c r="O2661">
        <v>6</v>
      </c>
    </row>
    <row r="2662" spans="1:15" x14ac:dyDescent="0.3">
      <c r="A2662" s="1">
        <v>43998</v>
      </c>
      <c r="B2662">
        <v>1000000054</v>
      </c>
      <c r="C2662" t="s">
        <v>15</v>
      </c>
      <c r="D2662">
        <v>1</v>
      </c>
      <c r="E2662">
        <v>22000.65</v>
      </c>
      <c r="F2662" t="s">
        <v>16</v>
      </c>
      <c r="G2662" t="s">
        <v>17</v>
      </c>
      <c r="H2662" t="s">
        <v>18</v>
      </c>
      <c r="I2662" t="s">
        <v>34</v>
      </c>
      <c r="J2662" t="s">
        <v>26</v>
      </c>
      <c r="K2662" t="s">
        <v>35</v>
      </c>
      <c r="L2662" t="s">
        <v>22</v>
      </c>
      <c r="M2662">
        <v>22000.65</v>
      </c>
      <c r="N2662">
        <v>2020</v>
      </c>
      <c r="O2662">
        <v>6</v>
      </c>
    </row>
    <row r="2663" spans="1:15" x14ac:dyDescent="0.3">
      <c r="A2663" s="1">
        <v>43998</v>
      </c>
      <c r="B2663">
        <v>1000000054</v>
      </c>
      <c r="C2663" t="s">
        <v>42</v>
      </c>
      <c r="D2663">
        <v>1</v>
      </c>
      <c r="E2663">
        <v>15000.44</v>
      </c>
      <c r="F2663" t="s">
        <v>16</v>
      </c>
      <c r="G2663" t="s">
        <v>43</v>
      </c>
      <c r="H2663" t="s">
        <v>18</v>
      </c>
      <c r="I2663" t="s">
        <v>34</v>
      </c>
      <c r="J2663" t="s">
        <v>26</v>
      </c>
      <c r="K2663" t="s">
        <v>35</v>
      </c>
      <c r="L2663" t="s">
        <v>22</v>
      </c>
      <c r="M2663">
        <v>15000.44</v>
      </c>
      <c r="N2663">
        <v>2020</v>
      </c>
      <c r="O2663">
        <v>6</v>
      </c>
    </row>
    <row r="2664" spans="1:15" x14ac:dyDescent="0.3">
      <c r="A2664" s="1">
        <v>43998</v>
      </c>
      <c r="B2664">
        <v>1000000056</v>
      </c>
      <c r="C2664" t="s">
        <v>23</v>
      </c>
      <c r="D2664">
        <v>1</v>
      </c>
      <c r="E2664">
        <v>1541.96</v>
      </c>
      <c r="F2664" t="s">
        <v>16</v>
      </c>
      <c r="G2664" t="s">
        <v>24</v>
      </c>
      <c r="H2664" t="s">
        <v>18</v>
      </c>
      <c r="I2664" t="s">
        <v>34</v>
      </c>
      <c r="J2664" t="s">
        <v>26</v>
      </c>
      <c r="K2664" t="s">
        <v>35</v>
      </c>
      <c r="L2664" t="s">
        <v>28</v>
      </c>
      <c r="M2664">
        <v>1541.96</v>
      </c>
      <c r="N2664">
        <v>2020</v>
      </c>
      <c r="O2664">
        <v>6</v>
      </c>
    </row>
    <row r="2665" spans="1:15" x14ac:dyDescent="0.3">
      <c r="A2665" s="1">
        <v>43998</v>
      </c>
      <c r="B2665">
        <v>1000000067</v>
      </c>
      <c r="C2665" t="s">
        <v>23</v>
      </c>
      <c r="D2665">
        <v>1</v>
      </c>
      <c r="E2665">
        <v>13999.97</v>
      </c>
      <c r="F2665" t="s">
        <v>16</v>
      </c>
      <c r="G2665" t="s">
        <v>24</v>
      </c>
      <c r="H2665" t="s">
        <v>18</v>
      </c>
      <c r="I2665" t="s">
        <v>25</v>
      </c>
      <c r="J2665" t="s">
        <v>20</v>
      </c>
      <c r="K2665" t="s">
        <v>51</v>
      </c>
      <c r="L2665" t="s">
        <v>22</v>
      </c>
      <c r="M2665">
        <v>13999.97</v>
      </c>
      <c r="N2665">
        <v>2020</v>
      </c>
      <c r="O2665">
        <v>6</v>
      </c>
    </row>
    <row r="2666" spans="1:15" x14ac:dyDescent="0.3">
      <c r="A2666" s="1">
        <v>43998</v>
      </c>
      <c r="B2666">
        <v>1000000068</v>
      </c>
      <c r="C2666" t="s">
        <v>23</v>
      </c>
      <c r="D2666">
        <v>1</v>
      </c>
      <c r="E2666">
        <v>5500.15</v>
      </c>
      <c r="F2666" t="s">
        <v>16</v>
      </c>
      <c r="G2666" t="s">
        <v>24</v>
      </c>
      <c r="H2666" t="s">
        <v>30</v>
      </c>
      <c r="I2666" t="s">
        <v>55</v>
      </c>
      <c r="J2666" t="s">
        <v>26</v>
      </c>
      <c r="K2666" t="s">
        <v>56</v>
      </c>
      <c r="L2666" t="s">
        <v>28</v>
      </c>
      <c r="M2666">
        <v>5500.15</v>
      </c>
      <c r="N2666">
        <v>2020</v>
      </c>
      <c r="O2666">
        <v>6</v>
      </c>
    </row>
    <row r="2667" spans="1:15" x14ac:dyDescent="0.3">
      <c r="A2667" s="1">
        <v>43998</v>
      </c>
      <c r="B2667">
        <v>1000000068</v>
      </c>
      <c r="C2667" t="s">
        <v>15</v>
      </c>
      <c r="D2667">
        <v>1</v>
      </c>
      <c r="E2667">
        <v>10000.06</v>
      </c>
      <c r="F2667" t="s">
        <v>16</v>
      </c>
      <c r="G2667" t="s">
        <v>17</v>
      </c>
      <c r="H2667" t="s">
        <v>30</v>
      </c>
      <c r="I2667" t="s">
        <v>55</v>
      </c>
      <c r="J2667" t="s">
        <v>26</v>
      </c>
      <c r="K2667" t="s">
        <v>56</v>
      </c>
      <c r="L2667" t="s">
        <v>28</v>
      </c>
      <c r="M2667">
        <v>10000.06</v>
      </c>
      <c r="N2667">
        <v>2020</v>
      </c>
      <c r="O2667">
        <v>6</v>
      </c>
    </row>
    <row r="2668" spans="1:15" x14ac:dyDescent="0.3">
      <c r="A2668" s="1">
        <v>43998</v>
      </c>
      <c r="B2668">
        <v>1000000104</v>
      </c>
      <c r="C2668" t="s">
        <v>42</v>
      </c>
      <c r="D2668">
        <v>1</v>
      </c>
      <c r="E2668">
        <v>7500.64</v>
      </c>
      <c r="F2668" t="s">
        <v>16</v>
      </c>
      <c r="G2668" t="s">
        <v>43</v>
      </c>
      <c r="H2668" t="s">
        <v>18</v>
      </c>
      <c r="I2668" t="s">
        <v>40</v>
      </c>
      <c r="J2668" t="s">
        <v>26</v>
      </c>
      <c r="K2668" t="s">
        <v>41</v>
      </c>
      <c r="L2668" t="s">
        <v>22</v>
      </c>
      <c r="M2668">
        <v>7500.64</v>
      </c>
      <c r="N2668">
        <v>2020</v>
      </c>
      <c r="O2668">
        <v>6</v>
      </c>
    </row>
    <row r="2669" spans="1:15" x14ac:dyDescent="0.3">
      <c r="A2669" s="1">
        <v>43998</v>
      </c>
      <c r="B2669">
        <v>1000000566</v>
      </c>
      <c r="C2669" t="s">
        <v>23</v>
      </c>
      <c r="D2669">
        <v>1</v>
      </c>
      <c r="E2669">
        <v>9000.66</v>
      </c>
      <c r="F2669" t="s">
        <v>16</v>
      </c>
      <c r="G2669" t="s">
        <v>24</v>
      </c>
      <c r="H2669" t="s">
        <v>47</v>
      </c>
      <c r="I2669" t="s">
        <v>48</v>
      </c>
      <c r="J2669" t="s">
        <v>36</v>
      </c>
      <c r="K2669" t="s">
        <v>49</v>
      </c>
      <c r="L2669" t="s">
        <v>22</v>
      </c>
      <c r="M2669">
        <v>9000.66</v>
      </c>
      <c r="N2669">
        <v>2020</v>
      </c>
      <c r="O2669">
        <v>6</v>
      </c>
    </row>
    <row r="2670" spans="1:15" x14ac:dyDescent="0.3">
      <c r="A2670" s="1">
        <v>43998</v>
      </c>
      <c r="B2670">
        <v>1000000576</v>
      </c>
      <c r="C2670" t="s">
        <v>42</v>
      </c>
      <c r="D2670">
        <v>1</v>
      </c>
      <c r="E2670">
        <v>1945.32</v>
      </c>
      <c r="F2670" t="s">
        <v>16</v>
      </c>
      <c r="G2670" t="s">
        <v>43</v>
      </c>
      <c r="H2670" t="s">
        <v>18</v>
      </c>
      <c r="I2670" t="s">
        <v>25</v>
      </c>
      <c r="J2670" t="s">
        <v>36</v>
      </c>
      <c r="K2670" t="s">
        <v>37</v>
      </c>
      <c r="L2670" t="s">
        <v>22</v>
      </c>
      <c r="M2670">
        <v>1945.32</v>
      </c>
      <c r="N2670">
        <v>2020</v>
      </c>
      <c r="O2670">
        <v>6</v>
      </c>
    </row>
    <row r="2671" spans="1:15" x14ac:dyDescent="0.3">
      <c r="A2671" s="1">
        <v>43998</v>
      </c>
      <c r="B2671">
        <v>1000001524</v>
      </c>
      <c r="C2671" t="s">
        <v>23</v>
      </c>
      <c r="D2671">
        <v>1</v>
      </c>
      <c r="E2671">
        <v>14000.03</v>
      </c>
      <c r="F2671" t="s">
        <v>16</v>
      </c>
      <c r="G2671" t="s">
        <v>24</v>
      </c>
      <c r="H2671" t="s">
        <v>18</v>
      </c>
      <c r="I2671" t="s">
        <v>25</v>
      </c>
      <c r="J2671" t="s">
        <v>20</v>
      </c>
      <c r="K2671" t="s">
        <v>51</v>
      </c>
      <c r="L2671" t="s">
        <v>22</v>
      </c>
      <c r="M2671">
        <v>14000.03</v>
      </c>
      <c r="N2671">
        <v>2020</v>
      </c>
      <c r="O2671">
        <v>6</v>
      </c>
    </row>
    <row r="2672" spans="1:15" x14ac:dyDescent="0.3">
      <c r="A2672" s="1">
        <v>43998</v>
      </c>
      <c r="B2672">
        <v>1000001524</v>
      </c>
      <c r="C2672" t="s">
        <v>15</v>
      </c>
      <c r="D2672">
        <v>1</v>
      </c>
      <c r="E2672">
        <v>11000.48</v>
      </c>
      <c r="F2672" t="s">
        <v>16</v>
      </c>
      <c r="G2672" t="s">
        <v>17</v>
      </c>
      <c r="H2672" t="s">
        <v>18</v>
      </c>
      <c r="I2672" t="s">
        <v>25</v>
      </c>
      <c r="J2672" t="s">
        <v>20</v>
      </c>
      <c r="K2672" t="s">
        <v>51</v>
      </c>
      <c r="L2672" t="s">
        <v>22</v>
      </c>
      <c r="M2672">
        <v>11000.48</v>
      </c>
      <c r="N2672">
        <v>2020</v>
      </c>
      <c r="O2672">
        <v>6</v>
      </c>
    </row>
    <row r="2673" spans="1:15" x14ac:dyDescent="0.3">
      <c r="A2673" s="1">
        <v>43998</v>
      </c>
      <c r="B2673">
        <v>1000002861</v>
      </c>
      <c r="C2673" t="s">
        <v>42</v>
      </c>
      <c r="D2673">
        <v>1</v>
      </c>
      <c r="E2673">
        <v>7500.72</v>
      </c>
      <c r="F2673" t="s">
        <v>16</v>
      </c>
      <c r="G2673" t="s">
        <v>43</v>
      </c>
      <c r="H2673" t="s">
        <v>47</v>
      </c>
      <c r="I2673" t="s">
        <v>48</v>
      </c>
      <c r="J2673" t="s">
        <v>36</v>
      </c>
      <c r="K2673" t="s">
        <v>49</v>
      </c>
      <c r="L2673" t="s">
        <v>22</v>
      </c>
      <c r="M2673">
        <v>7500.72</v>
      </c>
      <c r="N2673">
        <v>2020</v>
      </c>
      <c r="O2673">
        <v>6</v>
      </c>
    </row>
    <row r="2674" spans="1:15" x14ac:dyDescent="0.3">
      <c r="A2674" s="1">
        <v>43998</v>
      </c>
      <c r="B2674">
        <v>1000003489</v>
      </c>
      <c r="C2674" t="s">
        <v>23</v>
      </c>
      <c r="D2674">
        <v>1</v>
      </c>
      <c r="E2674">
        <v>17000.47</v>
      </c>
      <c r="F2674" t="s">
        <v>16</v>
      </c>
      <c r="G2674" t="s">
        <v>24</v>
      </c>
      <c r="H2674" t="s">
        <v>47</v>
      </c>
      <c r="I2674" t="s">
        <v>48</v>
      </c>
      <c r="J2674" t="s">
        <v>26</v>
      </c>
      <c r="K2674" t="s">
        <v>50</v>
      </c>
      <c r="L2674" t="s">
        <v>22</v>
      </c>
      <c r="M2674">
        <v>17000.47</v>
      </c>
      <c r="N2674">
        <v>2020</v>
      </c>
      <c r="O2674">
        <v>6</v>
      </c>
    </row>
    <row r="2675" spans="1:15" x14ac:dyDescent="0.3">
      <c r="A2675" s="1">
        <v>43998</v>
      </c>
      <c r="B2675">
        <v>1000003489</v>
      </c>
      <c r="C2675" t="s">
        <v>42</v>
      </c>
      <c r="D2675">
        <v>2</v>
      </c>
      <c r="E2675">
        <v>24001.25</v>
      </c>
      <c r="F2675" t="s">
        <v>16</v>
      </c>
      <c r="G2675" t="s">
        <v>43</v>
      </c>
      <c r="H2675" t="s">
        <v>47</v>
      </c>
      <c r="I2675" t="s">
        <v>48</v>
      </c>
      <c r="J2675" t="s">
        <v>26</v>
      </c>
      <c r="K2675" t="s">
        <v>50</v>
      </c>
      <c r="L2675" t="s">
        <v>22</v>
      </c>
      <c r="M2675">
        <v>12000.625</v>
      </c>
      <c r="N2675">
        <v>2020</v>
      </c>
      <c r="O2675">
        <v>6</v>
      </c>
    </row>
    <row r="2676" spans="1:15" x14ac:dyDescent="0.3">
      <c r="A2676" s="1">
        <v>43998</v>
      </c>
      <c r="B2676">
        <v>1000003926</v>
      </c>
      <c r="C2676" t="s">
        <v>23</v>
      </c>
      <c r="D2676">
        <v>3</v>
      </c>
      <c r="E2676">
        <v>36000.83</v>
      </c>
      <c r="F2676" t="s">
        <v>16</v>
      </c>
      <c r="G2676" t="s">
        <v>24</v>
      </c>
      <c r="H2676" t="s">
        <v>47</v>
      </c>
      <c r="I2676" t="s">
        <v>48</v>
      </c>
      <c r="J2676" t="s">
        <v>26</v>
      </c>
      <c r="K2676" t="s">
        <v>50</v>
      </c>
      <c r="L2676" t="s">
        <v>28</v>
      </c>
      <c r="M2676">
        <v>12000.276666666667</v>
      </c>
      <c r="N2676">
        <v>2020</v>
      </c>
      <c r="O2676">
        <v>6</v>
      </c>
    </row>
    <row r="2677" spans="1:15" x14ac:dyDescent="0.3">
      <c r="A2677" s="1">
        <v>43998</v>
      </c>
      <c r="B2677">
        <v>1000004170</v>
      </c>
      <c r="C2677" t="s">
        <v>15</v>
      </c>
      <c r="D2677">
        <v>2</v>
      </c>
      <c r="E2677">
        <v>26000.080000000002</v>
      </c>
      <c r="F2677" t="s">
        <v>16</v>
      </c>
      <c r="G2677" t="s">
        <v>17</v>
      </c>
      <c r="H2677" t="s">
        <v>18</v>
      </c>
      <c r="I2677" t="s">
        <v>34</v>
      </c>
      <c r="J2677" t="s">
        <v>20</v>
      </c>
      <c r="K2677" t="s">
        <v>44</v>
      </c>
      <c r="L2677" t="s">
        <v>28</v>
      </c>
      <c r="M2677">
        <v>13000.04</v>
      </c>
      <c r="N2677">
        <v>2020</v>
      </c>
      <c r="O2677">
        <v>6</v>
      </c>
    </row>
    <row r="2678" spans="1:15" x14ac:dyDescent="0.3">
      <c r="A2678" s="1">
        <v>43998</v>
      </c>
      <c r="B2678">
        <v>1000004170</v>
      </c>
      <c r="C2678" t="s">
        <v>42</v>
      </c>
      <c r="D2678">
        <v>1</v>
      </c>
      <c r="E2678">
        <v>5000.5200000000004</v>
      </c>
      <c r="F2678" t="s">
        <v>16</v>
      </c>
      <c r="G2678" t="s">
        <v>43</v>
      </c>
      <c r="H2678" t="s">
        <v>18</v>
      </c>
      <c r="I2678" t="s">
        <v>34</v>
      </c>
      <c r="J2678" t="s">
        <v>20</v>
      </c>
      <c r="K2678" t="s">
        <v>44</v>
      </c>
      <c r="L2678" t="s">
        <v>28</v>
      </c>
      <c r="M2678">
        <v>5000.5200000000004</v>
      </c>
      <c r="N2678">
        <v>2020</v>
      </c>
      <c r="O2678">
        <v>6</v>
      </c>
    </row>
    <row r="2679" spans="1:15" x14ac:dyDescent="0.3">
      <c r="A2679" s="1">
        <v>43998</v>
      </c>
      <c r="B2679">
        <v>1000004256</v>
      </c>
      <c r="C2679" t="s">
        <v>15</v>
      </c>
      <c r="D2679">
        <v>1</v>
      </c>
      <c r="E2679">
        <v>6000.14</v>
      </c>
      <c r="F2679" t="s">
        <v>16</v>
      </c>
      <c r="G2679" t="s">
        <v>17</v>
      </c>
      <c r="H2679" t="s">
        <v>18</v>
      </c>
      <c r="I2679" t="s">
        <v>40</v>
      </c>
      <c r="J2679" t="s">
        <v>26</v>
      </c>
      <c r="K2679" t="s">
        <v>41</v>
      </c>
      <c r="L2679" t="s">
        <v>22</v>
      </c>
      <c r="M2679">
        <v>6000.14</v>
      </c>
      <c r="N2679">
        <v>2020</v>
      </c>
      <c r="O2679">
        <v>6</v>
      </c>
    </row>
    <row r="2680" spans="1:15" x14ac:dyDescent="0.3">
      <c r="A2680" s="1">
        <v>43998</v>
      </c>
      <c r="B2680">
        <v>1000006698</v>
      </c>
      <c r="C2680" t="s">
        <v>15</v>
      </c>
      <c r="D2680">
        <v>1</v>
      </c>
      <c r="E2680">
        <v>17000.490000000002</v>
      </c>
      <c r="F2680" t="s">
        <v>16</v>
      </c>
      <c r="G2680" t="s">
        <v>17</v>
      </c>
      <c r="H2680" t="s">
        <v>30</v>
      </c>
      <c r="I2680" t="s">
        <v>38</v>
      </c>
      <c r="J2680" t="s">
        <v>26</v>
      </c>
      <c r="K2680" t="s">
        <v>39</v>
      </c>
      <c r="L2680" t="s">
        <v>28</v>
      </c>
      <c r="M2680">
        <v>17000.490000000002</v>
      </c>
      <c r="N2680">
        <v>2020</v>
      </c>
      <c r="O2680">
        <v>6</v>
      </c>
    </row>
    <row r="2681" spans="1:15" x14ac:dyDescent="0.3">
      <c r="A2681" s="1">
        <v>43998</v>
      </c>
      <c r="B2681">
        <v>1000006867</v>
      </c>
      <c r="C2681" t="s">
        <v>15</v>
      </c>
      <c r="D2681">
        <v>1</v>
      </c>
      <c r="E2681">
        <v>16000.07</v>
      </c>
      <c r="F2681" t="s">
        <v>16</v>
      </c>
      <c r="G2681" t="s">
        <v>17</v>
      </c>
      <c r="H2681" t="s">
        <v>18</v>
      </c>
      <c r="I2681" t="s">
        <v>61</v>
      </c>
      <c r="J2681" t="s">
        <v>26</v>
      </c>
      <c r="K2681" t="s">
        <v>62</v>
      </c>
      <c r="L2681" t="s">
        <v>22</v>
      </c>
      <c r="M2681">
        <v>16000.07</v>
      </c>
      <c r="N2681">
        <v>2020</v>
      </c>
      <c r="O2681">
        <v>6</v>
      </c>
    </row>
    <row r="2682" spans="1:15" x14ac:dyDescent="0.3">
      <c r="A2682" s="1">
        <v>43998</v>
      </c>
      <c r="B2682">
        <v>1000006867</v>
      </c>
      <c r="C2682" t="s">
        <v>42</v>
      </c>
      <c r="D2682">
        <v>1</v>
      </c>
      <c r="E2682">
        <v>20000.34</v>
      </c>
      <c r="F2682" t="s">
        <v>16</v>
      </c>
      <c r="G2682" t="s">
        <v>43</v>
      </c>
      <c r="H2682" t="s">
        <v>18</v>
      </c>
      <c r="I2682" t="s">
        <v>61</v>
      </c>
      <c r="J2682" t="s">
        <v>26</v>
      </c>
      <c r="K2682" t="s">
        <v>62</v>
      </c>
      <c r="L2682" t="s">
        <v>22</v>
      </c>
      <c r="M2682">
        <v>20000.34</v>
      </c>
      <c r="N2682">
        <v>2020</v>
      </c>
      <c r="O2682">
        <v>6</v>
      </c>
    </row>
    <row r="2683" spans="1:15" x14ac:dyDescent="0.3">
      <c r="A2683" s="1">
        <v>43998</v>
      </c>
      <c r="B2683">
        <v>1000008228</v>
      </c>
      <c r="C2683" t="s">
        <v>15</v>
      </c>
      <c r="D2683">
        <v>1</v>
      </c>
      <c r="E2683">
        <v>17000.669999999998</v>
      </c>
      <c r="F2683" t="s">
        <v>16</v>
      </c>
      <c r="G2683" t="s">
        <v>17</v>
      </c>
      <c r="H2683" t="s">
        <v>30</v>
      </c>
      <c r="I2683" t="s">
        <v>31</v>
      </c>
      <c r="J2683" t="s">
        <v>36</v>
      </c>
      <c r="K2683" t="s">
        <v>52</v>
      </c>
      <c r="L2683" t="s">
        <v>22</v>
      </c>
      <c r="M2683">
        <v>17000.669999999998</v>
      </c>
      <c r="N2683">
        <v>2020</v>
      </c>
      <c r="O2683">
        <v>6</v>
      </c>
    </row>
    <row r="2684" spans="1:15" x14ac:dyDescent="0.3">
      <c r="A2684" s="1">
        <v>43998</v>
      </c>
      <c r="B2684">
        <v>1000010814</v>
      </c>
      <c r="C2684" t="s">
        <v>15</v>
      </c>
      <c r="D2684">
        <v>1</v>
      </c>
      <c r="E2684">
        <v>15000.77</v>
      </c>
      <c r="F2684" t="s">
        <v>16</v>
      </c>
      <c r="G2684" t="s">
        <v>17</v>
      </c>
      <c r="H2684" t="s">
        <v>18</v>
      </c>
      <c r="I2684" t="s">
        <v>61</v>
      </c>
      <c r="J2684" t="s">
        <v>32</v>
      </c>
      <c r="K2684" t="s">
        <v>63</v>
      </c>
      <c r="L2684" t="s">
        <v>22</v>
      </c>
      <c r="M2684">
        <v>15000.77</v>
      </c>
      <c r="N2684">
        <v>2020</v>
      </c>
      <c r="O2684">
        <v>6</v>
      </c>
    </row>
    <row r="2685" spans="1:15" x14ac:dyDescent="0.3">
      <c r="A2685" s="1">
        <v>43998</v>
      </c>
      <c r="B2685">
        <v>1000010815</v>
      </c>
      <c r="C2685" t="s">
        <v>23</v>
      </c>
      <c r="D2685">
        <v>1</v>
      </c>
      <c r="E2685">
        <v>4999.97</v>
      </c>
      <c r="F2685" t="s">
        <v>16</v>
      </c>
      <c r="G2685" t="s">
        <v>24</v>
      </c>
      <c r="H2685" t="s">
        <v>18</v>
      </c>
      <c r="I2685" t="s">
        <v>61</v>
      </c>
      <c r="J2685" t="s">
        <v>26</v>
      </c>
      <c r="K2685" t="s">
        <v>62</v>
      </c>
      <c r="L2685" t="s">
        <v>22</v>
      </c>
      <c r="M2685">
        <v>4999.97</v>
      </c>
      <c r="N2685">
        <v>2020</v>
      </c>
      <c r="O2685">
        <v>6</v>
      </c>
    </row>
    <row r="2686" spans="1:15" x14ac:dyDescent="0.3">
      <c r="A2686" s="1">
        <v>43998</v>
      </c>
      <c r="B2686">
        <v>1000010881</v>
      </c>
      <c r="C2686" t="s">
        <v>23</v>
      </c>
      <c r="D2686">
        <v>1</v>
      </c>
      <c r="E2686">
        <v>7000.5</v>
      </c>
      <c r="F2686" t="s">
        <v>16</v>
      </c>
      <c r="G2686" t="s">
        <v>24</v>
      </c>
      <c r="H2686" t="s">
        <v>47</v>
      </c>
      <c r="I2686" t="s">
        <v>48</v>
      </c>
      <c r="J2686" t="s">
        <v>26</v>
      </c>
      <c r="K2686" t="s">
        <v>50</v>
      </c>
      <c r="L2686" t="s">
        <v>22</v>
      </c>
      <c r="M2686">
        <v>7000.5</v>
      </c>
      <c r="N2686">
        <v>2020</v>
      </c>
      <c r="O2686">
        <v>6</v>
      </c>
    </row>
    <row r="2687" spans="1:15" x14ac:dyDescent="0.3">
      <c r="A2687" s="1">
        <v>43998</v>
      </c>
      <c r="B2687">
        <v>1000010881</v>
      </c>
      <c r="C2687" t="s">
        <v>15</v>
      </c>
      <c r="D2687">
        <v>3</v>
      </c>
      <c r="E2687">
        <v>35000.379999999997</v>
      </c>
      <c r="F2687" t="s">
        <v>16</v>
      </c>
      <c r="G2687" t="s">
        <v>17</v>
      </c>
      <c r="H2687" t="s">
        <v>47</v>
      </c>
      <c r="I2687" t="s">
        <v>48</v>
      </c>
      <c r="J2687" t="s">
        <v>26</v>
      </c>
      <c r="K2687" t="s">
        <v>50</v>
      </c>
      <c r="L2687" t="s">
        <v>22</v>
      </c>
      <c r="M2687">
        <v>11666.793333333333</v>
      </c>
      <c r="N2687">
        <v>2020</v>
      </c>
      <c r="O2687">
        <v>6</v>
      </c>
    </row>
    <row r="2688" spans="1:15" x14ac:dyDescent="0.3">
      <c r="A2688" s="1">
        <v>43998</v>
      </c>
      <c r="B2688">
        <v>1000011538</v>
      </c>
      <c r="C2688" t="s">
        <v>15</v>
      </c>
      <c r="D2688">
        <v>2</v>
      </c>
      <c r="E2688">
        <v>14600.960000000001</v>
      </c>
      <c r="F2688" t="s">
        <v>16</v>
      </c>
      <c r="G2688" t="s">
        <v>17</v>
      </c>
      <c r="H2688" t="s">
        <v>18</v>
      </c>
      <c r="I2688" t="s">
        <v>40</v>
      </c>
      <c r="J2688" t="s">
        <v>20</v>
      </c>
      <c r="K2688" t="s">
        <v>68</v>
      </c>
      <c r="L2688" t="s">
        <v>22</v>
      </c>
      <c r="M2688">
        <v>7300.4800000000005</v>
      </c>
      <c r="N2688">
        <v>2020</v>
      </c>
      <c r="O2688">
        <v>6</v>
      </c>
    </row>
    <row r="2689" spans="1:15" x14ac:dyDescent="0.3">
      <c r="A2689" s="1">
        <v>43998</v>
      </c>
      <c r="B2689">
        <v>1000011697</v>
      </c>
      <c r="C2689" t="s">
        <v>23</v>
      </c>
      <c r="D2689">
        <v>1</v>
      </c>
      <c r="E2689">
        <v>11445.75</v>
      </c>
      <c r="F2689" t="s">
        <v>16</v>
      </c>
      <c r="G2689" t="s">
        <v>24</v>
      </c>
      <c r="H2689" t="s">
        <v>18</v>
      </c>
      <c r="I2689" t="s">
        <v>34</v>
      </c>
      <c r="J2689" t="s">
        <v>20</v>
      </c>
      <c r="K2689" t="s">
        <v>44</v>
      </c>
      <c r="L2689" t="s">
        <v>22</v>
      </c>
      <c r="M2689">
        <v>11445.75</v>
      </c>
      <c r="N2689">
        <v>2020</v>
      </c>
      <c r="O2689">
        <v>6</v>
      </c>
    </row>
    <row r="2690" spans="1:15" x14ac:dyDescent="0.3">
      <c r="A2690" s="1">
        <v>43998</v>
      </c>
      <c r="B2690">
        <v>1000011828</v>
      </c>
      <c r="C2690" t="s">
        <v>23</v>
      </c>
      <c r="D2690">
        <v>1</v>
      </c>
      <c r="E2690">
        <v>1000.48</v>
      </c>
      <c r="F2690" t="s">
        <v>16</v>
      </c>
      <c r="G2690" t="s">
        <v>24</v>
      </c>
      <c r="H2690" t="s">
        <v>18</v>
      </c>
      <c r="I2690" t="s">
        <v>19</v>
      </c>
      <c r="J2690" t="s">
        <v>20</v>
      </c>
      <c r="K2690" t="s">
        <v>21</v>
      </c>
      <c r="L2690" t="s">
        <v>22</v>
      </c>
      <c r="M2690">
        <v>1000.48</v>
      </c>
      <c r="N2690">
        <v>2020</v>
      </c>
      <c r="O2690">
        <v>6</v>
      </c>
    </row>
    <row r="2691" spans="1:15" x14ac:dyDescent="0.3">
      <c r="A2691" s="1">
        <v>43998</v>
      </c>
      <c r="B2691">
        <v>1000012096</v>
      </c>
      <c r="C2691" t="s">
        <v>23</v>
      </c>
      <c r="D2691">
        <v>1</v>
      </c>
      <c r="E2691">
        <v>8000.38</v>
      </c>
      <c r="F2691" t="s">
        <v>16</v>
      </c>
      <c r="G2691" t="s">
        <v>24</v>
      </c>
      <c r="H2691" t="s">
        <v>18</v>
      </c>
      <c r="I2691" t="s">
        <v>19</v>
      </c>
      <c r="J2691" t="s">
        <v>26</v>
      </c>
      <c r="K2691" t="s">
        <v>29</v>
      </c>
      <c r="L2691" t="s">
        <v>22</v>
      </c>
      <c r="M2691">
        <v>8000.38</v>
      </c>
      <c r="N2691">
        <v>2020</v>
      </c>
      <c r="O2691">
        <v>6</v>
      </c>
    </row>
    <row r="2692" spans="1:15" x14ac:dyDescent="0.3">
      <c r="A2692" s="1">
        <v>43998</v>
      </c>
      <c r="B2692">
        <v>1000012099</v>
      </c>
      <c r="C2692" t="s">
        <v>23</v>
      </c>
      <c r="D2692">
        <v>1</v>
      </c>
      <c r="E2692">
        <v>512.1</v>
      </c>
      <c r="F2692" t="s">
        <v>16</v>
      </c>
      <c r="G2692" t="s">
        <v>24</v>
      </c>
      <c r="H2692" t="s">
        <v>18</v>
      </c>
      <c r="I2692" t="s">
        <v>19</v>
      </c>
      <c r="J2692" t="s">
        <v>20</v>
      </c>
      <c r="K2692" t="s">
        <v>21</v>
      </c>
      <c r="L2692" t="s">
        <v>22</v>
      </c>
      <c r="M2692">
        <v>512.1</v>
      </c>
      <c r="N2692">
        <v>2020</v>
      </c>
      <c r="O2692">
        <v>6</v>
      </c>
    </row>
    <row r="2693" spans="1:15" x14ac:dyDescent="0.3">
      <c r="A2693" s="1">
        <v>43998</v>
      </c>
      <c r="B2693">
        <v>1000012126</v>
      </c>
      <c r="C2693" t="s">
        <v>42</v>
      </c>
      <c r="D2693">
        <v>1</v>
      </c>
      <c r="E2693">
        <v>17000.37</v>
      </c>
      <c r="F2693" t="s">
        <v>16</v>
      </c>
      <c r="G2693" t="s">
        <v>43</v>
      </c>
      <c r="H2693" t="s">
        <v>18</v>
      </c>
      <c r="I2693" t="s">
        <v>19</v>
      </c>
      <c r="J2693" t="s">
        <v>26</v>
      </c>
      <c r="K2693" t="s">
        <v>29</v>
      </c>
      <c r="L2693" t="s">
        <v>22</v>
      </c>
      <c r="M2693">
        <v>17000.37</v>
      </c>
      <c r="N2693">
        <v>2020</v>
      </c>
      <c r="O2693">
        <v>6</v>
      </c>
    </row>
    <row r="2694" spans="1:15" x14ac:dyDescent="0.3">
      <c r="A2694" s="1">
        <v>43998</v>
      </c>
      <c r="B2694">
        <v>1000012234</v>
      </c>
      <c r="C2694" t="s">
        <v>15</v>
      </c>
      <c r="D2694">
        <v>1</v>
      </c>
      <c r="E2694">
        <v>19999.98</v>
      </c>
      <c r="F2694" t="s">
        <v>16</v>
      </c>
      <c r="G2694" t="s">
        <v>17</v>
      </c>
      <c r="H2694" t="s">
        <v>18</v>
      </c>
      <c r="I2694" t="s">
        <v>25</v>
      </c>
      <c r="J2694" t="s">
        <v>26</v>
      </c>
      <c r="K2694" t="s">
        <v>27</v>
      </c>
      <c r="L2694" t="s">
        <v>22</v>
      </c>
      <c r="M2694">
        <v>19999.98</v>
      </c>
      <c r="N2694">
        <v>2020</v>
      </c>
      <c r="O2694">
        <v>6</v>
      </c>
    </row>
    <row r="2695" spans="1:15" x14ac:dyDescent="0.3">
      <c r="A2695" s="1">
        <v>43998</v>
      </c>
      <c r="B2695">
        <v>1000012394</v>
      </c>
      <c r="C2695" t="s">
        <v>23</v>
      </c>
      <c r="D2695">
        <v>1</v>
      </c>
      <c r="E2695">
        <v>5000.34</v>
      </c>
      <c r="F2695" t="s">
        <v>16</v>
      </c>
      <c r="G2695" t="s">
        <v>24</v>
      </c>
      <c r="H2695" t="s">
        <v>18</v>
      </c>
      <c r="I2695" t="s">
        <v>61</v>
      </c>
      <c r="J2695" t="s">
        <v>26</v>
      </c>
      <c r="K2695" t="s">
        <v>62</v>
      </c>
      <c r="L2695" t="s">
        <v>22</v>
      </c>
      <c r="M2695">
        <v>5000.34</v>
      </c>
      <c r="N2695">
        <v>2020</v>
      </c>
      <c r="O2695">
        <v>6</v>
      </c>
    </row>
    <row r="2696" spans="1:15" x14ac:dyDescent="0.3">
      <c r="A2696" s="1">
        <v>43998</v>
      </c>
      <c r="B2696">
        <v>1000012675</v>
      </c>
      <c r="C2696" t="s">
        <v>23</v>
      </c>
      <c r="D2696">
        <v>2</v>
      </c>
      <c r="E2696">
        <v>20000.099999999999</v>
      </c>
      <c r="F2696" t="s">
        <v>16</v>
      </c>
      <c r="G2696" t="s">
        <v>24</v>
      </c>
      <c r="H2696" t="s">
        <v>18</v>
      </c>
      <c r="I2696" t="s">
        <v>34</v>
      </c>
      <c r="J2696" t="s">
        <v>26</v>
      </c>
      <c r="K2696" t="s">
        <v>35</v>
      </c>
      <c r="L2696" t="s">
        <v>22</v>
      </c>
      <c r="M2696">
        <v>10000.049999999999</v>
      </c>
      <c r="N2696">
        <v>2020</v>
      </c>
      <c r="O2696">
        <v>6</v>
      </c>
    </row>
    <row r="2697" spans="1:15" x14ac:dyDescent="0.3">
      <c r="A2697" s="1">
        <v>43998</v>
      </c>
      <c r="B2697">
        <v>1000012675</v>
      </c>
      <c r="C2697" t="s">
        <v>42</v>
      </c>
      <c r="D2697">
        <v>1</v>
      </c>
      <c r="E2697">
        <v>25000</v>
      </c>
      <c r="F2697" t="s">
        <v>16</v>
      </c>
      <c r="G2697" t="s">
        <v>43</v>
      </c>
      <c r="H2697" t="s">
        <v>18</v>
      </c>
      <c r="I2697" t="s">
        <v>34</v>
      </c>
      <c r="J2697" t="s">
        <v>26</v>
      </c>
      <c r="K2697" t="s">
        <v>35</v>
      </c>
      <c r="L2697" t="s">
        <v>22</v>
      </c>
      <c r="M2697">
        <v>25000</v>
      </c>
      <c r="N2697">
        <v>2020</v>
      </c>
      <c r="O2697">
        <v>6</v>
      </c>
    </row>
    <row r="2698" spans="1:15" x14ac:dyDescent="0.3">
      <c r="A2698" s="1">
        <v>43998</v>
      </c>
      <c r="B2698">
        <v>1000013607</v>
      </c>
      <c r="C2698" t="s">
        <v>15</v>
      </c>
      <c r="D2698">
        <v>1</v>
      </c>
      <c r="E2698">
        <v>7000.05</v>
      </c>
      <c r="F2698" t="s">
        <v>16</v>
      </c>
      <c r="G2698" t="s">
        <v>17</v>
      </c>
      <c r="H2698" t="s">
        <v>18</v>
      </c>
      <c r="I2698" t="s">
        <v>25</v>
      </c>
      <c r="J2698" t="s">
        <v>26</v>
      </c>
      <c r="K2698" t="s">
        <v>27</v>
      </c>
      <c r="L2698" t="s">
        <v>22</v>
      </c>
      <c r="M2698">
        <v>7000.05</v>
      </c>
      <c r="N2698">
        <v>2020</v>
      </c>
      <c r="O2698">
        <v>6</v>
      </c>
    </row>
    <row r="2699" spans="1:15" x14ac:dyDescent="0.3">
      <c r="A2699" s="1">
        <v>43998</v>
      </c>
      <c r="B2699">
        <v>1000014291</v>
      </c>
      <c r="C2699" t="s">
        <v>23</v>
      </c>
      <c r="D2699">
        <v>1</v>
      </c>
      <c r="E2699">
        <v>1400.42</v>
      </c>
      <c r="F2699" t="s">
        <v>16</v>
      </c>
      <c r="G2699" t="s">
        <v>24</v>
      </c>
      <c r="H2699" t="s">
        <v>47</v>
      </c>
      <c r="I2699" t="s">
        <v>48</v>
      </c>
      <c r="J2699" t="s">
        <v>20</v>
      </c>
      <c r="K2699" t="s">
        <v>67</v>
      </c>
      <c r="L2699" t="s">
        <v>28</v>
      </c>
      <c r="M2699">
        <v>1400.42</v>
      </c>
      <c r="N2699">
        <v>2020</v>
      </c>
      <c r="O2699">
        <v>6</v>
      </c>
    </row>
    <row r="2700" spans="1:15" x14ac:dyDescent="0.3">
      <c r="A2700" s="1">
        <v>43998</v>
      </c>
      <c r="B2700">
        <v>1000014291</v>
      </c>
      <c r="C2700" t="s">
        <v>15</v>
      </c>
      <c r="D2700">
        <v>1</v>
      </c>
      <c r="E2700">
        <v>7500.01</v>
      </c>
      <c r="F2700" t="s">
        <v>16</v>
      </c>
      <c r="G2700" t="s">
        <v>17</v>
      </c>
      <c r="H2700" t="s">
        <v>47</v>
      </c>
      <c r="I2700" t="s">
        <v>48</v>
      </c>
      <c r="J2700" t="s">
        <v>20</v>
      </c>
      <c r="K2700" t="s">
        <v>67</v>
      </c>
      <c r="L2700" t="s">
        <v>28</v>
      </c>
      <c r="M2700">
        <v>7500.01</v>
      </c>
      <c r="N2700">
        <v>2020</v>
      </c>
      <c r="O2700">
        <v>6</v>
      </c>
    </row>
    <row r="2701" spans="1:15" x14ac:dyDescent="0.3">
      <c r="A2701" s="1">
        <v>43998</v>
      </c>
      <c r="B2701">
        <v>1000014291</v>
      </c>
      <c r="C2701" t="s">
        <v>42</v>
      </c>
      <c r="D2701">
        <v>2</v>
      </c>
      <c r="E2701">
        <v>43001.17</v>
      </c>
      <c r="F2701" t="s">
        <v>16</v>
      </c>
      <c r="G2701" t="s">
        <v>43</v>
      </c>
      <c r="H2701" t="s">
        <v>47</v>
      </c>
      <c r="I2701" t="s">
        <v>48</v>
      </c>
      <c r="J2701" t="s">
        <v>20</v>
      </c>
      <c r="K2701" t="s">
        <v>67</v>
      </c>
      <c r="L2701" t="s">
        <v>28</v>
      </c>
      <c r="M2701">
        <v>21500.584999999999</v>
      </c>
      <c r="N2701">
        <v>2020</v>
      </c>
      <c r="O2701">
        <v>6</v>
      </c>
    </row>
    <row r="2702" spans="1:15" x14ac:dyDescent="0.3">
      <c r="A2702" s="1">
        <v>43998</v>
      </c>
      <c r="B2702">
        <v>1000014530</v>
      </c>
      <c r="C2702" t="s">
        <v>15</v>
      </c>
      <c r="D2702">
        <v>1</v>
      </c>
      <c r="E2702">
        <v>18000.240000000002</v>
      </c>
      <c r="F2702" t="s">
        <v>16</v>
      </c>
      <c r="G2702" t="s">
        <v>17</v>
      </c>
      <c r="H2702" t="s">
        <v>47</v>
      </c>
      <c r="I2702" t="s">
        <v>65</v>
      </c>
      <c r="J2702" t="s">
        <v>26</v>
      </c>
      <c r="K2702" t="s">
        <v>66</v>
      </c>
      <c r="L2702" t="s">
        <v>22</v>
      </c>
      <c r="M2702">
        <v>18000.240000000002</v>
      </c>
      <c r="N2702">
        <v>2020</v>
      </c>
      <c r="O2702">
        <v>6</v>
      </c>
    </row>
    <row r="2703" spans="1:15" x14ac:dyDescent="0.3">
      <c r="A2703" s="1">
        <v>43998</v>
      </c>
      <c r="B2703">
        <v>1000014572</v>
      </c>
      <c r="C2703" t="s">
        <v>23</v>
      </c>
      <c r="D2703">
        <v>4</v>
      </c>
      <c r="E2703">
        <v>36501.57</v>
      </c>
      <c r="F2703" t="s">
        <v>16</v>
      </c>
      <c r="G2703" t="s">
        <v>24</v>
      </c>
      <c r="H2703" t="s">
        <v>18</v>
      </c>
      <c r="I2703" t="s">
        <v>34</v>
      </c>
      <c r="J2703" t="s">
        <v>26</v>
      </c>
      <c r="K2703" t="s">
        <v>35</v>
      </c>
      <c r="L2703" t="s">
        <v>22</v>
      </c>
      <c r="M2703">
        <v>9125.3924999999999</v>
      </c>
      <c r="N2703">
        <v>2020</v>
      </c>
      <c r="O2703">
        <v>6</v>
      </c>
    </row>
    <row r="2704" spans="1:15" x14ac:dyDescent="0.3">
      <c r="A2704" s="1">
        <v>43998</v>
      </c>
      <c r="B2704">
        <v>1000014572</v>
      </c>
      <c r="C2704" t="s">
        <v>42</v>
      </c>
      <c r="D2704">
        <v>1</v>
      </c>
      <c r="E2704">
        <v>13000.26</v>
      </c>
      <c r="F2704" t="s">
        <v>16</v>
      </c>
      <c r="G2704" t="s">
        <v>43</v>
      </c>
      <c r="H2704" t="s">
        <v>18</v>
      </c>
      <c r="I2704" t="s">
        <v>34</v>
      </c>
      <c r="J2704" t="s">
        <v>26</v>
      </c>
      <c r="K2704" t="s">
        <v>35</v>
      </c>
      <c r="L2704" t="s">
        <v>22</v>
      </c>
      <c r="M2704">
        <v>13000.26</v>
      </c>
      <c r="N2704">
        <v>2020</v>
      </c>
      <c r="O2704">
        <v>6</v>
      </c>
    </row>
    <row r="2705" spans="1:15" x14ac:dyDescent="0.3">
      <c r="A2705" s="1">
        <v>43998</v>
      </c>
      <c r="B2705">
        <v>1000014996</v>
      </c>
      <c r="C2705" t="s">
        <v>23</v>
      </c>
      <c r="D2705">
        <v>1</v>
      </c>
      <c r="E2705">
        <v>10000.17</v>
      </c>
      <c r="F2705" t="s">
        <v>16</v>
      </c>
      <c r="G2705" t="s">
        <v>24</v>
      </c>
      <c r="H2705" t="s">
        <v>30</v>
      </c>
      <c r="I2705" t="s">
        <v>57</v>
      </c>
      <c r="J2705" t="s">
        <v>26</v>
      </c>
      <c r="K2705" t="s">
        <v>58</v>
      </c>
      <c r="L2705" t="s">
        <v>22</v>
      </c>
      <c r="M2705">
        <v>10000.17</v>
      </c>
      <c r="N2705">
        <v>2020</v>
      </c>
      <c r="O2705">
        <v>6</v>
      </c>
    </row>
    <row r="2706" spans="1:15" x14ac:dyDescent="0.3">
      <c r="A2706" s="1">
        <v>43998</v>
      </c>
      <c r="B2706">
        <v>1000014996</v>
      </c>
      <c r="C2706" t="s">
        <v>15</v>
      </c>
      <c r="D2706">
        <v>1</v>
      </c>
      <c r="E2706">
        <v>18000.47</v>
      </c>
      <c r="F2706" t="s">
        <v>16</v>
      </c>
      <c r="G2706" t="s">
        <v>17</v>
      </c>
      <c r="H2706" t="s">
        <v>30</v>
      </c>
      <c r="I2706" t="s">
        <v>57</v>
      </c>
      <c r="J2706" t="s">
        <v>26</v>
      </c>
      <c r="K2706" t="s">
        <v>58</v>
      </c>
      <c r="L2706" t="s">
        <v>22</v>
      </c>
      <c r="M2706">
        <v>18000.47</v>
      </c>
      <c r="N2706">
        <v>2020</v>
      </c>
      <c r="O2706">
        <v>6</v>
      </c>
    </row>
    <row r="2707" spans="1:15" x14ac:dyDescent="0.3">
      <c r="A2707" s="1">
        <v>43998</v>
      </c>
      <c r="B2707">
        <v>1000015015</v>
      </c>
      <c r="C2707" t="s">
        <v>23</v>
      </c>
      <c r="D2707">
        <v>2</v>
      </c>
      <c r="E2707">
        <v>27000.75</v>
      </c>
      <c r="F2707" t="s">
        <v>16</v>
      </c>
      <c r="G2707" t="s">
        <v>24</v>
      </c>
      <c r="H2707" t="s">
        <v>18</v>
      </c>
      <c r="I2707" t="s">
        <v>61</v>
      </c>
      <c r="J2707" t="s">
        <v>26</v>
      </c>
      <c r="K2707" t="s">
        <v>62</v>
      </c>
      <c r="L2707" t="s">
        <v>22</v>
      </c>
      <c r="M2707">
        <v>13500.375</v>
      </c>
      <c r="N2707">
        <v>2020</v>
      </c>
      <c r="O2707">
        <v>6</v>
      </c>
    </row>
    <row r="2708" spans="1:15" x14ac:dyDescent="0.3">
      <c r="A2708" s="1">
        <v>43998</v>
      </c>
      <c r="B2708">
        <v>1000015133</v>
      </c>
      <c r="C2708" t="s">
        <v>23</v>
      </c>
      <c r="D2708">
        <v>1</v>
      </c>
      <c r="E2708">
        <v>5000.6000000000004</v>
      </c>
      <c r="F2708" t="s">
        <v>16</v>
      </c>
      <c r="G2708" t="s">
        <v>24</v>
      </c>
      <c r="H2708" t="s">
        <v>30</v>
      </c>
      <c r="I2708" t="s">
        <v>31</v>
      </c>
      <c r="J2708" t="s">
        <v>36</v>
      </c>
      <c r="K2708" t="s">
        <v>52</v>
      </c>
      <c r="L2708" t="s">
        <v>22</v>
      </c>
      <c r="M2708">
        <v>5000.6000000000004</v>
      </c>
      <c r="N2708">
        <v>2020</v>
      </c>
      <c r="O2708">
        <v>6</v>
      </c>
    </row>
    <row r="2709" spans="1:15" x14ac:dyDescent="0.3">
      <c r="A2709" s="1">
        <v>43998</v>
      </c>
      <c r="B2709">
        <v>1000015203</v>
      </c>
      <c r="C2709" t="s">
        <v>42</v>
      </c>
      <c r="D2709">
        <v>1</v>
      </c>
      <c r="E2709">
        <v>22000.61</v>
      </c>
      <c r="F2709" t="s">
        <v>16</v>
      </c>
      <c r="G2709" t="s">
        <v>43</v>
      </c>
      <c r="H2709" t="s">
        <v>47</v>
      </c>
      <c r="I2709" t="s">
        <v>65</v>
      </c>
      <c r="J2709" t="s">
        <v>26</v>
      </c>
      <c r="K2709" t="s">
        <v>66</v>
      </c>
      <c r="L2709" t="s">
        <v>22</v>
      </c>
      <c r="M2709">
        <v>22000.61</v>
      </c>
      <c r="N2709">
        <v>2020</v>
      </c>
      <c r="O2709">
        <v>6</v>
      </c>
    </row>
    <row r="2710" spans="1:15" x14ac:dyDescent="0.3">
      <c r="A2710" s="1">
        <v>43998</v>
      </c>
      <c r="B2710">
        <v>1000015253</v>
      </c>
      <c r="C2710" t="s">
        <v>23</v>
      </c>
      <c r="D2710">
        <v>1</v>
      </c>
      <c r="E2710">
        <v>12000.66</v>
      </c>
      <c r="F2710" t="s">
        <v>16</v>
      </c>
      <c r="G2710" t="s">
        <v>24</v>
      </c>
      <c r="H2710" t="s">
        <v>30</v>
      </c>
      <c r="I2710" t="s">
        <v>31</v>
      </c>
      <c r="J2710" t="s">
        <v>26</v>
      </c>
      <c r="K2710" t="s">
        <v>69</v>
      </c>
      <c r="L2710" t="s">
        <v>22</v>
      </c>
      <c r="M2710">
        <v>12000.66</v>
      </c>
      <c r="N2710">
        <v>2020</v>
      </c>
      <c r="O2710">
        <v>6</v>
      </c>
    </row>
    <row r="2711" spans="1:15" x14ac:dyDescent="0.3">
      <c r="A2711" s="1">
        <v>43998</v>
      </c>
      <c r="B2711">
        <v>1000015253</v>
      </c>
      <c r="C2711" t="s">
        <v>15</v>
      </c>
      <c r="D2711">
        <v>1</v>
      </c>
      <c r="E2711">
        <v>5000.01</v>
      </c>
      <c r="F2711" t="s">
        <v>16</v>
      </c>
      <c r="G2711" t="s">
        <v>17</v>
      </c>
      <c r="H2711" t="s">
        <v>30</v>
      </c>
      <c r="I2711" t="s">
        <v>31</v>
      </c>
      <c r="J2711" t="s">
        <v>26</v>
      </c>
      <c r="K2711" t="s">
        <v>69</v>
      </c>
      <c r="L2711" t="s">
        <v>22</v>
      </c>
      <c r="M2711">
        <v>5000.01</v>
      </c>
      <c r="N2711">
        <v>2020</v>
      </c>
      <c r="O2711">
        <v>6</v>
      </c>
    </row>
    <row r="2712" spans="1:15" x14ac:dyDescent="0.3">
      <c r="A2712" s="1">
        <v>43999</v>
      </c>
      <c r="B2712">
        <v>1000000028</v>
      </c>
      <c r="C2712" t="s">
        <v>23</v>
      </c>
      <c r="D2712">
        <v>1</v>
      </c>
      <c r="E2712">
        <v>1614.75</v>
      </c>
      <c r="F2712" t="s">
        <v>16</v>
      </c>
      <c r="G2712" t="s">
        <v>24</v>
      </c>
      <c r="H2712" t="s">
        <v>18</v>
      </c>
      <c r="I2712" t="s">
        <v>19</v>
      </c>
      <c r="J2712" t="s">
        <v>20</v>
      </c>
      <c r="K2712" t="s">
        <v>21</v>
      </c>
      <c r="L2712" t="s">
        <v>22</v>
      </c>
      <c r="M2712">
        <v>1614.75</v>
      </c>
      <c r="N2712">
        <v>2020</v>
      </c>
      <c r="O2712">
        <v>6</v>
      </c>
    </row>
    <row r="2713" spans="1:15" x14ac:dyDescent="0.3">
      <c r="A2713" s="1">
        <v>43999</v>
      </c>
      <c r="B2713">
        <v>1000000029</v>
      </c>
      <c r="C2713" t="s">
        <v>42</v>
      </c>
      <c r="D2713">
        <v>1</v>
      </c>
      <c r="E2713">
        <v>12000.73</v>
      </c>
      <c r="F2713" t="s">
        <v>16</v>
      </c>
      <c r="G2713" t="s">
        <v>43</v>
      </c>
      <c r="H2713" t="s">
        <v>18</v>
      </c>
      <c r="I2713" t="s">
        <v>19</v>
      </c>
      <c r="J2713" t="s">
        <v>20</v>
      </c>
      <c r="K2713" t="s">
        <v>21</v>
      </c>
      <c r="L2713" t="s">
        <v>22</v>
      </c>
      <c r="M2713">
        <v>12000.73</v>
      </c>
      <c r="N2713">
        <v>2020</v>
      </c>
      <c r="O2713">
        <v>6</v>
      </c>
    </row>
    <row r="2714" spans="1:15" x14ac:dyDescent="0.3">
      <c r="A2714" s="1">
        <v>43999</v>
      </c>
      <c r="B2714">
        <v>1000000030</v>
      </c>
      <c r="C2714" t="s">
        <v>23</v>
      </c>
      <c r="D2714">
        <v>1</v>
      </c>
      <c r="E2714">
        <v>5500.7</v>
      </c>
      <c r="F2714" t="s">
        <v>16</v>
      </c>
      <c r="G2714" t="s">
        <v>24</v>
      </c>
      <c r="H2714" t="s">
        <v>47</v>
      </c>
      <c r="I2714" t="s">
        <v>48</v>
      </c>
      <c r="J2714" t="s">
        <v>36</v>
      </c>
      <c r="K2714" t="s">
        <v>49</v>
      </c>
      <c r="L2714" t="s">
        <v>22</v>
      </c>
      <c r="M2714">
        <v>5500.7</v>
      </c>
      <c r="N2714">
        <v>2020</v>
      </c>
      <c r="O2714">
        <v>6</v>
      </c>
    </row>
    <row r="2715" spans="1:15" x14ac:dyDescent="0.3">
      <c r="A2715" s="1">
        <v>43999</v>
      </c>
      <c r="B2715">
        <v>1000000030</v>
      </c>
      <c r="C2715" t="s">
        <v>42</v>
      </c>
      <c r="D2715">
        <v>1</v>
      </c>
      <c r="E2715">
        <v>14000.3</v>
      </c>
      <c r="F2715" t="s">
        <v>16</v>
      </c>
      <c r="G2715" t="s">
        <v>43</v>
      </c>
      <c r="H2715" t="s">
        <v>47</v>
      </c>
      <c r="I2715" t="s">
        <v>48</v>
      </c>
      <c r="J2715" t="s">
        <v>36</v>
      </c>
      <c r="K2715" t="s">
        <v>49</v>
      </c>
      <c r="L2715" t="s">
        <v>22</v>
      </c>
      <c r="M2715">
        <v>14000.3</v>
      </c>
      <c r="N2715">
        <v>2020</v>
      </c>
      <c r="O2715">
        <v>6</v>
      </c>
    </row>
    <row r="2716" spans="1:15" x14ac:dyDescent="0.3">
      <c r="A2716" s="1">
        <v>43999</v>
      </c>
      <c r="B2716">
        <v>1000000031</v>
      </c>
      <c r="C2716" t="s">
        <v>23</v>
      </c>
      <c r="D2716">
        <v>1</v>
      </c>
      <c r="E2716">
        <v>1000.28</v>
      </c>
      <c r="F2716" t="s">
        <v>16</v>
      </c>
      <c r="G2716" t="s">
        <v>24</v>
      </c>
      <c r="H2716" t="s">
        <v>18</v>
      </c>
      <c r="I2716" t="s">
        <v>19</v>
      </c>
      <c r="J2716" t="s">
        <v>26</v>
      </c>
      <c r="K2716" t="s">
        <v>29</v>
      </c>
      <c r="L2716" t="s">
        <v>28</v>
      </c>
      <c r="M2716">
        <v>1000.28</v>
      </c>
      <c r="N2716">
        <v>2020</v>
      </c>
      <c r="O2716">
        <v>6</v>
      </c>
    </row>
    <row r="2717" spans="1:15" x14ac:dyDescent="0.3">
      <c r="A2717" s="1">
        <v>43999</v>
      </c>
      <c r="B2717">
        <v>1000000032</v>
      </c>
      <c r="C2717" t="s">
        <v>23</v>
      </c>
      <c r="D2717">
        <v>1</v>
      </c>
      <c r="E2717">
        <v>5000.1099999999997</v>
      </c>
      <c r="F2717" t="s">
        <v>16</v>
      </c>
      <c r="G2717" t="s">
        <v>24</v>
      </c>
      <c r="H2717" t="s">
        <v>18</v>
      </c>
      <c r="I2717" t="s">
        <v>25</v>
      </c>
      <c r="J2717" t="s">
        <v>26</v>
      </c>
      <c r="K2717" t="s">
        <v>27</v>
      </c>
      <c r="L2717" t="s">
        <v>28</v>
      </c>
      <c r="M2717">
        <v>5000.1099999999997</v>
      </c>
      <c r="N2717">
        <v>2020</v>
      </c>
      <c r="O2717">
        <v>6</v>
      </c>
    </row>
    <row r="2718" spans="1:15" x14ac:dyDescent="0.3">
      <c r="A2718" s="1">
        <v>43999</v>
      </c>
      <c r="B2718">
        <v>1000000033</v>
      </c>
      <c r="C2718" t="s">
        <v>23</v>
      </c>
      <c r="D2718">
        <v>2</v>
      </c>
      <c r="E2718">
        <v>3786.9</v>
      </c>
      <c r="F2718" t="s">
        <v>16</v>
      </c>
      <c r="G2718" t="s">
        <v>24</v>
      </c>
      <c r="H2718" t="s">
        <v>18</v>
      </c>
      <c r="I2718" t="s">
        <v>25</v>
      </c>
      <c r="J2718" t="s">
        <v>26</v>
      </c>
      <c r="K2718" t="s">
        <v>27</v>
      </c>
      <c r="L2718" t="s">
        <v>22</v>
      </c>
      <c r="M2718">
        <v>1893.45</v>
      </c>
      <c r="N2718">
        <v>2020</v>
      </c>
      <c r="O2718">
        <v>6</v>
      </c>
    </row>
    <row r="2719" spans="1:15" x14ac:dyDescent="0.3">
      <c r="A2719" s="1">
        <v>43999</v>
      </c>
      <c r="B2719">
        <v>1000000034</v>
      </c>
      <c r="C2719" t="s">
        <v>23</v>
      </c>
      <c r="D2719">
        <v>1</v>
      </c>
      <c r="E2719">
        <v>599.98</v>
      </c>
      <c r="F2719" t="s">
        <v>16</v>
      </c>
      <c r="G2719" t="s">
        <v>24</v>
      </c>
      <c r="H2719" t="s">
        <v>18</v>
      </c>
      <c r="I2719" t="s">
        <v>25</v>
      </c>
      <c r="J2719" t="s">
        <v>26</v>
      </c>
      <c r="K2719" t="s">
        <v>27</v>
      </c>
      <c r="L2719" t="s">
        <v>22</v>
      </c>
      <c r="M2719">
        <v>599.98</v>
      </c>
      <c r="N2719">
        <v>2020</v>
      </c>
      <c r="O2719">
        <v>6</v>
      </c>
    </row>
    <row r="2720" spans="1:15" x14ac:dyDescent="0.3">
      <c r="A2720" s="1">
        <v>43999</v>
      </c>
      <c r="B2720">
        <v>1000000034</v>
      </c>
      <c r="C2720" t="s">
        <v>15</v>
      </c>
      <c r="D2720">
        <v>1</v>
      </c>
      <c r="E2720">
        <v>14000.23</v>
      </c>
      <c r="F2720" t="s">
        <v>16</v>
      </c>
      <c r="G2720" t="s">
        <v>17</v>
      </c>
      <c r="H2720" t="s">
        <v>18</v>
      </c>
      <c r="I2720" t="s">
        <v>25</v>
      </c>
      <c r="J2720" t="s">
        <v>26</v>
      </c>
      <c r="K2720" t="s">
        <v>27</v>
      </c>
      <c r="L2720" t="s">
        <v>22</v>
      </c>
      <c r="M2720">
        <v>14000.23</v>
      </c>
      <c r="N2720">
        <v>2020</v>
      </c>
      <c r="O2720">
        <v>6</v>
      </c>
    </row>
    <row r="2721" spans="1:15" x14ac:dyDescent="0.3">
      <c r="A2721" s="1">
        <v>43999</v>
      </c>
      <c r="B2721">
        <v>1000000036</v>
      </c>
      <c r="C2721" t="s">
        <v>23</v>
      </c>
      <c r="D2721">
        <v>2</v>
      </c>
      <c r="E2721">
        <v>8700.58</v>
      </c>
      <c r="F2721" t="s">
        <v>16</v>
      </c>
      <c r="G2721" t="s">
        <v>24</v>
      </c>
      <c r="H2721" t="s">
        <v>47</v>
      </c>
      <c r="I2721" t="s">
        <v>48</v>
      </c>
      <c r="J2721" t="s">
        <v>36</v>
      </c>
      <c r="K2721" t="s">
        <v>49</v>
      </c>
      <c r="L2721" t="s">
        <v>28</v>
      </c>
      <c r="M2721">
        <v>4350.29</v>
      </c>
      <c r="N2721">
        <v>2020</v>
      </c>
      <c r="O2721">
        <v>6</v>
      </c>
    </row>
    <row r="2722" spans="1:15" x14ac:dyDescent="0.3">
      <c r="A2722" s="1">
        <v>43999</v>
      </c>
      <c r="B2722">
        <v>1000000037</v>
      </c>
      <c r="C2722" t="s">
        <v>23</v>
      </c>
      <c r="D2722">
        <v>1</v>
      </c>
      <c r="E2722">
        <v>5000.3999999999996</v>
      </c>
      <c r="F2722" t="s">
        <v>16</v>
      </c>
      <c r="G2722" t="s">
        <v>24</v>
      </c>
      <c r="H2722" t="s">
        <v>18</v>
      </c>
      <c r="I2722" t="s">
        <v>19</v>
      </c>
      <c r="J2722" t="s">
        <v>20</v>
      </c>
      <c r="K2722" t="s">
        <v>21</v>
      </c>
      <c r="L2722" t="s">
        <v>22</v>
      </c>
      <c r="M2722">
        <v>5000.3999999999996</v>
      </c>
      <c r="N2722">
        <v>2020</v>
      </c>
      <c r="O2722">
        <v>6</v>
      </c>
    </row>
    <row r="2723" spans="1:15" x14ac:dyDescent="0.3">
      <c r="A2723" s="1">
        <v>43999</v>
      </c>
      <c r="B2723">
        <v>1000000037</v>
      </c>
      <c r="C2723" t="s">
        <v>15</v>
      </c>
      <c r="D2723">
        <v>1</v>
      </c>
      <c r="E2723">
        <v>12000.53</v>
      </c>
      <c r="F2723" t="s">
        <v>16</v>
      </c>
      <c r="G2723" t="s">
        <v>17</v>
      </c>
      <c r="H2723" t="s">
        <v>18</v>
      </c>
      <c r="I2723" t="s">
        <v>19</v>
      </c>
      <c r="J2723" t="s">
        <v>20</v>
      </c>
      <c r="K2723" t="s">
        <v>21</v>
      </c>
      <c r="L2723" t="s">
        <v>22</v>
      </c>
      <c r="M2723">
        <v>12000.53</v>
      </c>
      <c r="N2723">
        <v>2020</v>
      </c>
      <c r="O2723">
        <v>6</v>
      </c>
    </row>
    <row r="2724" spans="1:15" x14ac:dyDescent="0.3">
      <c r="A2724" s="1">
        <v>43999</v>
      </c>
      <c r="B2724">
        <v>1000000039</v>
      </c>
      <c r="C2724" t="s">
        <v>23</v>
      </c>
      <c r="D2724">
        <v>2</v>
      </c>
      <c r="E2724">
        <v>9000.84</v>
      </c>
      <c r="F2724" t="s">
        <v>16</v>
      </c>
      <c r="G2724" t="s">
        <v>24</v>
      </c>
      <c r="H2724" t="s">
        <v>18</v>
      </c>
      <c r="I2724" t="s">
        <v>25</v>
      </c>
      <c r="J2724" t="s">
        <v>20</v>
      </c>
      <c r="K2724" t="s">
        <v>51</v>
      </c>
      <c r="L2724" t="s">
        <v>28</v>
      </c>
      <c r="M2724">
        <v>4500.42</v>
      </c>
      <c r="N2724">
        <v>2020</v>
      </c>
      <c r="O2724">
        <v>6</v>
      </c>
    </row>
    <row r="2725" spans="1:15" x14ac:dyDescent="0.3">
      <c r="A2725" s="1">
        <v>43999</v>
      </c>
      <c r="B2725">
        <v>1000000039</v>
      </c>
      <c r="C2725" t="s">
        <v>15</v>
      </c>
      <c r="D2725">
        <v>1</v>
      </c>
      <c r="E2725">
        <v>6500.54</v>
      </c>
      <c r="F2725" t="s">
        <v>16</v>
      </c>
      <c r="G2725" t="s">
        <v>17</v>
      </c>
      <c r="H2725" t="s">
        <v>18</v>
      </c>
      <c r="I2725" t="s">
        <v>25</v>
      </c>
      <c r="J2725" t="s">
        <v>20</v>
      </c>
      <c r="K2725" t="s">
        <v>51</v>
      </c>
      <c r="L2725" t="s">
        <v>28</v>
      </c>
      <c r="M2725">
        <v>6500.54</v>
      </c>
      <c r="N2725">
        <v>2020</v>
      </c>
      <c r="O2725">
        <v>6</v>
      </c>
    </row>
    <row r="2726" spans="1:15" x14ac:dyDescent="0.3">
      <c r="A2726" s="1">
        <v>43999</v>
      </c>
      <c r="B2726">
        <v>1000000040</v>
      </c>
      <c r="C2726" t="s">
        <v>15</v>
      </c>
      <c r="D2726">
        <v>1</v>
      </c>
      <c r="E2726">
        <v>6499.98</v>
      </c>
      <c r="F2726" t="s">
        <v>16</v>
      </c>
      <c r="G2726" t="s">
        <v>17</v>
      </c>
      <c r="H2726" t="s">
        <v>30</v>
      </c>
      <c r="I2726" t="s">
        <v>31</v>
      </c>
      <c r="J2726" t="s">
        <v>32</v>
      </c>
      <c r="K2726" t="s">
        <v>33</v>
      </c>
      <c r="L2726" t="s">
        <v>28</v>
      </c>
      <c r="M2726">
        <v>6499.98</v>
      </c>
      <c r="N2726">
        <v>2020</v>
      </c>
      <c r="O2726">
        <v>6</v>
      </c>
    </row>
    <row r="2727" spans="1:15" x14ac:dyDescent="0.3">
      <c r="A2727" s="1">
        <v>43999</v>
      </c>
      <c r="B2727">
        <v>1000000041</v>
      </c>
      <c r="C2727" t="s">
        <v>23</v>
      </c>
      <c r="D2727">
        <v>2</v>
      </c>
      <c r="E2727">
        <v>27000.16</v>
      </c>
      <c r="F2727" t="s">
        <v>16</v>
      </c>
      <c r="G2727" t="s">
        <v>24</v>
      </c>
      <c r="H2727" t="s">
        <v>30</v>
      </c>
      <c r="I2727" t="s">
        <v>31</v>
      </c>
      <c r="J2727" t="s">
        <v>32</v>
      </c>
      <c r="K2727" t="s">
        <v>33</v>
      </c>
      <c r="L2727" t="s">
        <v>22</v>
      </c>
      <c r="M2727">
        <v>13500.08</v>
      </c>
      <c r="N2727">
        <v>2020</v>
      </c>
      <c r="O2727">
        <v>6</v>
      </c>
    </row>
    <row r="2728" spans="1:15" x14ac:dyDescent="0.3">
      <c r="A2728" s="1">
        <v>43999</v>
      </c>
      <c r="B2728">
        <v>1000000041</v>
      </c>
      <c r="C2728" t="s">
        <v>15</v>
      </c>
      <c r="D2728">
        <v>2</v>
      </c>
      <c r="E2728">
        <v>34001.06</v>
      </c>
      <c r="F2728" t="s">
        <v>16</v>
      </c>
      <c r="G2728" t="s">
        <v>17</v>
      </c>
      <c r="H2728" t="s">
        <v>30</v>
      </c>
      <c r="I2728" t="s">
        <v>31</v>
      </c>
      <c r="J2728" t="s">
        <v>32</v>
      </c>
      <c r="K2728" t="s">
        <v>33</v>
      </c>
      <c r="L2728" t="s">
        <v>22</v>
      </c>
      <c r="M2728">
        <v>17000.53</v>
      </c>
      <c r="N2728">
        <v>2020</v>
      </c>
      <c r="O2728">
        <v>6</v>
      </c>
    </row>
    <row r="2729" spans="1:15" x14ac:dyDescent="0.3">
      <c r="A2729" s="1">
        <v>43999</v>
      </c>
      <c r="B2729">
        <v>1000000043</v>
      </c>
      <c r="C2729" t="s">
        <v>23</v>
      </c>
      <c r="D2729">
        <v>1</v>
      </c>
      <c r="E2729">
        <v>10000.379999999999</v>
      </c>
      <c r="F2729" t="s">
        <v>16</v>
      </c>
      <c r="G2729" t="s">
        <v>24</v>
      </c>
      <c r="H2729" t="s">
        <v>30</v>
      </c>
      <c r="I2729" t="s">
        <v>38</v>
      </c>
      <c r="J2729" t="s">
        <v>26</v>
      </c>
      <c r="K2729" t="s">
        <v>39</v>
      </c>
      <c r="L2729" t="s">
        <v>22</v>
      </c>
      <c r="M2729">
        <v>10000.379999999999</v>
      </c>
      <c r="N2729">
        <v>2020</v>
      </c>
      <c r="O2729">
        <v>6</v>
      </c>
    </row>
    <row r="2730" spans="1:15" x14ac:dyDescent="0.3">
      <c r="A2730" s="1">
        <v>43999</v>
      </c>
      <c r="B2730">
        <v>1000000045</v>
      </c>
      <c r="C2730" t="s">
        <v>23</v>
      </c>
      <c r="D2730">
        <v>3</v>
      </c>
      <c r="E2730">
        <v>25001.48</v>
      </c>
      <c r="F2730" t="s">
        <v>16</v>
      </c>
      <c r="G2730" t="s">
        <v>24</v>
      </c>
      <c r="H2730" t="s">
        <v>47</v>
      </c>
      <c r="I2730" t="s">
        <v>59</v>
      </c>
      <c r="J2730" t="s">
        <v>26</v>
      </c>
      <c r="K2730" t="s">
        <v>60</v>
      </c>
      <c r="L2730" t="s">
        <v>22</v>
      </c>
      <c r="M2730">
        <v>8333.8266666666659</v>
      </c>
      <c r="N2730">
        <v>2020</v>
      </c>
      <c r="O2730">
        <v>6</v>
      </c>
    </row>
    <row r="2731" spans="1:15" x14ac:dyDescent="0.3">
      <c r="A2731" s="1">
        <v>43999</v>
      </c>
      <c r="B2731">
        <v>1000000046</v>
      </c>
      <c r="C2731" t="s">
        <v>15</v>
      </c>
      <c r="D2731">
        <v>1</v>
      </c>
      <c r="E2731">
        <v>5000.71</v>
      </c>
      <c r="F2731" t="s">
        <v>16</v>
      </c>
      <c r="G2731" t="s">
        <v>17</v>
      </c>
      <c r="H2731" t="s">
        <v>30</v>
      </c>
      <c r="I2731" t="s">
        <v>38</v>
      </c>
      <c r="J2731" t="s">
        <v>26</v>
      </c>
      <c r="K2731" t="s">
        <v>39</v>
      </c>
      <c r="L2731" t="s">
        <v>22</v>
      </c>
      <c r="M2731">
        <v>5000.71</v>
      </c>
      <c r="N2731">
        <v>2020</v>
      </c>
      <c r="O2731">
        <v>6</v>
      </c>
    </row>
    <row r="2732" spans="1:15" x14ac:dyDescent="0.3">
      <c r="A2732" s="1">
        <v>43999</v>
      </c>
      <c r="B2732">
        <v>1000000047</v>
      </c>
      <c r="C2732" t="s">
        <v>42</v>
      </c>
      <c r="D2732">
        <v>1</v>
      </c>
      <c r="E2732">
        <v>5645.23</v>
      </c>
      <c r="F2732" t="s">
        <v>16</v>
      </c>
      <c r="G2732" t="s">
        <v>43</v>
      </c>
      <c r="H2732" t="s">
        <v>47</v>
      </c>
      <c r="I2732" t="s">
        <v>48</v>
      </c>
      <c r="J2732" t="s">
        <v>26</v>
      </c>
      <c r="K2732" t="s">
        <v>50</v>
      </c>
      <c r="L2732" t="s">
        <v>22</v>
      </c>
      <c r="M2732">
        <v>5645.23</v>
      </c>
      <c r="N2732">
        <v>2020</v>
      </c>
      <c r="O2732">
        <v>6</v>
      </c>
    </row>
    <row r="2733" spans="1:15" x14ac:dyDescent="0.3">
      <c r="A2733" s="1">
        <v>43999</v>
      </c>
      <c r="B2733">
        <v>1000000054</v>
      </c>
      <c r="C2733" t="s">
        <v>23</v>
      </c>
      <c r="D2733">
        <v>1</v>
      </c>
      <c r="E2733">
        <v>2500.61</v>
      </c>
      <c r="F2733" t="s">
        <v>16</v>
      </c>
      <c r="G2733" t="s">
        <v>24</v>
      </c>
      <c r="H2733" t="s">
        <v>18</v>
      </c>
      <c r="I2733" t="s">
        <v>34</v>
      </c>
      <c r="J2733" t="s">
        <v>26</v>
      </c>
      <c r="K2733" t="s">
        <v>35</v>
      </c>
      <c r="L2733" t="s">
        <v>22</v>
      </c>
      <c r="M2733">
        <v>2500.61</v>
      </c>
      <c r="N2733">
        <v>2020</v>
      </c>
      <c r="O2733">
        <v>6</v>
      </c>
    </row>
    <row r="2734" spans="1:15" x14ac:dyDescent="0.3">
      <c r="A2734" s="1">
        <v>43999</v>
      </c>
      <c r="B2734">
        <v>1000000056</v>
      </c>
      <c r="C2734" t="s">
        <v>23</v>
      </c>
      <c r="D2734">
        <v>1</v>
      </c>
      <c r="E2734">
        <v>1580.12</v>
      </c>
      <c r="F2734" t="s">
        <v>16</v>
      </c>
      <c r="G2734" t="s">
        <v>24</v>
      </c>
      <c r="H2734" t="s">
        <v>18</v>
      </c>
      <c r="I2734" t="s">
        <v>34</v>
      </c>
      <c r="J2734" t="s">
        <v>26</v>
      </c>
      <c r="K2734" t="s">
        <v>35</v>
      </c>
      <c r="L2734" t="s">
        <v>28</v>
      </c>
      <c r="M2734">
        <v>1580.12</v>
      </c>
      <c r="N2734">
        <v>2020</v>
      </c>
      <c r="O2734">
        <v>6</v>
      </c>
    </row>
    <row r="2735" spans="1:15" x14ac:dyDescent="0.3">
      <c r="A2735" s="1">
        <v>43999</v>
      </c>
      <c r="B2735">
        <v>1000000056</v>
      </c>
      <c r="C2735" t="s">
        <v>42</v>
      </c>
      <c r="D2735">
        <v>1</v>
      </c>
      <c r="E2735">
        <v>20000.52</v>
      </c>
      <c r="F2735" t="s">
        <v>16</v>
      </c>
      <c r="G2735" t="s">
        <v>43</v>
      </c>
      <c r="H2735" t="s">
        <v>18</v>
      </c>
      <c r="I2735" t="s">
        <v>34</v>
      </c>
      <c r="J2735" t="s">
        <v>26</v>
      </c>
      <c r="K2735" t="s">
        <v>35</v>
      </c>
      <c r="L2735" t="s">
        <v>28</v>
      </c>
      <c r="M2735">
        <v>20000.52</v>
      </c>
      <c r="N2735">
        <v>2020</v>
      </c>
      <c r="O2735">
        <v>6</v>
      </c>
    </row>
    <row r="2736" spans="1:15" x14ac:dyDescent="0.3">
      <c r="A2736" s="1">
        <v>43999</v>
      </c>
      <c r="B2736">
        <v>1000000067</v>
      </c>
      <c r="C2736" t="s">
        <v>23</v>
      </c>
      <c r="D2736">
        <v>1</v>
      </c>
      <c r="E2736">
        <v>3500.18</v>
      </c>
      <c r="F2736" t="s">
        <v>16</v>
      </c>
      <c r="G2736" t="s">
        <v>24</v>
      </c>
      <c r="H2736" t="s">
        <v>18</v>
      </c>
      <c r="I2736" t="s">
        <v>25</v>
      </c>
      <c r="J2736" t="s">
        <v>20</v>
      </c>
      <c r="K2736" t="s">
        <v>51</v>
      </c>
      <c r="L2736" t="s">
        <v>22</v>
      </c>
      <c r="M2736">
        <v>3500.18</v>
      </c>
      <c r="N2736">
        <v>2020</v>
      </c>
      <c r="O2736">
        <v>6</v>
      </c>
    </row>
    <row r="2737" spans="1:15" x14ac:dyDescent="0.3">
      <c r="A2737" s="1">
        <v>43999</v>
      </c>
      <c r="B2737">
        <v>1000000067</v>
      </c>
      <c r="C2737" t="s">
        <v>15</v>
      </c>
      <c r="D2737">
        <v>2</v>
      </c>
      <c r="E2737">
        <v>43001.11</v>
      </c>
      <c r="F2737" t="s">
        <v>16</v>
      </c>
      <c r="G2737" t="s">
        <v>17</v>
      </c>
      <c r="H2737" t="s">
        <v>18</v>
      </c>
      <c r="I2737" t="s">
        <v>25</v>
      </c>
      <c r="J2737" t="s">
        <v>20</v>
      </c>
      <c r="K2737" t="s">
        <v>51</v>
      </c>
      <c r="L2737" t="s">
        <v>22</v>
      </c>
      <c r="M2737">
        <v>21500.555</v>
      </c>
      <c r="N2737">
        <v>2020</v>
      </c>
      <c r="O2737">
        <v>6</v>
      </c>
    </row>
    <row r="2738" spans="1:15" x14ac:dyDescent="0.3">
      <c r="A2738" s="1">
        <v>43999</v>
      </c>
      <c r="B2738">
        <v>1000000104</v>
      </c>
      <c r="C2738" t="s">
        <v>23</v>
      </c>
      <c r="D2738">
        <v>1</v>
      </c>
      <c r="E2738">
        <v>19000.580000000002</v>
      </c>
      <c r="F2738" t="s">
        <v>16</v>
      </c>
      <c r="G2738" t="s">
        <v>24</v>
      </c>
      <c r="H2738" t="s">
        <v>18</v>
      </c>
      <c r="I2738" t="s">
        <v>40</v>
      </c>
      <c r="J2738" t="s">
        <v>26</v>
      </c>
      <c r="K2738" t="s">
        <v>41</v>
      </c>
      <c r="L2738" t="s">
        <v>22</v>
      </c>
      <c r="M2738">
        <v>19000.580000000002</v>
      </c>
      <c r="N2738">
        <v>2020</v>
      </c>
      <c r="O2738">
        <v>6</v>
      </c>
    </row>
    <row r="2739" spans="1:15" x14ac:dyDescent="0.3">
      <c r="A2739" s="1">
        <v>43999</v>
      </c>
      <c r="B2739">
        <v>1000000266</v>
      </c>
      <c r="C2739" t="s">
        <v>15</v>
      </c>
      <c r="D2739">
        <v>1</v>
      </c>
      <c r="E2739">
        <v>15000.39</v>
      </c>
      <c r="F2739" t="s">
        <v>16</v>
      </c>
      <c r="G2739" t="s">
        <v>17</v>
      </c>
      <c r="H2739" t="s">
        <v>30</v>
      </c>
      <c r="I2739" t="s">
        <v>55</v>
      </c>
      <c r="J2739" t="s">
        <v>26</v>
      </c>
      <c r="K2739" t="s">
        <v>56</v>
      </c>
      <c r="L2739" t="s">
        <v>22</v>
      </c>
      <c r="M2739">
        <v>15000.39</v>
      </c>
      <c r="N2739">
        <v>2020</v>
      </c>
      <c r="O2739">
        <v>6</v>
      </c>
    </row>
    <row r="2740" spans="1:15" x14ac:dyDescent="0.3">
      <c r="A2740" s="1">
        <v>43999</v>
      </c>
      <c r="B2740">
        <v>1000000566</v>
      </c>
      <c r="C2740" t="s">
        <v>23</v>
      </c>
      <c r="D2740">
        <v>2</v>
      </c>
      <c r="E2740">
        <v>12001.46</v>
      </c>
      <c r="F2740" t="s">
        <v>16</v>
      </c>
      <c r="G2740" t="s">
        <v>24</v>
      </c>
      <c r="H2740" t="s">
        <v>47</v>
      </c>
      <c r="I2740" t="s">
        <v>48</v>
      </c>
      <c r="J2740" t="s">
        <v>36</v>
      </c>
      <c r="K2740" t="s">
        <v>49</v>
      </c>
      <c r="L2740" t="s">
        <v>22</v>
      </c>
      <c r="M2740">
        <v>6000.73</v>
      </c>
      <c r="N2740">
        <v>2020</v>
      </c>
      <c r="O2740">
        <v>6</v>
      </c>
    </row>
    <row r="2741" spans="1:15" x14ac:dyDescent="0.3">
      <c r="A2741" s="1">
        <v>43999</v>
      </c>
      <c r="B2741">
        <v>1000000576</v>
      </c>
      <c r="C2741" t="s">
        <v>15</v>
      </c>
      <c r="D2741">
        <v>1</v>
      </c>
      <c r="E2741">
        <v>7000.05</v>
      </c>
      <c r="F2741" t="s">
        <v>16</v>
      </c>
      <c r="G2741" t="s">
        <v>17</v>
      </c>
      <c r="H2741" t="s">
        <v>18</v>
      </c>
      <c r="I2741" t="s">
        <v>25</v>
      </c>
      <c r="J2741" t="s">
        <v>36</v>
      </c>
      <c r="K2741" t="s">
        <v>37</v>
      </c>
      <c r="L2741" t="s">
        <v>22</v>
      </c>
      <c r="M2741">
        <v>7000.05</v>
      </c>
      <c r="N2741">
        <v>2020</v>
      </c>
      <c r="O2741">
        <v>6</v>
      </c>
    </row>
    <row r="2742" spans="1:15" x14ac:dyDescent="0.3">
      <c r="A2742" s="1">
        <v>43999</v>
      </c>
      <c r="B2742">
        <v>1000000594</v>
      </c>
      <c r="C2742" t="s">
        <v>15</v>
      </c>
      <c r="D2742">
        <v>2</v>
      </c>
      <c r="E2742">
        <v>21000.15</v>
      </c>
      <c r="F2742" t="s">
        <v>16</v>
      </c>
      <c r="G2742" t="s">
        <v>17</v>
      </c>
      <c r="H2742" t="s">
        <v>18</v>
      </c>
      <c r="I2742" t="s">
        <v>25</v>
      </c>
      <c r="J2742" t="s">
        <v>20</v>
      </c>
      <c r="K2742" t="s">
        <v>51</v>
      </c>
      <c r="L2742" t="s">
        <v>22</v>
      </c>
      <c r="M2742">
        <v>10500.075000000001</v>
      </c>
      <c r="N2742">
        <v>2020</v>
      </c>
      <c r="O2742">
        <v>6</v>
      </c>
    </row>
    <row r="2743" spans="1:15" x14ac:dyDescent="0.3">
      <c r="A2743" s="1">
        <v>43999</v>
      </c>
      <c r="B2743">
        <v>1000000928</v>
      </c>
      <c r="C2743" t="s">
        <v>23</v>
      </c>
      <c r="D2743">
        <v>1</v>
      </c>
      <c r="E2743">
        <v>1000.45</v>
      </c>
      <c r="F2743" t="s">
        <v>16</v>
      </c>
      <c r="G2743" t="s">
        <v>24</v>
      </c>
      <c r="H2743" t="s">
        <v>30</v>
      </c>
      <c r="I2743" t="s">
        <v>57</v>
      </c>
      <c r="J2743" t="s">
        <v>26</v>
      </c>
      <c r="K2743" t="s">
        <v>58</v>
      </c>
      <c r="L2743" t="s">
        <v>22</v>
      </c>
      <c r="M2743">
        <v>1000.45</v>
      </c>
      <c r="N2743">
        <v>2020</v>
      </c>
      <c r="O2743">
        <v>6</v>
      </c>
    </row>
    <row r="2744" spans="1:15" x14ac:dyDescent="0.3">
      <c r="A2744" s="1">
        <v>43999</v>
      </c>
      <c r="B2744">
        <v>1000001524</v>
      </c>
      <c r="C2744" t="s">
        <v>23</v>
      </c>
      <c r="D2744">
        <v>1</v>
      </c>
      <c r="E2744">
        <v>11000.44</v>
      </c>
      <c r="F2744" t="s">
        <v>16</v>
      </c>
      <c r="G2744" t="s">
        <v>24</v>
      </c>
      <c r="H2744" t="s">
        <v>18</v>
      </c>
      <c r="I2744" t="s">
        <v>25</v>
      </c>
      <c r="J2744" t="s">
        <v>20</v>
      </c>
      <c r="K2744" t="s">
        <v>51</v>
      </c>
      <c r="L2744" t="s">
        <v>22</v>
      </c>
      <c r="M2744">
        <v>11000.44</v>
      </c>
      <c r="N2744">
        <v>2020</v>
      </c>
      <c r="O2744">
        <v>6</v>
      </c>
    </row>
    <row r="2745" spans="1:15" x14ac:dyDescent="0.3">
      <c r="A2745" s="1">
        <v>43999</v>
      </c>
      <c r="B2745">
        <v>1000002861</v>
      </c>
      <c r="C2745" t="s">
        <v>15</v>
      </c>
      <c r="D2745">
        <v>1</v>
      </c>
      <c r="E2745">
        <v>6000.71</v>
      </c>
      <c r="F2745" t="s">
        <v>16</v>
      </c>
      <c r="G2745" t="s">
        <v>17</v>
      </c>
      <c r="H2745" t="s">
        <v>47</v>
      </c>
      <c r="I2745" t="s">
        <v>48</v>
      </c>
      <c r="J2745" t="s">
        <v>36</v>
      </c>
      <c r="K2745" t="s">
        <v>49</v>
      </c>
      <c r="L2745" t="s">
        <v>22</v>
      </c>
      <c r="M2745">
        <v>6000.71</v>
      </c>
      <c r="N2745">
        <v>2020</v>
      </c>
      <c r="O2745">
        <v>6</v>
      </c>
    </row>
    <row r="2746" spans="1:15" x14ac:dyDescent="0.3">
      <c r="A2746" s="1">
        <v>43999</v>
      </c>
      <c r="B2746">
        <v>1000003489</v>
      </c>
      <c r="C2746" t="s">
        <v>15</v>
      </c>
      <c r="D2746">
        <v>1</v>
      </c>
      <c r="E2746">
        <v>22000.28</v>
      </c>
      <c r="F2746" t="s">
        <v>16</v>
      </c>
      <c r="G2746" t="s">
        <v>17</v>
      </c>
      <c r="H2746" t="s">
        <v>47</v>
      </c>
      <c r="I2746" t="s">
        <v>48</v>
      </c>
      <c r="J2746" t="s">
        <v>26</v>
      </c>
      <c r="K2746" t="s">
        <v>50</v>
      </c>
      <c r="L2746" t="s">
        <v>22</v>
      </c>
      <c r="M2746">
        <v>22000.28</v>
      </c>
      <c r="N2746">
        <v>2020</v>
      </c>
      <c r="O2746">
        <v>6</v>
      </c>
    </row>
    <row r="2747" spans="1:15" x14ac:dyDescent="0.3">
      <c r="A2747" s="1">
        <v>43999</v>
      </c>
      <c r="B2747">
        <v>1000003803</v>
      </c>
      <c r="C2747" t="s">
        <v>23</v>
      </c>
      <c r="D2747">
        <v>1</v>
      </c>
      <c r="E2747">
        <v>4999.9399999999996</v>
      </c>
      <c r="F2747" t="s">
        <v>16</v>
      </c>
      <c r="G2747" t="s">
        <v>24</v>
      </c>
      <c r="H2747" t="s">
        <v>30</v>
      </c>
      <c r="I2747" t="s">
        <v>31</v>
      </c>
      <c r="J2747" t="s">
        <v>36</v>
      </c>
      <c r="K2747" t="s">
        <v>52</v>
      </c>
      <c r="L2747" t="s">
        <v>22</v>
      </c>
      <c r="M2747">
        <v>4999.9399999999996</v>
      </c>
      <c r="N2747">
        <v>2020</v>
      </c>
      <c r="O2747">
        <v>6</v>
      </c>
    </row>
    <row r="2748" spans="1:15" x14ac:dyDescent="0.3">
      <c r="A2748" s="1">
        <v>43999</v>
      </c>
      <c r="B2748">
        <v>1000003926</v>
      </c>
      <c r="C2748" t="s">
        <v>23</v>
      </c>
      <c r="D2748">
        <v>1</v>
      </c>
      <c r="E2748">
        <v>1021.72</v>
      </c>
      <c r="F2748" t="s">
        <v>16</v>
      </c>
      <c r="G2748" t="s">
        <v>24</v>
      </c>
      <c r="H2748" t="s">
        <v>47</v>
      </c>
      <c r="I2748" t="s">
        <v>48</v>
      </c>
      <c r="J2748" t="s">
        <v>26</v>
      </c>
      <c r="K2748" t="s">
        <v>50</v>
      </c>
      <c r="L2748" t="s">
        <v>28</v>
      </c>
      <c r="M2748">
        <v>1021.72</v>
      </c>
      <c r="N2748">
        <v>2020</v>
      </c>
      <c r="O2748">
        <v>6</v>
      </c>
    </row>
    <row r="2749" spans="1:15" x14ac:dyDescent="0.3">
      <c r="A2749" s="1">
        <v>43999</v>
      </c>
      <c r="B2749">
        <v>1000003989</v>
      </c>
      <c r="C2749" t="s">
        <v>15</v>
      </c>
      <c r="D2749">
        <v>1</v>
      </c>
      <c r="E2749">
        <v>17000.580000000002</v>
      </c>
      <c r="F2749" t="s">
        <v>16</v>
      </c>
      <c r="G2749" t="s">
        <v>17</v>
      </c>
      <c r="H2749" t="s">
        <v>30</v>
      </c>
      <c r="I2749" t="s">
        <v>31</v>
      </c>
      <c r="J2749" t="s">
        <v>36</v>
      </c>
      <c r="K2749" t="s">
        <v>52</v>
      </c>
      <c r="L2749" t="s">
        <v>22</v>
      </c>
      <c r="M2749">
        <v>17000.580000000002</v>
      </c>
      <c r="N2749">
        <v>2020</v>
      </c>
      <c r="O2749">
        <v>6</v>
      </c>
    </row>
    <row r="2750" spans="1:15" x14ac:dyDescent="0.3">
      <c r="A2750" s="1">
        <v>43999</v>
      </c>
      <c r="B2750">
        <v>1000004170</v>
      </c>
      <c r="C2750" t="s">
        <v>23</v>
      </c>
      <c r="D2750">
        <v>1</v>
      </c>
      <c r="E2750">
        <v>14000.31</v>
      </c>
      <c r="F2750" t="s">
        <v>16</v>
      </c>
      <c r="G2750" t="s">
        <v>24</v>
      </c>
      <c r="H2750" t="s">
        <v>18</v>
      </c>
      <c r="I2750" t="s">
        <v>34</v>
      </c>
      <c r="J2750" t="s">
        <v>20</v>
      </c>
      <c r="K2750" t="s">
        <v>44</v>
      </c>
      <c r="L2750" t="s">
        <v>28</v>
      </c>
      <c r="M2750">
        <v>14000.31</v>
      </c>
      <c r="N2750">
        <v>2020</v>
      </c>
      <c r="O2750">
        <v>6</v>
      </c>
    </row>
    <row r="2751" spans="1:15" x14ac:dyDescent="0.3">
      <c r="A2751" s="1">
        <v>43999</v>
      </c>
      <c r="B2751">
        <v>1000004256</v>
      </c>
      <c r="C2751" t="s">
        <v>42</v>
      </c>
      <c r="D2751">
        <v>1</v>
      </c>
      <c r="E2751">
        <v>6000.27</v>
      </c>
      <c r="F2751" t="s">
        <v>16</v>
      </c>
      <c r="G2751" t="s">
        <v>43</v>
      </c>
      <c r="H2751" t="s">
        <v>18</v>
      </c>
      <c r="I2751" t="s">
        <v>40</v>
      </c>
      <c r="J2751" t="s">
        <v>26</v>
      </c>
      <c r="K2751" t="s">
        <v>41</v>
      </c>
      <c r="L2751" t="s">
        <v>22</v>
      </c>
      <c r="M2751">
        <v>6000.27</v>
      </c>
      <c r="N2751">
        <v>2020</v>
      </c>
      <c r="O2751">
        <v>6</v>
      </c>
    </row>
    <row r="2752" spans="1:15" x14ac:dyDescent="0.3">
      <c r="A2752" s="1">
        <v>43999</v>
      </c>
      <c r="B2752">
        <v>1000005873</v>
      </c>
      <c r="C2752" t="s">
        <v>23</v>
      </c>
      <c r="D2752">
        <v>1</v>
      </c>
      <c r="E2752">
        <v>15000.31</v>
      </c>
      <c r="F2752" t="s">
        <v>16</v>
      </c>
      <c r="G2752" t="s">
        <v>24</v>
      </c>
      <c r="H2752" t="s">
        <v>18</v>
      </c>
      <c r="I2752" t="s">
        <v>19</v>
      </c>
      <c r="J2752" t="s">
        <v>20</v>
      </c>
      <c r="K2752" t="s">
        <v>21</v>
      </c>
      <c r="L2752" t="s">
        <v>28</v>
      </c>
      <c r="M2752">
        <v>15000.31</v>
      </c>
      <c r="N2752">
        <v>2020</v>
      </c>
      <c r="O2752">
        <v>6</v>
      </c>
    </row>
    <row r="2753" spans="1:15" x14ac:dyDescent="0.3">
      <c r="A2753" s="1">
        <v>43999</v>
      </c>
      <c r="B2753">
        <v>1000006698</v>
      </c>
      <c r="C2753" t="s">
        <v>23</v>
      </c>
      <c r="D2753">
        <v>1</v>
      </c>
      <c r="E2753">
        <v>10000.200000000001</v>
      </c>
      <c r="F2753" t="s">
        <v>16</v>
      </c>
      <c r="G2753" t="s">
        <v>24</v>
      </c>
      <c r="H2753" t="s">
        <v>30</v>
      </c>
      <c r="I2753" t="s">
        <v>38</v>
      </c>
      <c r="J2753" t="s">
        <v>26</v>
      </c>
      <c r="K2753" t="s">
        <v>39</v>
      </c>
      <c r="L2753" t="s">
        <v>28</v>
      </c>
      <c r="M2753">
        <v>10000.200000000001</v>
      </c>
      <c r="N2753">
        <v>2020</v>
      </c>
      <c r="O2753">
        <v>6</v>
      </c>
    </row>
    <row r="2754" spans="1:15" x14ac:dyDescent="0.3">
      <c r="A2754" s="1">
        <v>43999</v>
      </c>
      <c r="B2754">
        <v>1000007320</v>
      </c>
      <c r="C2754" t="s">
        <v>15</v>
      </c>
      <c r="D2754">
        <v>1</v>
      </c>
      <c r="E2754">
        <v>10000.42</v>
      </c>
      <c r="F2754" t="s">
        <v>16</v>
      </c>
      <c r="G2754" t="s">
        <v>17</v>
      </c>
      <c r="H2754" t="s">
        <v>18</v>
      </c>
      <c r="I2754" t="s">
        <v>34</v>
      </c>
      <c r="J2754" t="s">
        <v>26</v>
      </c>
      <c r="K2754" t="s">
        <v>35</v>
      </c>
      <c r="L2754" t="s">
        <v>22</v>
      </c>
      <c r="M2754">
        <v>10000.42</v>
      </c>
      <c r="N2754">
        <v>2020</v>
      </c>
      <c r="O2754">
        <v>6</v>
      </c>
    </row>
    <row r="2755" spans="1:15" x14ac:dyDescent="0.3">
      <c r="A2755" s="1">
        <v>43999</v>
      </c>
      <c r="B2755">
        <v>1000008228</v>
      </c>
      <c r="C2755" t="s">
        <v>15</v>
      </c>
      <c r="D2755">
        <v>1</v>
      </c>
      <c r="E2755">
        <v>25000.22</v>
      </c>
      <c r="F2755" t="s">
        <v>16</v>
      </c>
      <c r="G2755" t="s">
        <v>17</v>
      </c>
      <c r="H2755" t="s">
        <v>30</v>
      </c>
      <c r="I2755" t="s">
        <v>31</v>
      </c>
      <c r="J2755" t="s">
        <v>36</v>
      </c>
      <c r="K2755" t="s">
        <v>52</v>
      </c>
      <c r="L2755" t="s">
        <v>22</v>
      </c>
      <c r="M2755">
        <v>25000.22</v>
      </c>
      <c r="N2755">
        <v>2020</v>
      </c>
      <c r="O2755">
        <v>6</v>
      </c>
    </row>
    <row r="2756" spans="1:15" x14ac:dyDescent="0.3">
      <c r="A2756" s="1">
        <v>43999</v>
      </c>
      <c r="B2756">
        <v>1000008239</v>
      </c>
      <c r="C2756" t="s">
        <v>15</v>
      </c>
      <c r="D2756">
        <v>2</v>
      </c>
      <c r="E2756">
        <v>34000.9</v>
      </c>
      <c r="F2756" t="s">
        <v>16</v>
      </c>
      <c r="G2756" t="s">
        <v>17</v>
      </c>
      <c r="H2756" t="s">
        <v>18</v>
      </c>
      <c r="I2756" t="s">
        <v>61</v>
      </c>
      <c r="J2756" t="s">
        <v>26</v>
      </c>
      <c r="K2756" t="s">
        <v>62</v>
      </c>
      <c r="L2756" t="s">
        <v>28</v>
      </c>
      <c r="M2756">
        <v>17000.45</v>
      </c>
      <c r="N2756">
        <v>2020</v>
      </c>
      <c r="O2756">
        <v>6</v>
      </c>
    </row>
    <row r="2757" spans="1:15" x14ac:dyDescent="0.3">
      <c r="A2757" s="1">
        <v>43999</v>
      </c>
      <c r="B2757">
        <v>1000008957</v>
      </c>
      <c r="C2757" t="s">
        <v>23</v>
      </c>
      <c r="D2757">
        <v>1</v>
      </c>
      <c r="E2757">
        <v>7000.06</v>
      </c>
      <c r="F2757" t="s">
        <v>16</v>
      </c>
      <c r="G2757" t="s">
        <v>24</v>
      </c>
      <c r="H2757" t="s">
        <v>18</v>
      </c>
      <c r="I2757" t="s">
        <v>34</v>
      </c>
      <c r="J2757" t="s">
        <v>20</v>
      </c>
      <c r="K2757" t="s">
        <v>44</v>
      </c>
      <c r="L2757" t="s">
        <v>22</v>
      </c>
      <c r="M2757">
        <v>7000.06</v>
      </c>
      <c r="N2757">
        <v>2020</v>
      </c>
      <c r="O2757">
        <v>6</v>
      </c>
    </row>
    <row r="2758" spans="1:15" x14ac:dyDescent="0.3">
      <c r="A2758" s="1">
        <v>43999</v>
      </c>
      <c r="B2758">
        <v>1000008957</v>
      </c>
      <c r="C2758" t="s">
        <v>15</v>
      </c>
      <c r="D2758">
        <v>1</v>
      </c>
      <c r="E2758">
        <v>13000.01</v>
      </c>
      <c r="F2758" t="s">
        <v>16</v>
      </c>
      <c r="G2758" t="s">
        <v>17</v>
      </c>
      <c r="H2758" t="s">
        <v>18</v>
      </c>
      <c r="I2758" t="s">
        <v>34</v>
      </c>
      <c r="J2758" t="s">
        <v>20</v>
      </c>
      <c r="K2758" t="s">
        <v>44</v>
      </c>
      <c r="L2758" t="s">
        <v>22</v>
      </c>
      <c r="M2758">
        <v>13000.01</v>
      </c>
      <c r="N2758">
        <v>2020</v>
      </c>
      <c r="O2758">
        <v>6</v>
      </c>
    </row>
    <row r="2759" spans="1:15" x14ac:dyDescent="0.3">
      <c r="A2759" s="1">
        <v>43999</v>
      </c>
      <c r="B2759">
        <v>1000009288</v>
      </c>
      <c r="C2759" t="s">
        <v>42</v>
      </c>
      <c r="D2759">
        <v>1</v>
      </c>
      <c r="E2759">
        <v>900.22</v>
      </c>
      <c r="F2759" t="s">
        <v>16</v>
      </c>
      <c r="G2759" t="s">
        <v>43</v>
      </c>
      <c r="H2759" t="s">
        <v>18</v>
      </c>
      <c r="I2759" t="s">
        <v>25</v>
      </c>
      <c r="J2759" t="s">
        <v>20</v>
      </c>
      <c r="K2759" t="s">
        <v>51</v>
      </c>
      <c r="L2759" t="s">
        <v>22</v>
      </c>
      <c r="M2759">
        <v>900.22</v>
      </c>
      <c r="N2759">
        <v>2020</v>
      </c>
      <c r="O2759">
        <v>6</v>
      </c>
    </row>
    <row r="2760" spans="1:15" x14ac:dyDescent="0.3">
      <c r="A2760" s="1">
        <v>43999</v>
      </c>
      <c r="B2760">
        <v>1000010837</v>
      </c>
      <c r="C2760" t="s">
        <v>15</v>
      </c>
      <c r="D2760">
        <v>1</v>
      </c>
      <c r="E2760">
        <v>7500.23</v>
      </c>
      <c r="F2760" t="s">
        <v>16</v>
      </c>
      <c r="G2760" t="s">
        <v>17</v>
      </c>
      <c r="H2760" t="s">
        <v>18</v>
      </c>
      <c r="I2760" t="s">
        <v>61</v>
      </c>
      <c r="J2760" t="s">
        <v>26</v>
      </c>
      <c r="K2760" t="s">
        <v>62</v>
      </c>
      <c r="L2760" t="s">
        <v>22</v>
      </c>
      <c r="M2760">
        <v>7500.23</v>
      </c>
      <c r="N2760">
        <v>2020</v>
      </c>
      <c r="O2760">
        <v>6</v>
      </c>
    </row>
    <row r="2761" spans="1:15" x14ac:dyDescent="0.3">
      <c r="A2761" s="1">
        <v>43999</v>
      </c>
      <c r="B2761">
        <v>1000010881</v>
      </c>
      <c r="C2761" t="s">
        <v>23</v>
      </c>
      <c r="D2761">
        <v>2</v>
      </c>
      <c r="E2761">
        <v>16000.669999999998</v>
      </c>
      <c r="F2761" t="s">
        <v>16</v>
      </c>
      <c r="G2761" t="s">
        <v>24</v>
      </c>
      <c r="H2761" t="s">
        <v>47</v>
      </c>
      <c r="I2761" t="s">
        <v>48</v>
      </c>
      <c r="J2761" t="s">
        <v>26</v>
      </c>
      <c r="K2761" t="s">
        <v>50</v>
      </c>
      <c r="L2761" t="s">
        <v>22</v>
      </c>
      <c r="M2761">
        <v>8000.3349999999991</v>
      </c>
      <c r="N2761">
        <v>2020</v>
      </c>
      <c r="O2761">
        <v>6</v>
      </c>
    </row>
    <row r="2762" spans="1:15" x14ac:dyDescent="0.3">
      <c r="A2762" s="1">
        <v>43999</v>
      </c>
      <c r="B2762">
        <v>1000011697</v>
      </c>
      <c r="C2762" t="s">
        <v>23</v>
      </c>
      <c r="D2762">
        <v>1</v>
      </c>
      <c r="E2762">
        <v>20000.580000000002</v>
      </c>
      <c r="F2762" t="s">
        <v>16</v>
      </c>
      <c r="G2762" t="s">
        <v>24</v>
      </c>
      <c r="H2762" t="s">
        <v>18</v>
      </c>
      <c r="I2762" t="s">
        <v>34</v>
      </c>
      <c r="J2762" t="s">
        <v>20</v>
      </c>
      <c r="K2762" t="s">
        <v>44</v>
      </c>
      <c r="L2762" t="s">
        <v>22</v>
      </c>
      <c r="M2762">
        <v>20000.580000000002</v>
      </c>
      <c r="N2762">
        <v>2020</v>
      </c>
      <c r="O2762">
        <v>6</v>
      </c>
    </row>
    <row r="2763" spans="1:15" x14ac:dyDescent="0.3">
      <c r="A2763" s="1">
        <v>43999</v>
      </c>
      <c r="B2763">
        <v>1000011697</v>
      </c>
      <c r="C2763" t="s">
        <v>15</v>
      </c>
      <c r="D2763">
        <v>1</v>
      </c>
      <c r="E2763">
        <v>15000.05</v>
      </c>
      <c r="F2763" t="s">
        <v>16</v>
      </c>
      <c r="G2763" t="s">
        <v>17</v>
      </c>
      <c r="H2763" t="s">
        <v>18</v>
      </c>
      <c r="I2763" t="s">
        <v>34</v>
      </c>
      <c r="J2763" t="s">
        <v>20</v>
      </c>
      <c r="K2763" t="s">
        <v>44</v>
      </c>
      <c r="L2763" t="s">
        <v>22</v>
      </c>
      <c r="M2763">
        <v>15000.05</v>
      </c>
      <c r="N2763">
        <v>2020</v>
      </c>
      <c r="O2763">
        <v>6</v>
      </c>
    </row>
    <row r="2764" spans="1:15" x14ac:dyDescent="0.3">
      <c r="A2764" s="1">
        <v>43999</v>
      </c>
      <c r="B2764">
        <v>1000011698</v>
      </c>
      <c r="C2764" t="s">
        <v>23</v>
      </c>
      <c r="D2764">
        <v>2</v>
      </c>
      <c r="E2764">
        <v>8000.2199999999993</v>
      </c>
      <c r="F2764" t="s">
        <v>16</v>
      </c>
      <c r="G2764" t="s">
        <v>24</v>
      </c>
      <c r="H2764" t="s">
        <v>18</v>
      </c>
      <c r="I2764" t="s">
        <v>34</v>
      </c>
      <c r="J2764" t="s">
        <v>20</v>
      </c>
      <c r="K2764" t="s">
        <v>44</v>
      </c>
      <c r="L2764" t="s">
        <v>22</v>
      </c>
      <c r="M2764">
        <v>4000.1099999999997</v>
      </c>
      <c r="N2764">
        <v>2020</v>
      </c>
      <c r="O2764">
        <v>6</v>
      </c>
    </row>
    <row r="2765" spans="1:15" x14ac:dyDescent="0.3">
      <c r="A2765" s="1">
        <v>43999</v>
      </c>
      <c r="B2765">
        <v>1000011698</v>
      </c>
      <c r="C2765" t="s">
        <v>15</v>
      </c>
      <c r="D2765">
        <v>1</v>
      </c>
      <c r="E2765">
        <v>15000.14</v>
      </c>
      <c r="F2765" t="s">
        <v>16</v>
      </c>
      <c r="G2765" t="s">
        <v>17</v>
      </c>
      <c r="H2765" t="s">
        <v>18</v>
      </c>
      <c r="I2765" t="s">
        <v>34</v>
      </c>
      <c r="J2765" t="s">
        <v>20</v>
      </c>
      <c r="K2765" t="s">
        <v>44</v>
      </c>
      <c r="L2765" t="s">
        <v>22</v>
      </c>
      <c r="M2765">
        <v>15000.14</v>
      </c>
      <c r="N2765">
        <v>2020</v>
      </c>
      <c r="O2765">
        <v>6</v>
      </c>
    </row>
    <row r="2766" spans="1:15" x14ac:dyDescent="0.3">
      <c r="A2766" s="1">
        <v>43999</v>
      </c>
      <c r="B2766">
        <v>1000011731</v>
      </c>
      <c r="C2766" t="s">
        <v>42</v>
      </c>
      <c r="D2766">
        <v>1</v>
      </c>
      <c r="E2766">
        <v>6000.37</v>
      </c>
      <c r="F2766" t="s">
        <v>16</v>
      </c>
      <c r="G2766" t="s">
        <v>43</v>
      </c>
      <c r="H2766" t="s">
        <v>47</v>
      </c>
      <c r="I2766" t="s">
        <v>48</v>
      </c>
      <c r="J2766" t="s">
        <v>36</v>
      </c>
      <c r="K2766" t="s">
        <v>49</v>
      </c>
      <c r="L2766" t="s">
        <v>22</v>
      </c>
      <c r="M2766">
        <v>6000.37</v>
      </c>
      <c r="N2766">
        <v>2020</v>
      </c>
      <c r="O2766">
        <v>6</v>
      </c>
    </row>
    <row r="2767" spans="1:15" x14ac:dyDescent="0.3">
      <c r="A2767" s="1">
        <v>43999</v>
      </c>
      <c r="B2767">
        <v>1000012099</v>
      </c>
      <c r="C2767" t="s">
        <v>15</v>
      </c>
      <c r="D2767">
        <v>3</v>
      </c>
      <c r="E2767">
        <v>33001.050000000003</v>
      </c>
      <c r="F2767" t="s">
        <v>16</v>
      </c>
      <c r="G2767" t="s">
        <v>17</v>
      </c>
      <c r="H2767" t="s">
        <v>18</v>
      </c>
      <c r="I2767" t="s">
        <v>19</v>
      </c>
      <c r="J2767" t="s">
        <v>20</v>
      </c>
      <c r="K2767" t="s">
        <v>21</v>
      </c>
      <c r="L2767" t="s">
        <v>22</v>
      </c>
      <c r="M2767">
        <v>11000.35</v>
      </c>
      <c r="N2767">
        <v>2020</v>
      </c>
      <c r="O2767">
        <v>6</v>
      </c>
    </row>
    <row r="2768" spans="1:15" x14ac:dyDescent="0.3">
      <c r="A2768" s="1">
        <v>43999</v>
      </c>
      <c r="B2768">
        <v>1000012112</v>
      </c>
      <c r="C2768" t="s">
        <v>23</v>
      </c>
      <c r="D2768">
        <v>2</v>
      </c>
      <c r="E2768">
        <v>24000.7</v>
      </c>
      <c r="F2768" t="s">
        <v>16</v>
      </c>
      <c r="G2768" t="s">
        <v>24</v>
      </c>
      <c r="H2768" t="s">
        <v>18</v>
      </c>
      <c r="I2768" t="s">
        <v>19</v>
      </c>
      <c r="J2768" t="s">
        <v>36</v>
      </c>
      <c r="K2768" t="s">
        <v>64</v>
      </c>
      <c r="L2768" t="s">
        <v>28</v>
      </c>
      <c r="M2768">
        <v>12000.35</v>
      </c>
      <c r="N2768">
        <v>2020</v>
      </c>
      <c r="O2768">
        <v>6</v>
      </c>
    </row>
    <row r="2769" spans="1:15" x14ac:dyDescent="0.3">
      <c r="A2769" s="1">
        <v>43999</v>
      </c>
      <c r="B2769">
        <v>1000012124</v>
      </c>
      <c r="C2769" t="s">
        <v>42</v>
      </c>
      <c r="D2769">
        <v>1</v>
      </c>
      <c r="E2769">
        <v>15000.27</v>
      </c>
      <c r="F2769" t="s">
        <v>16</v>
      </c>
      <c r="G2769" t="s">
        <v>43</v>
      </c>
      <c r="H2769" t="s">
        <v>18</v>
      </c>
      <c r="I2769" t="s">
        <v>19</v>
      </c>
      <c r="J2769" t="s">
        <v>26</v>
      </c>
      <c r="K2769" t="s">
        <v>29</v>
      </c>
      <c r="L2769" t="s">
        <v>22</v>
      </c>
      <c r="M2769">
        <v>15000.27</v>
      </c>
      <c r="N2769">
        <v>2020</v>
      </c>
      <c r="O2769">
        <v>6</v>
      </c>
    </row>
    <row r="2770" spans="1:15" x14ac:dyDescent="0.3">
      <c r="A2770" s="1">
        <v>43999</v>
      </c>
      <c r="B2770">
        <v>1000012234</v>
      </c>
      <c r="C2770" t="s">
        <v>23</v>
      </c>
      <c r="D2770">
        <v>1</v>
      </c>
      <c r="E2770">
        <v>25000.240000000002</v>
      </c>
      <c r="F2770" t="s">
        <v>16</v>
      </c>
      <c r="G2770" t="s">
        <v>24</v>
      </c>
      <c r="H2770" t="s">
        <v>18</v>
      </c>
      <c r="I2770" t="s">
        <v>25</v>
      </c>
      <c r="J2770" t="s">
        <v>26</v>
      </c>
      <c r="K2770" t="s">
        <v>27</v>
      </c>
      <c r="L2770" t="s">
        <v>22</v>
      </c>
      <c r="M2770">
        <v>25000.240000000002</v>
      </c>
      <c r="N2770">
        <v>2020</v>
      </c>
      <c r="O2770">
        <v>6</v>
      </c>
    </row>
    <row r="2771" spans="1:15" x14ac:dyDescent="0.3">
      <c r="A2771" s="1">
        <v>43999</v>
      </c>
      <c r="B2771">
        <v>1000012446</v>
      </c>
      <c r="C2771" t="s">
        <v>23</v>
      </c>
      <c r="D2771">
        <v>1</v>
      </c>
      <c r="E2771">
        <v>512.03</v>
      </c>
      <c r="F2771" t="s">
        <v>16</v>
      </c>
      <c r="G2771" t="s">
        <v>24</v>
      </c>
      <c r="H2771" t="s">
        <v>30</v>
      </c>
      <c r="I2771" t="s">
        <v>31</v>
      </c>
      <c r="J2771" t="s">
        <v>36</v>
      </c>
      <c r="K2771" t="s">
        <v>52</v>
      </c>
      <c r="L2771" t="s">
        <v>22</v>
      </c>
      <c r="M2771">
        <v>512.03</v>
      </c>
      <c r="N2771">
        <v>2020</v>
      </c>
      <c r="O2771">
        <v>6</v>
      </c>
    </row>
    <row r="2772" spans="1:15" x14ac:dyDescent="0.3">
      <c r="A2772" s="1">
        <v>43999</v>
      </c>
      <c r="B2772">
        <v>1000012675</v>
      </c>
      <c r="C2772" t="s">
        <v>23</v>
      </c>
      <c r="D2772">
        <v>2</v>
      </c>
      <c r="E2772">
        <v>12501.26</v>
      </c>
      <c r="F2772" t="s">
        <v>16</v>
      </c>
      <c r="G2772" t="s">
        <v>24</v>
      </c>
      <c r="H2772" t="s">
        <v>18</v>
      </c>
      <c r="I2772" t="s">
        <v>34</v>
      </c>
      <c r="J2772" t="s">
        <v>26</v>
      </c>
      <c r="K2772" t="s">
        <v>35</v>
      </c>
      <c r="L2772" t="s">
        <v>22</v>
      </c>
      <c r="M2772">
        <v>6250.63</v>
      </c>
      <c r="N2772">
        <v>2020</v>
      </c>
      <c r="O2772">
        <v>6</v>
      </c>
    </row>
    <row r="2773" spans="1:15" x14ac:dyDescent="0.3">
      <c r="A2773" s="1">
        <v>43999</v>
      </c>
      <c r="B2773">
        <v>1000013526</v>
      </c>
      <c r="C2773" t="s">
        <v>23</v>
      </c>
      <c r="D2773">
        <v>1</v>
      </c>
      <c r="E2773">
        <v>4999.99</v>
      </c>
      <c r="F2773" t="s">
        <v>16</v>
      </c>
      <c r="G2773" t="s">
        <v>24</v>
      </c>
      <c r="H2773" t="s">
        <v>47</v>
      </c>
      <c r="I2773" t="s">
        <v>65</v>
      </c>
      <c r="J2773" t="s">
        <v>26</v>
      </c>
      <c r="K2773" t="s">
        <v>66</v>
      </c>
      <c r="L2773" t="s">
        <v>22</v>
      </c>
      <c r="M2773">
        <v>4999.99</v>
      </c>
      <c r="N2773">
        <v>2020</v>
      </c>
      <c r="O2773">
        <v>6</v>
      </c>
    </row>
    <row r="2774" spans="1:15" x14ac:dyDescent="0.3">
      <c r="A2774" s="1">
        <v>43999</v>
      </c>
      <c r="B2774">
        <v>1000013535</v>
      </c>
      <c r="C2774" t="s">
        <v>23</v>
      </c>
      <c r="D2774">
        <v>1</v>
      </c>
      <c r="E2774">
        <v>1457.43</v>
      </c>
      <c r="F2774" t="s">
        <v>16</v>
      </c>
      <c r="G2774" t="s">
        <v>24</v>
      </c>
      <c r="H2774" t="s">
        <v>47</v>
      </c>
      <c r="I2774" t="s">
        <v>48</v>
      </c>
      <c r="J2774" t="s">
        <v>36</v>
      </c>
      <c r="K2774" t="s">
        <v>49</v>
      </c>
      <c r="L2774" t="s">
        <v>22</v>
      </c>
      <c r="M2774">
        <v>1457.43</v>
      </c>
      <c r="N2774">
        <v>2020</v>
      </c>
      <c r="O2774">
        <v>6</v>
      </c>
    </row>
    <row r="2775" spans="1:15" x14ac:dyDescent="0.3">
      <c r="A2775" s="1">
        <v>43999</v>
      </c>
      <c r="B2775">
        <v>1000013546</v>
      </c>
      <c r="C2775" t="s">
        <v>15</v>
      </c>
      <c r="D2775">
        <v>1</v>
      </c>
      <c r="E2775">
        <v>5000.2700000000004</v>
      </c>
      <c r="F2775" t="s">
        <v>16</v>
      </c>
      <c r="G2775" t="s">
        <v>17</v>
      </c>
      <c r="H2775" t="s">
        <v>18</v>
      </c>
      <c r="I2775" t="s">
        <v>40</v>
      </c>
      <c r="J2775" t="s">
        <v>26</v>
      </c>
      <c r="K2775" t="s">
        <v>41</v>
      </c>
      <c r="L2775" t="s">
        <v>22</v>
      </c>
      <c r="M2775">
        <v>5000.2700000000004</v>
      </c>
      <c r="N2775">
        <v>2020</v>
      </c>
      <c r="O2775">
        <v>6</v>
      </c>
    </row>
    <row r="2776" spans="1:15" x14ac:dyDescent="0.3">
      <c r="A2776" s="1">
        <v>43999</v>
      </c>
      <c r="B2776">
        <v>1000013607</v>
      </c>
      <c r="C2776" t="s">
        <v>15</v>
      </c>
      <c r="D2776">
        <v>1</v>
      </c>
      <c r="E2776">
        <v>19000.38</v>
      </c>
      <c r="F2776" t="s">
        <v>16</v>
      </c>
      <c r="G2776" t="s">
        <v>17</v>
      </c>
      <c r="H2776" t="s">
        <v>18</v>
      </c>
      <c r="I2776" t="s">
        <v>25</v>
      </c>
      <c r="J2776" t="s">
        <v>26</v>
      </c>
      <c r="K2776" t="s">
        <v>27</v>
      </c>
      <c r="L2776" t="s">
        <v>22</v>
      </c>
      <c r="M2776">
        <v>19000.38</v>
      </c>
      <c r="N2776">
        <v>2020</v>
      </c>
      <c r="O2776">
        <v>6</v>
      </c>
    </row>
    <row r="2777" spans="1:15" x14ac:dyDescent="0.3">
      <c r="A2777" s="1">
        <v>43999</v>
      </c>
      <c r="B2777">
        <v>1000014072</v>
      </c>
      <c r="C2777" t="s">
        <v>15</v>
      </c>
      <c r="D2777">
        <v>1</v>
      </c>
      <c r="E2777">
        <v>24999.96</v>
      </c>
      <c r="F2777" t="s">
        <v>16</v>
      </c>
      <c r="G2777" t="s">
        <v>17</v>
      </c>
      <c r="H2777" t="s">
        <v>47</v>
      </c>
      <c r="I2777" t="s">
        <v>65</v>
      </c>
      <c r="J2777" t="s">
        <v>26</v>
      </c>
      <c r="K2777" t="s">
        <v>66</v>
      </c>
      <c r="L2777" t="s">
        <v>22</v>
      </c>
      <c r="M2777">
        <v>24999.96</v>
      </c>
      <c r="N2777">
        <v>2020</v>
      </c>
      <c r="O2777">
        <v>6</v>
      </c>
    </row>
    <row r="2778" spans="1:15" x14ac:dyDescent="0.3">
      <c r="A2778" s="1">
        <v>43999</v>
      </c>
      <c r="B2778">
        <v>1000014273</v>
      </c>
      <c r="C2778" t="s">
        <v>23</v>
      </c>
      <c r="D2778">
        <v>2</v>
      </c>
      <c r="E2778">
        <v>37000.629999999997</v>
      </c>
      <c r="F2778" t="s">
        <v>16</v>
      </c>
      <c r="G2778" t="s">
        <v>24</v>
      </c>
      <c r="H2778" t="s">
        <v>18</v>
      </c>
      <c r="I2778" t="s">
        <v>19</v>
      </c>
      <c r="J2778" t="s">
        <v>20</v>
      </c>
      <c r="K2778" t="s">
        <v>21</v>
      </c>
      <c r="L2778" t="s">
        <v>22</v>
      </c>
      <c r="M2778">
        <v>18500.314999999999</v>
      </c>
      <c r="N2778">
        <v>2020</v>
      </c>
      <c r="O2778">
        <v>6</v>
      </c>
    </row>
    <row r="2779" spans="1:15" x14ac:dyDescent="0.3">
      <c r="A2779" s="1">
        <v>43999</v>
      </c>
      <c r="B2779">
        <v>1000014530</v>
      </c>
      <c r="C2779" t="s">
        <v>23</v>
      </c>
      <c r="D2779">
        <v>1</v>
      </c>
      <c r="E2779">
        <v>18000.54</v>
      </c>
      <c r="F2779" t="s">
        <v>16</v>
      </c>
      <c r="G2779" t="s">
        <v>24</v>
      </c>
      <c r="H2779" t="s">
        <v>47</v>
      </c>
      <c r="I2779" t="s">
        <v>65</v>
      </c>
      <c r="J2779" t="s">
        <v>26</v>
      </c>
      <c r="K2779" t="s">
        <v>66</v>
      </c>
      <c r="L2779" t="s">
        <v>22</v>
      </c>
      <c r="M2779">
        <v>18000.54</v>
      </c>
      <c r="N2779">
        <v>2020</v>
      </c>
      <c r="O2779">
        <v>6</v>
      </c>
    </row>
    <row r="2780" spans="1:15" x14ac:dyDescent="0.3">
      <c r="A2780" s="1">
        <v>43999</v>
      </c>
      <c r="B2780">
        <v>1000014530</v>
      </c>
      <c r="C2780" t="s">
        <v>15</v>
      </c>
      <c r="D2780">
        <v>2</v>
      </c>
      <c r="E2780">
        <v>21501.02</v>
      </c>
      <c r="F2780" t="s">
        <v>16</v>
      </c>
      <c r="G2780" t="s">
        <v>17</v>
      </c>
      <c r="H2780" t="s">
        <v>47</v>
      </c>
      <c r="I2780" t="s">
        <v>65</v>
      </c>
      <c r="J2780" t="s">
        <v>26</v>
      </c>
      <c r="K2780" t="s">
        <v>66</v>
      </c>
      <c r="L2780" t="s">
        <v>22</v>
      </c>
      <c r="M2780">
        <v>10750.51</v>
      </c>
      <c r="N2780">
        <v>2020</v>
      </c>
      <c r="O2780">
        <v>6</v>
      </c>
    </row>
    <row r="2781" spans="1:15" x14ac:dyDescent="0.3">
      <c r="A2781" s="1">
        <v>43999</v>
      </c>
      <c r="B2781">
        <v>1000014996</v>
      </c>
      <c r="C2781" t="s">
        <v>23</v>
      </c>
      <c r="D2781">
        <v>2</v>
      </c>
      <c r="E2781">
        <v>23000.78</v>
      </c>
      <c r="F2781" t="s">
        <v>16</v>
      </c>
      <c r="G2781" t="s">
        <v>24</v>
      </c>
      <c r="H2781" t="s">
        <v>30</v>
      </c>
      <c r="I2781" t="s">
        <v>57</v>
      </c>
      <c r="J2781" t="s">
        <v>26</v>
      </c>
      <c r="K2781" t="s">
        <v>58</v>
      </c>
      <c r="L2781" t="s">
        <v>22</v>
      </c>
      <c r="M2781">
        <v>11500.39</v>
      </c>
      <c r="N2781">
        <v>2020</v>
      </c>
      <c r="O2781">
        <v>6</v>
      </c>
    </row>
    <row r="2782" spans="1:15" x14ac:dyDescent="0.3">
      <c r="A2782" s="1">
        <v>43999</v>
      </c>
      <c r="B2782">
        <v>1000015015</v>
      </c>
      <c r="C2782" t="s">
        <v>15</v>
      </c>
      <c r="D2782">
        <v>2</v>
      </c>
      <c r="E2782">
        <v>38000.130000000005</v>
      </c>
      <c r="F2782" t="s">
        <v>16</v>
      </c>
      <c r="G2782" t="s">
        <v>17</v>
      </c>
      <c r="H2782" t="s">
        <v>18</v>
      </c>
      <c r="I2782" t="s">
        <v>61</v>
      </c>
      <c r="J2782" t="s">
        <v>26</v>
      </c>
      <c r="K2782" t="s">
        <v>62</v>
      </c>
      <c r="L2782" t="s">
        <v>22</v>
      </c>
      <c r="M2782">
        <v>19000.065000000002</v>
      </c>
      <c r="N2782">
        <v>2020</v>
      </c>
      <c r="O2782">
        <v>6</v>
      </c>
    </row>
    <row r="2783" spans="1:15" x14ac:dyDescent="0.3">
      <c r="A2783" s="1">
        <v>43999</v>
      </c>
      <c r="B2783">
        <v>1000015203</v>
      </c>
      <c r="C2783" t="s">
        <v>42</v>
      </c>
      <c r="D2783">
        <v>1</v>
      </c>
      <c r="E2783">
        <v>15999.93</v>
      </c>
      <c r="F2783" t="s">
        <v>16</v>
      </c>
      <c r="G2783" t="s">
        <v>43</v>
      </c>
      <c r="H2783" t="s">
        <v>47</v>
      </c>
      <c r="I2783" t="s">
        <v>65</v>
      </c>
      <c r="J2783" t="s">
        <v>26</v>
      </c>
      <c r="K2783" t="s">
        <v>66</v>
      </c>
      <c r="L2783" t="s">
        <v>22</v>
      </c>
      <c r="M2783">
        <v>15999.93</v>
      </c>
      <c r="N2783">
        <v>2020</v>
      </c>
      <c r="O2783">
        <v>6</v>
      </c>
    </row>
    <row r="2784" spans="1:15" x14ac:dyDescent="0.3">
      <c r="A2784" s="1">
        <v>43999</v>
      </c>
      <c r="B2784">
        <v>1000015253</v>
      </c>
      <c r="C2784" t="s">
        <v>42</v>
      </c>
      <c r="D2784">
        <v>1</v>
      </c>
      <c r="E2784">
        <v>3000.33</v>
      </c>
      <c r="F2784" t="s">
        <v>16</v>
      </c>
      <c r="G2784" t="s">
        <v>43</v>
      </c>
      <c r="H2784" t="s">
        <v>30</v>
      </c>
      <c r="I2784" t="s">
        <v>31</v>
      </c>
      <c r="J2784" t="s">
        <v>26</v>
      </c>
      <c r="K2784" t="s">
        <v>69</v>
      </c>
      <c r="L2784" t="s">
        <v>22</v>
      </c>
      <c r="M2784">
        <v>3000.33</v>
      </c>
      <c r="N2784">
        <v>2020</v>
      </c>
      <c r="O2784">
        <v>6</v>
      </c>
    </row>
    <row r="2785" spans="1:15" x14ac:dyDescent="0.3">
      <c r="A2785" s="1">
        <v>44000</v>
      </c>
      <c r="B2785">
        <v>1000000029</v>
      </c>
      <c r="C2785" t="s">
        <v>23</v>
      </c>
      <c r="D2785">
        <v>2</v>
      </c>
      <c r="E2785">
        <v>2550.85</v>
      </c>
      <c r="F2785" t="s">
        <v>16</v>
      </c>
      <c r="G2785" t="s">
        <v>24</v>
      </c>
      <c r="H2785" t="s">
        <v>18</v>
      </c>
      <c r="I2785" t="s">
        <v>19</v>
      </c>
      <c r="J2785" t="s">
        <v>20</v>
      </c>
      <c r="K2785" t="s">
        <v>21</v>
      </c>
      <c r="L2785" t="s">
        <v>22</v>
      </c>
      <c r="M2785">
        <v>1275.425</v>
      </c>
      <c r="N2785">
        <v>2020</v>
      </c>
      <c r="O2785">
        <v>6</v>
      </c>
    </row>
    <row r="2786" spans="1:15" x14ac:dyDescent="0.3">
      <c r="A2786" s="1">
        <v>44000</v>
      </c>
      <c r="B2786">
        <v>1000000029</v>
      </c>
      <c r="C2786" t="s">
        <v>15</v>
      </c>
      <c r="D2786">
        <v>1</v>
      </c>
      <c r="E2786">
        <v>1800.59</v>
      </c>
      <c r="F2786" t="s">
        <v>16</v>
      </c>
      <c r="G2786" t="s">
        <v>17</v>
      </c>
      <c r="H2786" t="s">
        <v>18</v>
      </c>
      <c r="I2786" t="s">
        <v>19</v>
      </c>
      <c r="J2786" t="s">
        <v>20</v>
      </c>
      <c r="K2786" t="s">
        <v>21</v>
      </c>
      <c r="L2786" t="s">
        <v>22</v>
      </c>
      <c r="M2786">
        <v>1800.59</v>
      </c>
      <c r="N2786">
        <v>2020</v>
      </c>
      <c r="O2786">
        <v>6</v>
      </c>
    </row>
    <row r="2787" spans="1:15" x14ac:dyDescent="0.3">
      <c r="A2787" s="1">
        <v>44000</v>
      </c>
      <c r="B2787">
        <v>1000000029</v>
      </c>
      <c r="C2787" t="s">
        <v>42</v>
      </c>
      <c r="D2787">
        <v>2</v>
      </c>
      <c r="E2787">
        <v>5501.3700000000008</v>
      </c>
      <c r="F2787" t="s">
        <v>16</v>
      </c>
      <c r="G2787" t="s">
        <v>43</v>
      </c>
      <c r="H2787" t="s">
        <v>18</v>
      </c>
      <c r="I2787" t="s">
        <v>19</v>
      </c>
      <c r="J2787" t="s">
        <v>20</v>
      </c>
      <c r="K2787" t="s">
        <v>21</v>
      </c>
      <c r="L2787" t="s">
        <v>22</v>
      </c>
      <c r="M2787">
        <v>2750.6850000000004</v>
      </c>
      <c r="N2787">
        <v>2020</v>
      </c>
      <c r="O2787">
        <v>6</v>
      </c>
    </row>
    <row r="2788" spans="1:15" x14ac:dyDescent="0.3">
      <c r="A2788" s="1">
        <v>44000</v>
      </c>
      <c r="B2788">
        <v>1000000030</v>
      </c>
      <c r="C2788" t="s">
        <v>23</v>
      </c>
      <c r="D2788">
        <v>1</v>
      </c>
      <c r="E2788">
        <v>9000.59</v>
      </c>
      <c r="F2788" t="s">
        <v>16</v>
      </c>
      <c r="G2788" t="s">
        <v>24</v>
      </c>
      <c r="H2788" t="s">
        <v>47</v>
      </c>
      <c r="I2788" t="s">
        <v>48</v>
      </c>
      <c r="J2788" t="s">
        <v>36</v>
      </c>
      <c r="K2788" t="s">
        <v>49</v>
      </c>
      <c r="L2788" t="s">
        <v>22</v>
      </c>
      <c r="M2788">
        <v>9000.59</v>
      </c>
      <c r="N2788">
        <v>2020</v>
      </c>
      <c r="O2788">
        <v>6</v>
      </c>
    </row>
    <row r="2789" spans="1:15" x14ac:dyDescent="0.3">
      <c r="A2789" s="1">
        <v>44000</v>
      </c>
      <c r="B2789">
        <v>1000000032</v>
      </c>
      <c r="C2789" t="s">
        <v>23</v>
      </c>
      <c r="D2789">
        <v>3</v>
      </c>
      <c r="E2789">
        <v>61001.279999999999</v>
      </c>
      <c r="F2789" t="s">
        <v>16</v>
      </c>
      <c r="G2789" t="s">
        <v>24</v>
      </c>
      <c r="H2789" t="s">
        <v>18</v>
      </c>
      <c r="I2789" t="s">
        <v>25</v>
      </c>
      <c r="J2789" t="s">
        <v>26</v>
      </c>
      <c r="K2789" t="s">
        <v>27</v>
      </c>
      <c r="L2789" t="s">
        <v>28</v>
      </c>
      <c r="M2789">
        <v>20333.759999999998</v>
      </c>
      <c r="N2789">
        <v>2020</v>
      </c>
      <c r="O2789">
        <v>6</v>
      </c>
    </row>
    <row r="2790" spans="1:15" x14ac:dyDescent="0.3">
      <c r="A2790" s="1">
        <v>44000</v>
      </c>
      <c r="B2790">
        <v>1000000033</v>
      </c>
      <c r="C2790" t="s">
        <v>42</v>
      </c>
      <c r="D2790">
        <v>2</v>
      </c>
      <c r="E2790">
        <v>7500.65</v>
      </c>
      <c r="F2790" t="s">
        <v>16</v>
      </c>
      <c r="G2790" t="s">
        <v>43</v>
      </c>
      <c r="H2790" t="s">
        <v>18</v>
      </c>
      <c r="I2790" t="s">
        <v>25</v>
      </c>
      <c r="J2790" t="s">
        <v>26</v>
      </c>
      <c r="K2790" t="s">
        <v>27</v>
      </c>
      <c r="L2790" t="s">
        <v>22</v>
      </c>
      <c r="M2790">
        <v>3750.3249999999998</v>
      </c>
      <c r="N2790">
        <v>2020</v>
      </c>
      <c r="O2790">
        <v>6</v>
      </c>
    </row>
    <row r="2791" spans="1:15" x14ac:dyDescent="0.3">
      <c r="A2791" s="1">
        <v>44000</v>
      </c>
      <c r="B2791">
        <v>1000000034</v>
      </c>
      <c r="C2791" t="s">
        <v>23</v>
      </c>
      <c r="D2791">
        <v>1</v>
      </c>
      <c r="E2791">
        <v>1516.73</v>
      </c>
      <c r="F2791" t="s">
        <v>16</v>
      </c>
      <c r="G2791" t="s">
        <v>24</v>
      </c>
      <c r="H2791" t="s">
        <v>18</v>
      </c>
      <c r="I2791" t="s">
        <v>25</v>
      </c>
      <c r="J2791" t="s">
        <v>26</v>
      </c>
      <c r="K2791" t="s">
        <v>27</v>
      </c>
      <c r="L2791" t="s">
        <v>22</v>
      </c>
      <c r="M2791">
        <v>1516.73</v>
      </c>
      <c r="N2791">
        <v>2020</v>
      </c>
      <c r="O2791">
        <v>6</v>
      </c>
    </row>
    <row r="2792" spans="1:15" x14ac:dyDescent="0.3">
      <c r="A2792" s="1">
        <v>44000</v>
      </c>
      <c r="B2792">
        <v>1000000036</v>
      </c>
      <c r="C2792" t="s">
        <v>23</v>
      </c>
      <c r="D2792">
        <v>2</v>
      </c>
      <c r="E2792">
        <v>16211.3</v>
      </c>
      <c r="F2792" t="s">
        <v>16</v>
      </c>
      <c r="G2792" t="s">
        <v>24</v>
      </c>
      <c r="H2792" t="s">
        <v>47</v>
      </c>
      <c r="I2792" t="s">
        <v>48</v>
      </c>
      <c r="J2792" t="s">
        <v>36</v>
      </c>
      <c r="K2792" t="s">
        <v>49</v>
      </c>
      <c r="L2792" t="s">
        <v>28</v>
      </c>
      <c r="M2792">
        <v>8105.65</v>
      </c>
      <c r="N2792">
        <v>2020</v>
      </c>
      <c r="O2792">
        <v>6</v>
      </c>
    </row>
    <row r="2793" spans="1:15" x14ac:dyDescent="0.3">
      <c r="A2793" s="1">
        <v>44000</v>
      </c>
      <c r="B2793">
        <v>1000000037</v>
      </c>
      <c r="C2793" t="s">
        <v>23</v>
      </c>
      <c r="D2793">
        <v>3</v>
      </c>
      <c r="E2793">
        <v>13001.41</v>
      </c>
      <c r="F2793" t="s">
        <v>16</v>
      </c>
      <c r="G2793" t="s">
        <v>24</v>
      </c>
      <c r="H2793" t="s">
        <v>18</v>
      </c>
      <c r="I2793" t="s">
        <v>19</v>
      </c>
      <c r="J2793" t="s">
        <v>20</v>
      </c>
      <c r="K2793" t="s">
        <v>21</v>
      </c>
      <c r="L2793" t="s">
        <v>22</v>
      </c>
      <c r="M2793">
        <v>4333.8033333333333</v>
      </c>
      <c r="N2793">
        <v>2020</v>
      </c>
      <c r="O2793">
        <v>6</v>
      </c>
    </row>
    <row r="2794" spans="1:15" x14ac:dyDescent="0.3">
      <c r="A2794" s="1">
        <v>44000</v>
      </c>
      <c r="B2794">
        <v>1000000039</v>
      </c>
      <c r="C2794" t="s">
        <v>23</v>
      </c>
      <c r="D2794">
        <v>2</v>
      </c>
      <c r="E2794">
        <v>20000.47</v>
      </c>
      <c r="F2794" t="s">
        <v>16</v>
      </c>
      <c r="G2794" t="s">
        <v>24</v>
      </c>
      <c r="H2794" t="s">
        <v>18</v>
      </c>
      <c r="I2794" t="s">
        <v>25</v>
      </c>
      <c r="J2794" t="s">
        <v>20</v>
      </c>
      <c r="K2794" t="s">
        <v>51</v>
      </c>
      <c r="L2794" t="s">
        <v>28</v>
      </c>
      <c r="M2794">
        <v>10000.235000000001</v>
      </c>
      <c r="N2794">
        <v>2020</v>
      </c>
      <c r="O2794">
        <v>6</v>
      </c>
    </row>
    <row r="2795" spans="1:15" x14ac:dyDescent="0.3">
      <c r="A2795" s="1">
        <v>44000</v>
      </c>
      <c r="B2795">
        <v>1000000039</v>
      </c>
      <c r="C2795" t="s">
        <v>15</v>
      </c>
      <c r="D2795">
        <v>1</v>
      </c>
      <c r="E2795">
        <v>2999.95</v>
      </c>
      <c r="F2795" t="s">
        <v>16</v>
      </c>
      <c r="G2795" t="s">
        <v>17</v>
      </c>
      <c r="H2795" t="s">
        <v>18</v>
      </c>
      <c r="I2795" t="s">
        <v>25</v>
      </c>
      <c r="J2795" t="s">
        <v>20</v>
      </c>
      <c r="K2795" t="s">
        <v>51</v>
      </c>
      <c r="L2795" t="s">
        <v>28</v>
      </c>
      <c r="M2795">
        <v>2999.95</v>
      </c>
      <c r="N2795">
        <v>2020</v>
      </c>
      <c r="O2795">
        <v>6</v>
      </c>
    </row>
    <row r="2796" spans="1:15" x14ac:dyDescent="0.3">
      <c r="A2796" s="1">
        <v>44000</v>
      </c>
      <c r="B2796">
        <v>1000000040</v>
      </c>
      <c r="C2796" t="s">
        <v>23</v>
      </c>
      <c r="D2796">
        <v>1</v>
      </c>
      <c r="E2796">
        <v>11000.46</v>
      </c>
      <c r="F2796" t="s">
        <v>16</v>
      </c>
      <c r="G2796" t="s">
        <v>24</v>
      </c>
      <c r="H2796" t="s">
        <v>30</v>
      </c>
      <c r="I2796" t="s">
        <v>31</v>
      </c>
      <c r="J2796" t="s">
        <v>32</v>
      </c>
      <c r="K2796" t="s">
        <v>33</v>
      </c>
      <c r="L2796" t="s">
        <v>28</v>
      </c>
      <c r="M2796">
        <v>11000.46</v>
      </c>
      <c r="N2796">
        <v>2020</v>
      </c>
      <c r="O2796">
        <v>6</v>
      </c>
    </row>
    <row r="2797" spans="1:15" x14ac:dyDescent="0.3">
      <c r="A2797" s="1">
        <v>44000</v>
      </c>
      <c r="B2797">
        <v>1000000040</v>
      </c>
      <c r="C2797" t="s">
        <v>15</v>
      </c>
      <c r="D2797">
        <v>1</v>
      </c>
      <c r="E2797">
        <v>9000.24</v>
      </c>
      <c r="F2797" t="s">
        <v>16</v>
      </c>
      <c r="G2797" t="s">
        <v>17</v>
      </c>
      <c r="H2797" t="s">
        <v>30</v>
      </c>
      <c r="I2797" t="s">
        <v>31</v>
      </c>
      <c r="J2797" t="s">
        <v>32</v>
      </c>
      <c r="K2797" t="s">
        <v>33</v>
      </c>
      <c r="L2797" t="s">
        <v>28</v>
      </c>
      <c r="M2797">
        <v>9000.24</v>
      </c>
      <c r="N2797">
        <v>2020</v>
      </c>
      <c r="O2797">
        <v>6</v>
      </c>
    </row>
    <row r="2798" spans="1:15" x14ac:dyDescent="0.3">
      <c r="A2798" s="1">
        <v>44000</v>
      </c>
      <c r="B2798">
        <v>1000000041</v>
      </c>
      <c r="C2798" t="s">
        <v>23</v>
      </c>
      <c r="D2798">
        <v>1</v>
      </c>
      <c r="E2798">
        <v>4000.64</v>
      </c>
      <c r="F2798" t="s">
        <v>16</v>
      </c>
      <c r="G2798" t="s">
        <v>24</v>
      </c>
      <c r="H2798" t="s">
        <v>30</v>
      </c>
      <c r="I2798" t="s">
        <v>31</v>
      </c>
      <c r="J2798" t="s">
        <v>32</v>
      </c>
      <c r="K2798" t="s">
        <v>33</v>
      </c>
      <c r="L2798" t="s">
        <v>22</v>
      </c>
      <c r="M2798">
        <v>4000.64</v>
      </c>
      <c r="N2798">
        <v>2020</v>
      </c>
      <c r="O2798">
        <v>6</v>
      </c>
    </row>
    <row r="2799" spans="1:15" x14ac:dyDescent="0.3">
      <c r="A2799" s="1">
        <v>44000</v>
      </c>
      <c r="B2799">
        <v>1000000043</v>
      </c>
      <c r="C2799" t="s">
        <v>23</v>
      </c>
      <c r="D2799">
        <v>1</v>
      </c>
      <c r="E2799">
        <v>10000.549999999999</v>
      </c>
      <c r="F2799" t="s">
        <v>16</v>
      </c>
      <c r="G2799" t="s">
        <v>24</v>
      </c>
      <c r="H2799" t="s">
        <v>30</v>
      </c>
      <c r="I2799" t="s">
        <v>38</v>
      </c>
      <c r="J2799" t="s">
        <v>26</v>
      </c>
      <c r="K2799" t="s">
        <v>39</v>
      </c>
      <c r="L2799" t="s">
        <v>22</v>
      </c>
      <c r="M2799">
        <v>10000.549999999999</v>
      </c>
      <c r="N2799">
        <v>2020</v>
      </c>
      <c r="O2799">
        <v>6</v>
      </c>
    </row>
    <row r="2800" spans="1:15" x14ac:dyDescent="0.3">
      <c r="A2800" s="1">
        <v>44000</v>
      </c>
      <c r="B2800">
        <v>1000000044</v>
      </c>
      <c r="C2800" t="s">
        <v>23</v>
      </c>
      <c r="D2800">
        <v>1</v>
      </c>
      <c r="E2800">
        <v>4294.3900000000003</v>
      </c>
      <c r="F2800" t="s">
        <v>16</v>
      </c>
      <c r="G2800" t="s">
        <v>24</v>
      </c>
      <c r="H2800" t="s">
        <v>30</v>
      </c>
      <c r="I2800" t="s">
        <v>31</v>
      </c>
      <c r="J2800" t="s">
        <v>36</v>
      </c>
      <c r="K2800" t="s">
        <v>52</v>
      </c>
      <c r="L2800" t="s">
        <v>28</v>
      </c>
      <c r="M2800">
        <v>4294.3900000000003</v>
      </c>
      <c r="N2800">
        <v>2020</v>
      </c>
      <c r="O2800">
        <v>6</v>
      </c>
    </row>
    <row r="2801" spans="1:15" x14ac:dyDescent="0.3">
      <c r="A2801" s="1">
        <v>44000</v>
      </c>
      <c r="B2801">
        <v>1000000045</v>
      </c>
      <c r="C2801" t="s">
        <v>23</v>
      </c>
      <c r="D2801">
        <v>1</v>
      </c>
      <c r="E2801">
        <v>2000.49</v>
      </c>
      <c r="F2801" t="s">
        <v>16</v>
      </c>
      <c r="G2801" t="s">
        <v>24</v>
      </c>
      <c r="H2801" t="s">
        <v>47</v>
      </c>
      <c r="I2801" t="s">
        <v>59</v>
      </c>
      <c r="J2801" t="s">
        <v>26</v>
      </c>
      <c r="K2801" t="s">
        <v>60</v>
      </c>
      <c r="L2801" t="s">
        <v>22</v>
      </c>
      <c r="M2801">
        <v>2000.49</v>
      </c>
      <c r="N2801">
        <v>2020</v>
      </c>
      <c r="O2801">
        <v>6</v>
      </c>
    </row>
    <row r="2802" spans="1:15" x14ac:dyDescent="0.3">
      <c r="A2802" s="1">
        <v>44000</v>
      </c>
      <c r="B2802">
        <v>1000000045</v>
      </c>
      <c r="C2802" t="s">
        <v>42</v>
      </c>
      <c r="D2802">
        <v>1</v>
      </c>
      <c r="E2802">
        <v>938.35</v>
      </c>
      <c r="F2802" t="s">
        <v>16</v>
      </c>
      <c r="G2802" t="s">
        <v>43</v>
      </c>
      <c r="H2802" t="s">
        <v>47</v>
      </c>
      <c r="I2802" t="s">
        <v>59</v>
      </c>
      <c r="J2802" t="s">
        <v>26</v>
      </c>
      <c r="K2802" t="s">
        <v>60</v>
      </c>
      <c r="L2802" t="s">
        <v>22</v>
      </c>
      <c r="M2802">
        <v>938.35</v>
      </c>
      <c r="N2802">
        <v>2020</v>
      </c>
      <c r="O2802">
        <v>6</v>
      </c>
    </row>
    <row r="2803" spans="1:15" x14ac:dyDescent="0.3">
      <c r="A2803" s="1">
        <v>44000</v>
      </c>
      <c r="B2803">
        <v>1000000046</v>
      </c>
      <c r="C2803" t="s">
        <v>23</v>
      </c>
      <c r="D2803">
        <v>1</v>
      </c>
      <c r="E2803">
        <v>500.28</v>
      </c>
      <c r="F2803" t="s">
        <v>16</v>
      </c>
      <c r="G2803" t="s">
        <v>24</v>
      </c>
      <c r="H2803" t="s">
        <v>30</v>
      </c>
      <c r="I2803" t="s">
        <v>38</v>
      </c>
      <c r="J2803" t="s">
        <v>26</v>
      </c>
      <c r="K2803" t="s">
        <v>39</v>
      </c>
      <c r="L2803" t="s">
        <v>22</v>
      </c>
      <c r="M2803">
        <v>500.28</v>
      </c>
      <c r="N2803">
        <v>2020</v>
      </c>
      <c r="O2803">
        <v>6</v>
      </c>
    </row>
    <row r="2804" spans="1:15" x14ac:dyDescent="0.3">
      <c r="A2804" s="1">
        <v>44000</v>
      </c>
      <c r="B2804">
        <v>1000000046</v>
      </c>
      <c r="C2804" t="s">
        <v>42</v>
      </c>
      <c r="D2804">
        <v>1</v>
      </c>
      <c r="E2804">
        <v>710.68</v>
      </c>
      <c r="F2804" t="s">
        <v>16</v>
      </c>
      <c r="G2804" t="s">
        <v>43</v>
      </c>
      <c r="H2804" t="s">
        <v>30</v>
      </c>
      <c r="I2804" t="s">
        <v>38</v>
      </c>
      <c r="J2804" t="s">
        <v>26</v>
      </c>
      <c r="K2804" t="s">
        <v>39</v>
      </c>
      <c r="L2804" t="s">
        <v>22</v>
      </c>
      <c r="M2804">
        <v>710.68</v>
      </c>
      <c r="N2804">
        <v>2020</v>
      </c>
      <c r="O2804">
        <v>6</v>
      </c>
    </row>
    <row r="2805" spans="1:15" x14ac:dyDescent="0.3">
      <c r="A2805" s="1">
        <v>44000</v>
      </c>
      <c r="B2805">
        <v>1000000050</v>
      </c>
      <c r="C2805" t="s">
        <v>23</v>
      </c>
      <c r="D2805">
        <v>1</v>
      </c>
      <c r="E2805">
        <v>1000.69</v>
      </c>
      <c r="F2805" t="s">
        <v>16</v>
      </c>
      <c r="G2805" t="s">
        <v>24</v>
      </c>
      <c r="H2805" t="s">
        <v>18</v>
      </c>
      <c r="I2805" t="s">
        <v>40</v>
      </c>
      <c r="J2805" t="s">
        <v>26</v>
      </c>
      <c r="K2805" t="s">
        <v>41</v>
      </c>
      <c r="L2805" t="s">
        <v>22</v>
      </c>
      <c r="M2805">
        <v>1000.69</v>
      </c>
      <c r="N2805">
        <v>2020</v>
      </c>
      <c r="O2805">
        <v>6</v>
      </c>
    </row>
    <row r="2806" spans="1:15" x14ac:dyDescent="0.3">
      <c r="A2806" s="1">
        <v>44000</v>
      </c>
      <c r="B2806">
        <v>1000000050</v>
      </c>
      <c r="C2806" t="s">
        <v>42</v>
      </c>
      <c r="D2806">
        <v>1</v>
      </c>
      <c r="E2806">
        <v>18000.240000000002</v>
      </c>
      <c r="F2806" t="s">
        <v>16</v>
      </c>
      <c r="G2806" t="s">
        <v>43</v>
      </c>
      <c r="H2806" t="s">
        <v>18</v>
      </c>
      <c r="I2806" t="s">
        <v>40</v>
      </c>
      <c r="J2806" t="s">
        <v>26</v>
      </c>
      <c r="K2806" t="s">
        <v>41</v>
      </c>
      <c r="L2806" t="s">
        <v>22</v>
      </c>
      <c r="M2806">
        <v>18000.240000000002</v>
      </c>
      <c r="N2806">
        <v>2020</v>
      </c>
      <c r="O2806">
        <v>6</v>
      </c>
    </row>
    <row r="2807" spans="1:15" x14ac:dyDescent="0.3">
      <c r="A2807" s="1">
        <v>44000</v>
      </c>
      <c r="B2807">
        <v>1000000067</v>
      </c>
      <c r="C2807" t="s">
        <v>23</v>
      </c>
      <c r="D2807">
        <v>2</v>
      </c>
      <c r="E2807">
        <v>7000.49</v>
      </c>
      <c r="F2807" t="s">
        <v>16</v>
      </c>
      <c r="G2807" t="s">
        <v>24</v>
      </c>
      <c r="H2807" t="s">
        <v>18</v>
      </c>
      <c r="I2807" t="s">
        <v>25</v>
      </c>
      <c r="J2807" t="s">
        <v>20</v>
      </c>
      <c r="K2807" t="s">
        <v>51</v>
      </c>
      <c r="L2807" t="s">
        <v>22</v>
      </c>
      <c r="M2807">
        <v>3500.2449999999999</v>
      </c>
      <c r="N2807">
        <v>2020</v>
      </c>
      <c r="O2807">
        <v>6</v>
      </c>
    </row>
    <row r="2808" spans="1:15" x14ac:dyDescent="0.3">
      <c r="A2808" s="1">
        <v>44000</v>
      </c>
      <c r="B2808">
        <v>1000000067</v>
      </c>
      <c r="C2808" t="s">
        <v>15</v>
      </c>
      <c r="D2808">
        <v>2</v>
      </c>
      <c r="E2808">
        <v>42000.270000000004</v>
      </c>
      <c r="F2808" t="s">
        <v>16</v>
      </c>
      <c r="G2808" t="s">
        <v>17</v>
      </c>
      <c r="H2808" t="s">
        <v>18</v>
      </c>
      <c r="I2808" t="s">
        <v>25</v>
      </c>
      <c r="J2808" t="s">
        <v>20</v>
      </c>
      <c r="K2808" t="s">
        <v>51</v>
      </c>
      <c r="L2808" t="s">
        <v>22</v>
      </c>
      <c r="M2808">
        <v>21000.135000000002</v>
      </c>
      <c r="N2808">
        <v>2020</v>
      </c>
      <c r="O2808">
        <v>6</v>
      </c>
    </row>
    <row r="2809" spans="1:15" x14ac:dyDescent="0.3">
      <c r="A2809" s="1">
        <v>44000</v>
      </c>
      <c r="B2809">
        <v>1000000068</v>
      </c>
      <c r="C2809" t="s">
        <v>15</v>
      </c>
      <c r="D2809">
        <v>1</v>
      </c>
      <c r="E2809">
        <v>10999.99</v>
      </c>
      <c r="F2809" t="s">
        <v>16</v>
      </c>
      <c r="G2809" t="s">
        <v>17</v>
      </c>
      <c r="H2809" t="s">
        <v>30</v>
      </c>
      <c r="I2809" t="s">
        <v>55</v>
      </c>
      <c r="J2809" t="s">
        <v>26</v>
      </c>
      <c r="K2809" t="s">
        <v>56</v>
      </c>
      <c r="L2809" t="s">
        <v>28</v>
      </c>
      <c r="M2809">
        <v>10999.99</v>
      </c>
      <c r="N2809">
        <v>2020</v>
      </c>
      <c r="O2809">
        <v>6</v>
      </c>
    </row>
    <row r="2810" spans="1:15" x14ac:dyDescent="0.3">
      <c r="A2810" s="1">
        <v>44000</v>
      </c>
      <c r="B2810">
        <v>1000000237</v>
      </c>
      <c r="C2810" t="s">
        <v>42</v>
      </c>
      <c r="D2810">
        <v>2</v>
      </c>
      <c r="E2810">
        <v>20725.75</v>
      </c>
      <c r="F2810" t="s">
        <v>16</v>
      </c>
      <c r="G2810" t="s">
        <v>43</v>
      </c>
      <c r="H2810" t="s">
        <v>18</v>
      </c>
      <c r="I2810" t="s">
        <v>40</v>
      </c>
      <c r="J2810" t="s">
        <v>26</v>
      </c>
      <c r="K2810" t="s">
        <v>41</v>
      </c>
      <c r="L2810" t="s">
        <v>22</v>
      </c>
      <c r="M2810">
        <v>10362.875</v>
      </c>
      <c r="N2810">
        <v>2020</v>
      </c>
      <c r="O2810">
        <v>6</v>
      </c>
    </row>
    <row r="2811" spans="1:15" x14ac:dyDescent="0.3">
      <c r="A2811" s="1">
        <v>44000</v>
      </c>
      <c r="B2811">
        <v>1000000566</v>
      </c>
      <c r="C2811" t="s">
        <v>23</v>
      </c>
      <c r="D2811">
        <v>2</v>
      </c>
      <c r="E2811">
        <v>7000.4500000000007</v>
      </c>
      <c r="F2811" t="s">
        <v>16</v>
      </c>
      <c r="G2811" t="s">
        <v>24</v>
      </c>
      <c r="H2811" t="s">
        <v>47</v>
      </c>
      <c r="I2811" t="s">
        <v>48</v>
      </c>
      <c r="J2811" t="s">
        <v>36</v>
      </c>
      <c r="K2811" t="s">
        <v>49</v>
      </c>
      <c r="L2811" t="s">
        <v>22</v>
      </c>
      <c r="M2811">
        <v>3500.2250000000004</v>
      </c>
      <c r="N2811">
        <v>2020</v>
      </c>
      <c r="O2811">
        <v>6</v>
      </c>
    </row>
    <row r="2812" spans="1:15" x14ac:dyDescent="0.3">
      <c r="A2812" s="1">
        <v>44000</v>
      </c>
      <c r="B2812">
        <v>1000000566</v>
      </c>
      <c r="C2812" t="s">
        <v>15</v>
      </c>
      <c r="D2812">
        <v>1</v>
      </c>
      <c r="E2812">
        <v>5000.6899999999996</v>
      </c>
      <c r="F2812" t="s">
        <v>16</v>
      </c>
      <c r="G2812" t="s">
        <v>17</v>
      </c>
      <c r="H2812" t="s">
        <v>47</v>
      </c>
      <c r="I2812" t="s">
        <v>48</v>
      </c>
      <c r="J2812" t="s">
        <v>36</v>
      </c>
      <c r="K2812" t="s">
        <v>49</v>
      </c>
      <c r="L2812" t="s">
        <v>22</v>
      </c>
      <c r="M2812">
        <v>5000.6899999999996</v>
      </c>
      <c r="N2812">
        <v>2020</v>
      </c>
      <c r="O2812">
        <v>6</v>
      </c>
    </row>
    <row r="2813" spans="1:15" x14ac:dyDescent="0.3">
      <c r="A2813" s="1">
        <v>44000</v>
      </c>
      <c r="B2813">
        <v>1000000576</v>
      </c>
      <c r="C2813" t="s">
        <v>15</v>
      </c>
      <c r="D2813">
        <v>1</v>
      </c>
      <c r="E2813">
        <v>538.48</v>
      </c>
      <c r="F2813" t="s">
        <v>16</v>
      </c>
      <c r="G2813" t="s">
        <v>17</v>
      </c>
      <c r="H2813" t="s">
        <v>18</v>
      </c>
      <c r="I2813" t="s">
        <v>25</v>
      </c>
      <c r="J2813" t="s">
        <v>36</v>
      </c>
      <c r="K2813" t="s">
        <v>37</v>
      </c>
      <c r="L2813" t="s">
        <v>22</v>
      </c>
      <c r="M2813">
        <v>538.48</v>
      </c>
      <c r="N2813">
        <v>2020</v>
      </c>
      <c r="O2813">
        <v>6</v>
      </c>
    </row>
    <row r="2814" spans="1:15" x14ac:dyDescent="0.3">
      <c r="A2814" s="1">
        <v>44000</v>
      </c>
      <c r="B2814">
        <v>1000000576</v>
      </c>
      <c r="C2814" t="s">
        <v>42</v>
      </c>
      <c r="D2814">
        <v>1</v>
      </c>
      <c r="E2814">
        <v>500.1</v>
      </c>
      <c r="F2814" t="s">
        <v>16</v>
      </c>
      <c r="G2814" t="s">
        <v>43</v>
      </c>
      <c r="H2814" t="s">
        <v>18</v>
      </c>
      <c r="I2814" t="s">
        <v>25</v>
      </c>
      <c r="J2814" t="s">
        <v>36</v>
      </c>
      <c r="K2814" t="s">
        <v>37</v>
      </c>
      <c r="L2814" t="s">
        <v>22</v>
      </c>
      <c r="M2814">
        <v>500.1</v>
      </c>
      <c r="N2814">
        <v>2020</v>
      </c>
      <c r="O2814">
        <v>6</v>
      </c>
    </row>
    <row r="2815" spans="1:15" x14ac:dyDescent="0.3">
      <c r="A2815" s="1">
        <v>44000</v>
      </c>
      <c r="B2815">
        <v>1000000594</v>
      </c>
      <c r="C2815" t="s">
        <v>15</v>
      </c>
      <c r="D2815">
        <v>2</v>
      </c>
      <c r="E2815">
        <v>37000.559999999998</v>
      </c>
      <c r="F2815" t="s">
        <v>16</v>
      </c>
      <c r="G2815" t="s">
        <v>17</v>
      </c>
      <c r="H2815" t="s">
        <v>18</v>
      </c>
      <c r="I2815" t="s">
        <v>25</v>
      </c>
      <c r="J2815" t="s">
        <v>20</v>
      </c>
      <c r="K2815" t="s">
        <v>51</v>
      </c>
      <c r="L2815" t="s">
        <v>22</v>
      </c>
      <c r="M2815">
        <v>18500.28</v>
      </c>
      <c r="N2815">
        <v>2020</v>
      </c>
      <c r="O2815">
        <v>6</v>
      </c>
    </row>
    <row r="2816" spans="1:15" x14ac:dyDescent="0.3">
      <c r="A2816" s="1">
        <v>44000</v>
      </c>
      <c r="B2816">
        <v>1000000928</v>
      </c>
      <c r="C2816" t="s">
        <v>15</v>
      </c>
      <c r="D2816">
        <v>3</v>
      </c>
      <c r="E2816">
        <v>41001.019999999997</v>
      </c>
      <c r="F2816" t="s">
        <v>16</v>
      </c>
      <c r="G2816" t="s">
        <v>17</v>
      </c>
      <c r="H2816" t="s">
        <v>30</v>
      </c>
      <c r="I2816" t="s">
        <v>57</v>
      </c>
      <c r="J2816" t="s">
        <v>26</v>
      </c>
      <c r="K2816" t="s">
        <v>58</v>
      </c>
      <c r="L2816" t="s">
        <v>22</v>
      </c>
      <c r="M2816">
        <v>13667.006666666666</v>
      </c>
      <c r="N2816">
        <v>2020</v>
      </c>
      <c r="O2816">
        <v>6</v>
      </c>
    </row>
    <row r="2817" spans="1:15" x14ac:dyDescent="0.3">
      <c r="A2817" s="1">
        <v>44000</v>
      </c>
      <c r="B2817">
        <v>1000001524</v>
      </c>
      <c r="C2817" t="s">
        <v>23</v>
      </c>
      <c r="D2817">
        <v>1</v>
      </c>
      <c r="E2817">
        <v>7000.45</v>
      </c>
      <c r="F2817" t="s">
        <v>16</v>
      </c>
      <c r="G2817" t="s">
        <v>24</v>
      </c>
      <c r="H2817" t="s">
        <v>18</v>
      </c>
      <c r="I2817" t="s">
        <v>25</v>
      </c>
      <c r="J2817" t="s">
        <v>20</v>
      </c>
      <c r="K2817" t="s">
        <v>51</v>
      </c>
      <c r="L2817" t="s">
        <v>22</v>
      </c>
      <c r="M2817">
        <v>7000.45</v>
      </c>
      <c r="N2817">
        <v>2020</v>
      </c>
      <c r="O2817">
        <v>6</v>
      </c>
    </row>
    <row r="2818" spans="1:15" x14ac:dyDescent="0.3">
      <c r="A2818" s="1">
        <v>44000</v>
      </c>
      <c r="B2818">
        <v>1000001524</v>
      </c>
      <c r="C2818" t="s">
        <v>15</v>
      </c>
      <c r="D2818">
        <v>2</v>
      </c>
      <c r="E2818">
        <v>19000.71</v>
      </c>
      <c r="F2818" t="s">
        <v>16</v>
      </c>
      <c r="G2818" t="s">
        <v>17</v>
      </c>
      <c r="H2818" t="s">
        <v>18</v>
      </c>
      <c r="I2818" t="s">
        <v>25</v>
      </c>
      <c r="J2818" t="s">
        <v>20</v>
      </c>
      <c r="K2818" t="s">
        <v>51</v>
      </c>
      <c r="L2818" t="s">
        <v>22</v>
      </c>
      <c r="M2818">
        <v>9500.3549999999996</v>
      </c>
      <c r="N2818">
        <v>2020</v>
      </c>
      <c r="O2818">
        <v>6</v>
      </c>
    </row>
    <row r="2819" spans="1:15" x14ac:dyDescent="0.3">
      <c r="A2819" s="1">
        <v>44000</v>
      </c>
      <c r="B2819">
        <v>1000003489</v>
      </c>
      <c r="C2819" t="s">
        <v>23</v>
      </c>
      <c r="D2819">
        <v>1</v>
      </c>
      <c r="E2819">
        <v>20000.629999999997</v>
      </c>
      <c r="F2819" t="s">
        <v>16</v>
      </c>
      <c r="G2819" t="s">
        <v>24</v>
      </c>
      <c r="H2819" t="s">
        <v>47</v>
      </c>
      <c r="I2819" t="s">
        <v>48</v>
      </c>
      <c r="J2819" t="s">
        <v>26</v>
      </c>
      <c r="K2819" t="s">
        <v>50</v>
      </c>
      <c r="L2819" t="s">
        <v>22</v>
      </c>
      <c r="M2819">
        <v>20000.629999999997</v>
      </c>
      <c r="N2819">
        <v>2020</v>
      </c>
      <c r="O2819">
        <v>6</v>
      </c>
    </row>
    <row r="2820" spans="1:15" x14ac:dyDescent="0.3">
      <c r="A2820" s="1">
        <v>44000</v>
      </c>
      <c r="B2820">
        <v>1000003489</v>
      </c>
      <c r="C2820" t="s">
        <v>15</v>
      </c>
      <c r="D2820">
        <v>1</v>
      </c>
      <c r="E2820">
        <v>8000.21</v>
      </c>
      <c r="F2820" t="s">
        <v>16</v>
      </c>
      <c r="G2820" t="s">
        <v>17</v>
      </c>
      <c r="H2820" t="s">
        <v>47</v>
      </c>
      <c r="I2820" t="s">
        <v>48</v>
      </c>
      <c r="J2820" t="s">
        <v>26</v>
      </c>
      <c r="K2820" t="s">
        <v>50</v>
      </c>
      <c r="L2820" t="s">
        <v>22</v>
      </c>
      <c r="M2820">
        <v>8000.21</v>
      </c>
      <c r="N2820">
        <v>2020</v>
      </c>
      <c r="O2820">
        <v>6</v>
      </c>
    </row>
    <row r="2821" spans="1:15" x14ac:dyDescent="0.3">
      <c r="A2821" s="1">
        <v>44000</v>
      </c>
      <c r="B2821">
        <v>1000003803</v>
      </c>
      <c r="C2821" t="s">
        <v>42</v>
      </c>
      <c r="D2821">
        <v>1</v>
      </c>
      <c r="E2821">
        <v>2000.03</v>
      </c>
      <c r="F2821" t="s">
        <v>16</v>
      </c>
      <c r="G2821" t="s">
        <v>43</v>
      </c>
      <c r="H2821" t="s">
        <v>30</v>
      </c>
      <c r="I2821" t="s">
        <v>31</v>
      </c>
      <c r="J2821" t="s">
        <v>36</v>
      </c>
      <c r="K2821" t="s">
        <v>52</v>
      </c>
      <c r="L2821" t="s">
        <v>22</v>
      </c>
      <c r="M2821">
        <v>2000.03</v>
      </c>
      <c r="N2821">
        <v>2020</v>
      </c>
      <c r="O2821">
        <v>6</v>
      </c>
    </row>
    <row r="2822" spans="1:15" x14ac:dyDescent="0.3">
      <c r="A2822" s="1">
        <v>44000</v>
      </c>
      <c r="B2822">
        <v>1000003926</v>
      </c>
      <c r="C2822" t="s">
        <v>23</v>
      </c>
      <c r="D2822">
        <v>3</v>
      </c>
      <c r="E2822">
        <v>33001.1</v>
      </c>
      <c r="F2822" t="s">
        <v>16</v>
      </c>
      <c r="G2822" t="s">
        <v>24</v>
      </c>
      <c r="H2822" t="s">
        <v>47</v>
      </c>
      <c r="I2822" t="s">
        <v>48</v>
      </c>
      <c r="J2822" t="s">
        <v>26</v>
      </c>
      <c r="K2822" t="s">
        <v>50</v>
      </c>
      <c r="L2822" t="s">
        <v>28</v>
      </c>
      <c r="M2822">
        <v>11000.366666666667</v>
      </c>
      <c r="N2822">
        <v>2020</v>
      </c>
      <c r="O2822">
        <v>6</v>
      </c>
    </row>
    <row r="2823" spans="1:15" x14ac:dyDescent="0.3">
      <c r="A2823" s="1">
        <v>44000</v>
      </c>
      <c r="B2823">
        <v>1000003989</v>
      </c>
      <c r="C2823" t="s">
        <v>15</v>
      </c>
      <c r="D2823">
        <v>1</v>
      </c>
      <c r="E2823">
        <v>15000.16</v>
      </c>
      <c r="F2823" t="s">
        <v>16</v>
      </c>
      <c r="G2823" t="s">
        <v>17</v>
      </c>
      <c r="H2823" t="s">
        <v>30</v>
      </c>
      <c r="I2823" t="s">
        <v>31</v>
      </c>
      <c r="J2823" t="s">
        <v>36</v>
      </c>
      <c r="K2823" t="s">
        <v>52</v>
      </c>
      <c r="L2823" t="s">
        <v>22</v>
      </c>
      <c r="M2823">
        <v>15000.16</v>
      </c>
      <c r="N2823">
        <v>2020</v>
      </c>
      <c r="O2823">
        <v>6</v>
      </c>
    </row>
    <row r="2824" spans="1:15" x14ac:dyDescent="0.3">
      <c r="A2824" s="1">
        <v>44000</v>
      </c>
      <c r="B2824">
        <v>1000004170</v>
      </c>
      <c r="C2824" t="s">
        <v>42</v>
      </c>
      <c r="D2824">
        <v>1</v>
      </c>
      <c r="E2824">
        <v>18000.29</v>
      </c>
      <c r="F2824" t="s">
        <v>16</v>
      </c>
      <c r="G2824" t="s">
        <v>43</v>
      </c>
      <c r="H2824" t="s">
        <v>18</v>
      </c>
      <c r="I2824" t="s">
        <v>34</v>
      </c>
      <c r="J2824" t="s">
        <v>20</v>
      </c>
      <c r="K2824" t="s">
        <v>44</v>
      </c>
      <c r="L2824" t="s">
        <v>28</v>
      </c>
      <c r="M2824">
        <v>18000.29</v>
      </c>
      <c r="N2824">
        <v>2020</v>
      </c>
      <c r="O2824">
        <v>6</v>
      </c>
    </row>
    <row r="2825" spans="1:15" x14ac:dyDescent="0.3">
      <c r="A2825" s="1">
        <v>44000</v>
      </c>
      <c r="B2825">
        <v>1000004256</v>
      </c>
      <c r="C2825" t="s">
        <v>15</v>
      </c>
      <c r="D2825">
        <v>2</v>
      </c>
      <c r="E2825">
        <v>16500.97</v>
      </c>
      <c r="F2825" t="s">
        <v>16</v>
      </c>
      <c r="G2825" t="s">
        <v>17</v>
      </c>
      <c r="H2825" t="s">
        <v>18</v>
      </c>
      <c r="I2825" t="s">
        <v>40</v>
      </c>
      <c r="J2825" t="s">
        <v>26</v>
      </c>
      <c r="K2825" t="s">
        <v>41</v>
      </c>
      <c r="L2825" t="s">
        <v>22</v>
      </c>
      <c r="M2825">
        <v>8250.4850000000006</v>
      </c>
      <c r="N2825">
        <v>2020</v>
      </c>
      <c r="O2825">
        <v>6</v>
      </c>
    </row>
    <row r="2826" spans="1:15" x14ac:dyDescent="0.3">
      <c r="A2826" s="1">
        <v>44000</v>
      </c>
      <c r="B2826">
        <v>1000004256</v>
      </c>
      <c r="C2826" t="s">
        <v>42</v>
      </c>
      <c r="D2826">
        <v>1</v>
      </c>
      <c r="E2826">
        <v>18000.060000000001</v>
      </c>
      <c r="F2826" t="s">
        <v>16</v>
      </c>
      <c r="G2826" t="s">
        <v>43</v>
      </c>
      <c r="H2826" t="s">
        <v>18</v>
      </c>
      <c r="I2826" t="s">
        <v>40</v>
      </c>
      <c r="J2826" t="s">
        <v>26</v>
      </c>
      <c r="K2826" t="s">
        <v>41</v>
      </c>
      <c r="L2826" t="s">
        <v>22</v>
      </c>
      <c r="M2826">
        <v>18000.060000000001</v>
      </c>
      <c r="N2826">
        <v>2020</v>
      </c>
      <c r="O2826">
        <v>6</v>
      </c>
    </row>
    <row r="2827" spans="1:15" x14ac:dyDescent="0.3">
      <c r="A2827" s="1">
        <v>44000</v>
      </c>
      <c r="B2827">
        <v>1000005873</v>
      </c>
      <c r="C2827" t="s">
        <v>15</v>
      </c>
      <c r="D2827">
        <v>2</v>
      </c>
      <c r="E2827">
        <v>27000.11</v>
      </c>
      <c r="F2827" t="s">
        <v>16</v>
      </c>
      <c r="G2827" t="s">
        <v>17</v>
      </c>
      <c r="H2827" t="s">
        <v>18</v>
      </c>
      <c r="I2827" t="s">
        <v>19</v>
      </c>
      <c r="J2827" t="s">
        <v>20</v>
      </c>
      <c r="K2827" t="s">
        <v>21</v>
      </c>
      <c r="L2827" t="s">
        <v>28</v>
      </c>
      <c r="M2827">
        <v>13500.055</v>
      </c>
      <c r="N2827">
        <v>2020</v>
      </c>
      <c r="O2827">
        <v>6</v>
      </c>
    </row>
    <row r="2828" spans="1:15" x14ac:dyDescent="0.3">
      <c r="A2828" s="1">
        <v>44000</v>
      </c>
      <c r="B2828">
        <v>1000006064</v>
      </c>
      <c r="C2828" t="s">
        <v>23</v>
      </c>
      <c r="D2828">
        <v>1</v>
      </c>
      <c r="E2828">
        <v>994.32</v>
      </c>
      <c r="F2828" t="s">
        <v>16</v>
      </c>
      <c r="G2828" t="s">
        <v>24</v>
      </c>
      <c r="H2828" t="s">
        <v>18</v>
      </c>
      <c r="I2828" t="s">
        <v>40</v>
      </c>
      <c r="J2828" t="s">
        <v>26</v>
      </c>
      <c r="K2828" t="s">
        <v>41</v>
      </c>
      <c r="L2828" t="s">
        <v>22</v>
      </c>
      <c r="M2828">
        <v>994.32</v>
      </c>
      <c r="N2828">
        <v>2020</v>
      </c>
      <c r="O2828">
        <v>6</v>
      </c>
    </row>
    <row r="2829" spans="1:15" x14ac:dyDescent="0.3">
      <c r="A2829" s="1">
        <v>44000</v>
      </c>
      <c r="B2829">
        <v>1000006064</v>
      </c>
      <c r="C2829" t="s">
        <v>15</v>
      </c>
      <c r="D2829">
        <v>1</v>
      </c>
      <c r="E2829">
        <v>6500.5</v>
      </c>
      <c r="F2829" t="s">
        <v>16</v>
      </c>
      <c r="G2829" t="s">
        <v>17</v>
      </c>
      <c r="H2829" t="s">
        <v>18</v>
      </c>
      <c r="I2829" t="s">
        <v>40</v>
      </c>
      <c r="J2829" t="s">
        <v>26</v>
      </c>
      <c r="K2829" t="s">
        <v>41</v>
      </c>
      <c r="L2829" t="s">
        <v>22</v>
      </c>
      <c r="M2829">
        <v>6500.5</v>
      </c>
      <c r="N2829">
        <v>2020</v>
      </c>
      <c r="O2829">
        <v>6</v>
      </c>
    </row>
    <row r="2830" spans="1:15" x14ac:dyDescent="0.3">
      <c r="A2830" s="1">
        <v>44000</v>
      </c>
      <c r="B2830">
        <v>1000006698</v>
      </c>
      <c r="C2830" t="s">
        <v>23</v>
      </c>
      <c r="D2830">
        <v>1</v>
      </c>
      <c r="E2830">
        <v>7499.97</v>
      </c>
      <c r="F2830" t="s">
        <v>16</v>
      </c>
      <c r="G2830" t="s">
        <v>24</v>
      </c>
      <c r="H2830" t="s">
        <v>30</v>
      </c>
      <c r="I2830" t="s">
        <v>38</v>
      </c>
      <c r="J2830" t="s">
        <v>26</v>
      </c>
      <c r="K2830" t="s">
        <v>39</v>
      </c>
      <c r="L2830" t="s">
        <v>28</v>
      </c>
      <c r="M2830">
        <v>7499.97</v>
      </c>
      <c r="N2830">
        <v>2020</v>
      </c>
      <c r="O2830">
        <v>6</v>
      </c>
    </row>
    <row r="2831" spans="1:15" x14ac:dyDescent="0.3">
      <c r="A2831" s="1">
        <v>44000</v>
      </c>
      <c r="B2831">
        <v>1000006859</v>
      </c>
      <c r="C2831" t="s">
        <v>23</v>
      </c>
      <c r="D2831">
        <v>1</v>
      </c>
      <c r="E2831">
        <v>5999.99</v>
      </c>
      <c r="F2831" t="s">
        <v>16</v>
      </c>
      <c r="G2831" t="s">
        <v>24</v>
      </c>
      <c r="H2831" t="s">
        <v>18</v>
      </c>
      <c r="I2831" t="s">
        <v>61</v>
      </c>
      <c r="J2831" t="s">
        <v>26</v>
      </c>
      <c r="K2831" t="s">
        <v>62</v>
      </c>
      <c r="L2831" t="s">
        <v>22</v>
      </c>
      <c r="M2831">
        <v>5999.99</v>
      </c>
      <c r="N2831">
        <v>2020</v>
      </c>
      <c r="O2831">
        <v>6</v>
      </c>
    </row>
    <row r="2832" spans="1:15" x14ac:dyDescent="0.3">
      <c r="A2832" s="1">
        <v>44000</v>
      </c>
      <c r="B2832">
        <v>1000006859</v>
      </c>
      <c r="C2832" t="s">
        <v>42</v>
      </c>
      <c r="D2832">
        <v>1</v>
      </c>
      <c r="E2832">
        <v>27000.66</v>
      </c>
      <c r="F2832" t="s">
        <v>16</v>
      </c>
      <c r="G2832" t="s">
        <v>43</v>
      </c>
      <c r="H2832" t="s">
        <v>18</v>
      </c>
      <c r="I2832" t="s">
        <v>61</v>
      </c>
      <c r="J2832" t="s">
        <v>26</v>
      </c>
      <c r="K2832" t="s">
        <v>62</v>
      </c>
      <c r="L2832" t="s">
        <v>22</v>
      </c>
      <c r="M2832">
        <v>27000.66</v>
      </c>
      <c r="N2832">
        <v>2020</v>
      </c>
      <c r="O2832">
        <v>6</v>
      </c>
    </row>
    <row r="2833" spans="1:15" x14ac:dyDescent="0.3">
      <c r="A2833" s="1">
        <v>44000</v>
      </c>
      <c r="B2833">
        <v>1000006867</v>
      </c>
      <c r="C2833" t="s">
        <v>23</v>
      </c>
      <c r="D2833">
        <v>1</v>
      </c>
      <c r="E2833">
        <v>20000.54</v>
      </c>
      <c r="F2833" t="s">
        <v>16</v>
      </c>
      <c r="G2833" t="s">
        <v>24</v>
      </c>
      <c r="H2833" t="s">
        <v>18</v>
      </c>
      <c r="I2833" t="s">
        <v>61</v>
      </c>
      <c r="J2833" t="s">
        <v>26</v>
      </c>
      <c r="K2833" t="s">
        <v>62</v>
      </c>
      <c r="L2833" t="s">
        <v>22</v>
      </c>
      <c r="M2833">
        <v>20000.54</v>
      </c>
      <c r="N2833">
        <v>2020</v>
      </c>
      <c r="O2833">
        <v>6</v>
      </c>
    </row>
    <row r="2834" spans="1:15" x14ac:dyDescent="0.3">
      <c r="A2834" s="1">
        <v>44000</v>
      </c>
      <c r="B2834">
        <v>1000006869</v>
      </c>
      <c r="C2834" t="s">
        <v>15</v>
      </c>
      <c r="D2834">
        <v>1</v>
      </c>
      <c r="E2834">
        <v>6000.24</v>
      </c>
      <c r="F2834" t="s">
        <v>16</v>
      </c>
      <c r="G2834" t="s">
        <v>17</v>
      </c>
      <c r="H2834" t="s">
        <v>18</v>
      </c>
      <c r="I2834" t="s">
        <v>61</v>
      </c>
      <c r="J2834" t="s">
        <v>26</v>
      </c>
      <c r="K2834" t="s">
        <v>62</v>
      </c>
      <c r="L2834" t="s">
        <v>22</v>
      </c>
      <c r="M2834">
        <v>6000.24</v>
      </c>
      <c r="N2834">
        <v>2020</v>
      </c>
      <c r="O2834">
        <v>6</v>
      </c>
    </row>
    <row r="2835" spans="1:15" x14ac:dyDescent="0.3">
      <c r="A2835" s="1">
        <v>44000</v>
      </c>
      <c r="B2835">
        <v>1000008228</v>
      </c>
      <c r="C2835" t="s">
        <v>23</v>
      </c>
      <c r="D2835">
        <v>1</v>
      </c>
      <c r="E2835">
        <v>9999.98</v>
      </c>
      <c r="F2835" t="s">
        <v>16</v>
      </c>
      <c r="G2835" t="s">
        <v>24</v>
      </c>
      <c r="H2835" t="s">
        <v>30</v>
      </c>
      <c r="I2835" t="s">
        <v>31</v>
      </c>
      <c r="J2835" t="s">
        <v>36</v>
      </c>
      <c r="K2835" t="s">
        <v>52</v>
      </c>
      <c r="L2835" t="s">
        <v>22</v>
      </c>
      <c r="M2835">
        <v>9999.98</v>
      </c>
      <c r="N2835">
        <v>2020</v>
      </c>
      <c r="O2835">
        <v>6</v>
      </c>
    </row>
    <row r="2836" spans="1:15" x14ac:dyDescent="0.3">
      <c r="A2836" s="1">
        <v>44000</v>
      </c>
      <c r="B2836">
        <v>1000008239</v>
      </c>
      <c r="C2836" t="s">
        <v>23</v>
      </c>
      <c r="D2836">
        <v>1</v>
      </c>
      <c r="E2836">
        <v>7000.14</v>
      </c>
      <c r="F2836" t="s">
        <v>16</v>
      </c>
      <c r="G2836" t="s">
        <v>24</v>
      </c>
      <c r="H2836" t="s">
        <v>18</v>
      </c>
      <c r="I2836" t="s">
        <v>61</v>
      </c>
      <c r="J2836" t="s">
        <v>26</v>
      </c>
      <c r="K2836" t="s">
        <v>62</v>
      </c>
      <c r="L2836" t="s">
        <v>28</v>
      </c>
      <c r="M2836">
        <v>7000.14</v>
      </c>
      <c r="N2836">
        <v>2020</v>
      </c>
      <c r="O2836">
        <v>6</v>
      </c>
    </row>
    <row r="2837" spans="1:15" x14ac:dyDescent="0.3">
      <c r="A2837" s="1">
        <v>44000</v>
      </c>
      <c r="B2837">
        <v>1000008239</v>
      </c>
      <c r="C2837" t="s">
        <v>15</v>
      </c>
      <c r="D2837">
        <v>1</v>
      </c>
      <c r="E2837">
        <v>13000.75</v>
      </c>
      <c r="F2837" t="s">
        <v>16</v>
      </c>
      <c r="G2837" t="s">
        <v>17</v>
      </c>
      <c r="H2837" t="s">
        <v>18</v>
      </c>
      <c r="I2837" t="s">
        <v>61</v>
      </c>
      <c r="J2837" t="s">
        <v>26</v>
      </c>
      <c r="K2837" t="s">
        <v>62</v>
      </c>
      <c r="L2837" t="s">
        <v>28</v>
      </c>
      <c r="M2837">
        <v>13000.75</v>
      </c>
      <c r="N2837">
        <v>2020</v>
      </c>
      <c r="O2837">
        <v>6</v>
      </c>
    </row>
    <row r="2838" spans="1:15" x14ac:dyDescent="0.3">
      <c r="A2838" s="1">
        <v>44000</v>
      </c>
      <c r="B2838">
        <v>1000009288</v>
      </c>
      <c r="C2838" t="s">
        <v>23</v>
      </c>
      <c r="D2838">
        <v>2</v>
      </c>
      <c r="E2838">
        <v>27999.99</v>
      </c>
      <c r="F2838" t="s">
        <v>16</v>
      </c>
      <c r="G2838" t="s">
        <v>24</v>
      </c>
      <c r="H2838" t="s">
        <v>18</v>
      </c>
      <c r="I2838" t="s">
        <v>25</v>
      </c>
      <c r="J2838" t="s">
        <v>20</v>
      </c>
      <c r="K2838" t="s">
        <v>51</v>
      </c>
      <c r="L2838" t="s">
        <v>22</v>
      </c>
      <c r="M2838">
        <v>13999.995000000001</v>
      </c>
      <c r="N2838">
        <v>2020</v>
      </c>
      <c r="O2838">
        <v>6</v>
      </c>
    </row>
    <row r="2839" spans="1:15" x14ac:dyDescent="0.3">
      <c r="A2839" s="1">
        <v>44000</v>
      </c>
      <c r="B2839">
        <v>1000010837</v>
      </c>
      <c r="C2839" t="s">
        <v>42</v>
      </c>
      <c r="D2839">
        <v>1</v>
      </c>
      <c r="E2839">
        <v>500.22</v>
      </c>
      <c r="F2839" t="s">
        <v>16</v>
      </c>
      <c r="G2839" t="s">
        <v>43</v>
      </c>
      <c r="H2839" t="s">
        <v>18</v>
      </c>
      <c r="I2839" t="s">
        <v>61</v>
      </c>
      <c r="J2839" t="s">
        <v>26</v>
      </c>
      <c r="K2839" t="s">
        <v>62</v>
      </c>
      <c r="L2839" t="s">
        <v>22</v>
      </c>
      <c r="M2839">
        <v>500.22</v>
      </c>
      <c r="N2839">
        <v>2020</v>
      </c>
      <c r="O2839">
        <v>6</v>
      </c>
    </row>
    <row r="2840" spans="1:15" x14ac:dyDescent="0.3">
      <c r="A2840" s="1">
        <v>44000</v>
      </c>
      <c r="B2840">
        <v>1000011538</v>
      </c>
      <c r="C2840" t="s">
        <v>23</v>
      </c>
      <c r="D2840">
        <v>1</v>
      </c>
      <c r="E2840">
        <v>5000.3599999999997</v>
      </c>
      <c r="F2840" t="s">
        <v>16</v>
      </c>
      <c r="G2840" t="s">
        <v>24</v>
      </c>
      <c r="H2840" t="s">
        <v>18</v>
      </c>
      <c r="I2840" t="s">
        <v>40</v>
      </c>
      <c r="J2840" t="s">
        <v>20</v>
      </c>
      <c r="K2840" t="s">
        <v>68</v>
      </c>
      <c r="L2840" t="s">
        <v>22</v>
      </c>
      <c r="M2840">
        <v>5000.3599999999997</v>
      </c>
      <c r="N2840">
        <v>2020</v>
      </c>
      <c r="O2840">
        <v>6</v>
      </c>
    </row>
    <row r="2841" spans="1:15" x14ac:dyDescent="0.3">
      <c r="A2841" s="1">
        <v>44000</v>
      </c>
      <c r="B2841">
        <v>1000011697</v>
      </c>
      <c r="C2841" t="s">
        <v>23</v>
      </c>
      <c r="D2841">
        <v>1</v>
      </c>
      <c r="E2841">
        <v>8000.08</v>
      </c>
      <c r="F2841" t="s">
        <v>16</v>
      </c>
      <c r="G2841" t="s">
        <v>24</v>
      </c>
      <c r="H2841" t="s">
        <v>18</v>
      </c>
      <c r="I2841" t="s">
        <v>34</v>
      </c>
      <c r="J2841" t="s">
        <v>20</v>
      </c>
      <c r="K2841" t="s">
        <v>44</v>
      </c>
      <c r="L2841" t="s">
        <v>22</v>
      </c>
      <c r="M2841">
        <v>8000.08</v>
      </c>
      <c r="N2841">
        <v>2020</v>
      </c>
      <c r="O2841">
        <v>6</v>
      </c>
    </row>
    <row r="2842" spans="1:15" x14ac:dyDescent="0.3">
      <c r="A2842" s="1">
        <v>44000</v>
      </c>
      <c r="B2842">
        <v>1000011697</v>
      </c>
      <c r="C2842" t="s">
        <v>15</v>
      </c>
      <c r="D2842">
        <v>1</v>
      </c>
      <c r="E2842">
        <v>1797.44</v>
      </c>
      <c r="F2842" t="s">
        <v>16</v>
      </c>
      <c r="G2842" t="s">
        <v>17</v>
      </c>
      <c r="H2842" t="s">
        <v>18</v>
      </c>
      <c r="I2842" t="s">
        <v>34</v>
      </c>
      <c r="J2842" t="s">
        <v>20</v>
      </c>
      <c r="K2842" t="s">
        <v>44</v>
      </c>
      <c r="L2842" t="s">
        <v>22</v>
      </c>
      <c r="M2842">
        <v>1797.44</v>
      </c>
      <c r="N2842">
        <v>2020</v>
      </c>
      <c r="O2842">
        <v>6</v>
      </c>
    </row>
    <row r="2843" spans="1:15" x14ac:dyDescent="0.3">
      <c r="A2843" s="1">
        <v>44000</v>
      </c>
      <c r="B2843">
        <v>1000011698</v>
      </c>
      <c r="C2843" t="s">
        <v>23</v>
      </c>
      <c r="D2843">
        <v>1</v>
      </c>
      <c r="E2843">
        <v>8000.38</v>
      </c>
      <c r="F2843" t="s">
        <v>16</v>
      </c>
      <c r="G2843" t="s">
        <v>24</v>
      </c>
      <c r="H2843" t="s">
        <v>18</v>
      </c>
      <c r="I2843" t="s">
        <v>34</v>
      </c>
      <c r="J2843" t="s">
        <v>20</v>
      </c>
      <c r="K2843" t="s">
        <v>44</v>
      </c>
      <c r="L2843" t="s">
        <v>22</v>
      </c>
      <c r="M2843">
        <v>8000.38</v>
      </c>
      <c r="N2843">
        <v>2020</v>
      </c>
      <c r="O2843">
        <v>6</v>
      </c>
    </row>
    <row r="2844" spans="1:15" x14ac:dyDescent="0.3">
      <c r="A2844" s="1">
        <v>44000</v>
      </c>
      <c r="B2844">
        <v>1000011698</v>
      </c>
      <c r="C2844" t="s">
        <v>15</v>
      </c>
      <c r="D2844">
        <v>3</v>
      </c>
      <c r="E2844">
        <v>39001.440000000002</v>
      </c>
      <c r="F2844" t="s">
        <v>16</v>
      </c>
      <c r="G2844" t="s">
        <v>17</v>
      </c>
      <c r="H2844" t="s">
        <v>18</v>
      </c>
      <c r="I2844" t="s">
        <v>34</v>
      </c>
      <c r="J2844" t="s">
        <v>20</v>
      </c>
      <c r="K2844" t="s">
        <v>44</v>
      </c>
      <c r="L2844" t="s">
        <v>22</v>
      </c>
      <c r="M2844">
        <v>13000.480000000001</v>
      </c>
      <c r="N2844">
        <v>2020</v>
      </c>
      <c r="O2844">
        <v>6</v>
      </c>
    </row>
    <row r="2845" spans="1:15" x14ac:dyDescent="0.3">
      <c r="A2845" s="1">
        <v>44000</v>
      </c>
      <c r="B2845">
        <v>1000011828</v>
      </c>
      <c r="C2845" t="s">
        <v>15</v>
      </c>
      <c r="D2845">
        <v>1</v>
      </c>
      <c r="E2845">
        <v>7000.38</v>
      </c>
      <c r="F2845" t="s">
        <v>16</v>
      </c>
      <c r="G2845" t="s">
        <v>17</v>
      </c>
      <c r="H2845" t="s">
        <v>18</v>
      </c>
      <c r="I2845" t="s">
        <v>19</v>
      </c>
      <c r="J2845" t="s">
        <v>20</v>
      </c>
      <c r="K2845" t="s">
        <v>21</v>
      </c>
      <c r="L2845" t="s">
        <v>22</v>
      </c>
      <c r="M2845">
        <v>7000.38</v>
      </c>
      <c r="N2845">
        <v>2020</v>
      </c>
      <c r="O2845">
        <v>6</v>
      </c>
    </row>
    <row r="2846" spans="1:15" x14ac:dyDescent="0.3">
      <c r="A2846" s="1">
        <v>44000</v>
      </c>
      <c r="B2846">
        <v>1000012099</v>
      </c>
      <c r="C2846" t="s">
        <v>15</v>
      </c>
      <c r="D2846">
        <v>1</v>
      </c>
      <c r="E2846">
        <v>18000.73</v>
      </c>
      <c r="F2846" t="s">
        <v>16</v>
      </c>
      <c r="G2846" t="s">
        <v>17</v>
      </c>
      <c r="H2846" t="s">
        <v>18</v>
      </c>
      <c r="I2846" t="s">
        <v>19</v>
      </c>
      <c r="J2846" t="s">
        <v>20</v>
      </c>
      <c r="K2846" t="s">
        <v>21</v>
      </c>
      <c r="L2846" t="s">
        <v>22</v>
      </c>
      <c r="M2846">
        <v>18000.73</v>
      </c>
      <c r="N2846">
        <v>2020</v>
      </c>
      <c r="O2846">
        <v>6</v>
      </c>
    </row>
    <row r="2847" spans="1:15" x14ac:dyDescent="0.3">
      <c r="A2847" s="1">
        <v>44000</v>
      </c>
      <c r="B2847">
        <v>1000012112</v>
      </c>
      <c r="C2847" t="s">
        <v>23</v>
      </c>
      <c r="D2847">
        <v>1</v>
      </c>
      <c r="E2847">
        <v>7000.75</v>
      </c>
      <c r="F2847" t="s">
        <v>16</v>
      </c>
      <c r="G2847" t="s">
        <v>24</v>
      </c>
      <c r="H2847" t="s">
        <v>18</v>
      </c>
      <c r="I2847" t="s">
        <v>19</v>
      </c>
      <c r="J2847" t="s">
        <v>36</v>
      </c>
      <c r="K2847" t="s">
        <v>64</v>
      </c>
      <c r="L2847" t="s">
        <v>28</v>
      </c>
      <c r="M2847">
        <v>7000.75</v>
      </c>
      <c r="N2847">
        <v>2020</v>
      </c>
      <c r="O2847">
        <v>6</v>
      </c>
    </row>
    <row r="2848" spans="1:15" x14ac:dyDescent="0.3">
      <c r="A2848" s="1">
        <v>44000</v>
      </c>
      <c r="B2848">
        <v>1000012112</v>
      </c>
      <c r="C2848" t="s">
        <v>42</v>
      </c>
      <c r="D2848">
        <v>1</v>
      </c>
      <c r="E2848">
        <v>20000.400000000001</v>
      </c>
      <c r="F2848" t="s">
        <v>16</v>
      </c>
      <c r="G2848" t="s">
        <v>43</v>
      </c>
      <c r="H2848" t="s">
        <v>18</v>
      </c>
      <c r="I2848" t="s">
        <v>19</v>
      </c>
      <c r="J2848" t="s">
        <v>36</v>
      </c>
      <c r="K2848" t="s">
        <v>64</v>
      </c>
      <c r="L2848" t="s">
        <v>28</v>
      </c>
      <c r="M2848">
        <v>20000.400000000001</v>
      </c>
      <c r="N2848">
        <v>2020</v>
      </c>
      <c r="O2848">
        <v>6</v>
      </c>
    </row>
    <row r="2849" spans="1:15" x14ac:dyDescent="0.3">
      <c r="A2849" s="1">
        <v>44000</v>
      </c>
      <c r="B2849">
        <v>1000012124</v>
      </c>
      <c r="C2849" t="s">
        <v>23</v>
      </c>
      <c r="D2849">
        <v>1</v>
      </c>
      <c r="E2849">
        <v>22000.67</v>
      </c>
      <c r="F2849" t="s">
        <v>16</v>
      </c>
      <c r="G2849" t="s">
        <v>24</v>
      </c>
      <c r="H2849" t="s">
        <v>18</v>
      </c>
      <c r="I2849" t="s">
        <v>19</v>
      </c>
      <c r="J2849" t="s">
        <v>26</v>
      </c>
      <c r="K2849" t="s">
        <v>29</v>
      </c>
      <c r="L2849" t="s">
        <v>22</v>
      </c>
      <c r="M2849">
        <v>22000.67</v>
      </c>
      <c r="N2849">
        <v>2020</v>
      </c>
      <c r="O2849">
        <v>6</v>
      </c>
    </row>
    <row r="2850" spans="1:15" x14ac:dyDescent="0.3">
      <c r="A2850" s="1">
        <v>44000</v>
      </c>
      <c r="B2850">
        <v>1000012124</v>
      </c>
      <c r="C2850" t="s">
        <v>15</v>
      </c>
      <c r="D2850">
        <v>1</v>
      </c>
      <c r="E2850">
        <v>6000.46</v>
      </c>
      <c r="F2850" t="s">
        <v>16</v>
      </c>
      <c r="G2850" t="s">
        <v>17</v>
      </c>
      <c r="H2850" t="s">
        <v>18</v>
      </c>
      <c r="I2850" t="s">
        <v>19</v>
      </c>
      <c r="J2850" t="s">
        <v>26</v>
      </c>
      <c r="K2850" t="s">
        <v>29</v>
      </c>
      <c r="L2850" t="s">
        <v>22</v>
      </c>
      <c r="M2850">
        <v>6000.46</v>
      </c>
      <c r="N2850">
        <v>2020</v>
      </c>
      <c r="O2850">
        <v>6</v>
      </c>
    </row>
    <row r="2851" spans="1:15" x14ac:dyDescent="0.3">
      <c r="A2851" s="1">
        <v>44000</v>
      </c>
      <c r="B2851">
        <v>1000012446</v>
      </c>
      <c r="C2851" t="s">
        <v>23</v>
      </c>
      <c r="D2851">
        <v>1</v>
      </c>
      <c r="E2851">
        <v>4988.32</v>
      </c>
      <c r="F2851" t="s">
        <v>16</v>
      </c>
      <c r="G2851" t="s">
        <v>24</v>
      </c>
      <c r="H2851" t="s">
        <v>30</v>
      </c>
      <c r="I2851" t="s">
        <v>31</v>
      </c>
      <c r="J2851" t="s">
        <v>36</v>
      </c>
      <c r="K2851" t="s">
        <v>52</v>
      </c>
      <c r="L2851" t="s">
        <v>22</v>
      </c>
      <c r="M2851">
        <v>4988.32</v>
      </c>
      <c r="N2851">
        <v>2020</v>
      </c>
      <c r="O2851">
        <v>6</v>
      </c>
    </row>
    <row r="2852" spans="1:15" x14ac:dyDescent="0.3">
      <c r="A2852" s="1">
        <v>44000</v>
      </c>
      <c r="B2852">
        <v>1000012446</v>
      </c>
      <c r="C2852" t="s">
        <v>15</v>
      </c>
      <c r="D2852">
        <v>1</v>
      </c>
      <c r="E2852">
        <v>7999.96</v>
      </c>
      <c r="F2852" t="s">
        <v>16</v>
      </c>
      <c r="G2852" t="s">
        <v>17</v>
      </c>
      <c r="H2852" t="s">
        <v>30</v>
      </c>
      <c r="I2852" t="s">
        <v>31</v>
      </c>
      <c r="J2852" t="s">
        <v>36</v>
      </c>
      <c r="K2852" t="s">
        <v>52</v>
      </c>
      <c r="L2852" t="s">
        <v>22</v>
      </c>
      <c r="M2852">
        <v>7999.96</v>
      </c>
      <c r="N2852">
        <v>2020</v>
      </c>
      <c r="O2852">
        <v>6</v>
      </c>
    </row>
    <row r="2853" spans="1:15" x14ac:dyDescent="0.3">
      <c r="A2853" s="1">
        <v>44000</v>
      </c>
      <c r="B2853">
        <v>1000012675</v>
      </c>
      <c r="C2853" t="s">
        <v>23</v>
      </c>
      <c r="D2853">
        <v>1</v>
      </c>
      <c r="E2853">
        <v>1000.04</v>
      </c>
      <c r="F2853" t="s">
        <v>16</v>
      </c>
      <c r="G2853" t="s">
        <v>24</v>
      </c>
      <c r="H2853" t="s">
        <v>18</v>
      </c>
      <c r="I2853" t="s">
        <v>34</v>
      </c>
      <c r="J2853" t="s">
        <v>26</v>
      </c>
      <c r="K2853" t="s">
        <v>35</v>
      </c>
      <c r="L2853" t="s">
        <v>22</v>
      </c>
      <c r="M2853">
        <v>1000.04</v>
      </c>
      <c r="N2853">
        <v>2020</v>
      </c>
      <c r="O2853">
        <v>6</v>
      </c>
    </row>
    <row r="2854" spans="1:15" x14ac:dyDescent="0.3">
      <c r="A2854" s="1">
        <v>44000</v>
      </c>
      <c r="B2854">
        <v>1000013535</v>
      </c>
      <c r="C2854" t="s">
        <v>15</v>
      </c>
      <c r="D2854">
        <v>1</v>
      </c>
      <c r="E2854">
        <v>15999.94</v>
      </c>
      <c r="F2854" t="s">
        <v>16</v>
      </c>
      <c r="G2854" t="s">
        <v>17</v>
      </c>
      <c r="H2854" t="s">
        <v>47</v>
      </c>
      <c r="I2854" t="s">
        <v>48</v>
      </c>
      <c r="J2854" t="s">
        <v>36</v>
      </c>
      <c r="K2854" t="s">
        <v>49</v>
      </c>
      <c r="L2854" t="s">
        <v>22</v>
      </c>
      <c r="M2854">
        <v>15999.94</v>
      </c>
      <c r="N2854">
        <v>2020</v>
      </c>
      <c r="O2854">
        <v>6</v>
      </c>
    </row>
    <row r="2855" spans="1:15" x14ac:dyDescent="0.3">
      <c r="A2855" s="1">
        <v>44000</v>
      </c>
      <c r="B2855">
        <v>1000013546</v>
      </c>
      <c r="C2855" t="s">
        <v>42</v>
      </c>
      <c r="D2855">
        <v>1</v>
      </c>
      <c r="E2855">
        <v>15000.67</v>
      </c>
      <c r="F2855" t="s">
        <v>16</v>
      </c>
      <c r="G2855" t="s">
        <v>43</v>
      </c>
      <c r="H2855" t="s">
        <v>18</v>
      </c>
      <c r="I2855" t="s">
        <v>40</v>
      </c>
      <c r="J2855" t="s">
        <v>26</v>
      </c>
      <c r="K2855" t="s">
        <v>41</v>
      </c>
      <c r="L2855" t="s">
        <v>22</v>
      </c>
      <c r="M2855">
        <v>15000.67</v>
      </c>
      <c r="N2855">
        <v>2020</v>
      </c>
      <c r="O2855">
        <v>6</v>
      </c>
    </row>
    <row r="2856" spans="1:15" x14ac:dyDescent="0.3">
      <c r="A2856" s="1">
        <v>44000</v>
      </c>
      <c r="B2856">
        <v>1000013607</v>
      </c>
      <c r="C2856" t="s">
        <v>23</v>
      </c>
      <c r="D2856">
        <v>1</v>
      </c>
      <c r="E2856">
        <v>5500.48</v>
      </c>
      <c r="F2856" t="s">
        <v>16</v>
      </c>
      <c r="G2856" t="s">
        <v>24</v>
      </c>
      <c r="H2856" t="s">
        <v>18</v>
      </c>
      <c r="I2856" t="s">
        <v>25</v>
      </c>
      <c r="J2856" t="s">
        <v>26</v>
      </c>
      <c r="K2856" t="s">
        <v>27</v>
      </c>
      <c r="L2856" t="s">
        <v>22</v>
      </c>
      <c r="M2856">
        <v>5500.48</v>
      </c>
      <c r="N2856">
        <v>2020</v>
      </c>
      <c r="O2856">
        <v>6</v>
      </c>
    </row>
    <row r="2857" spans="1:15" x14ac:dyDescent="0.3">
      <c r="A2857" s="1">
        <v>44000</v>
      </c>
      <c r="B2857">
        <v>1000014291</v>
      </c>
      <c r="C2857" t="s">
        <v>23</v>
      </c>
      <c r="D2857">
        <v>1</v>
      </c>
      <c r="E2857">
        <v>8401.19</v>
      </c>
      <c r="F2857" t="s">
        <v>16</v>
      </c>
      <c r="G2857" t="s">
        <v>24</v>
      </c>
      <c r="H2857" t="s">
        <v>47</v>
      </c>
      <c r="I2857" t="s">
        <v>48</v>
      </c>
      <c r="J2857" t="s">
        <v>20</v>
      </c>
      <c r="K2857" t="s">
        <v>67</v>
      </c>
      <c r="L2857" t="s">
        <v>28</v>
      </c>
      <c r="M2857">
        <v>8401.19</v>
      </c>
      <c r="N2857">
        <v>2020</v>
      </c>
      <c r="O2857">
        <v>6</v>
      </c>
    </row>
    <row r="2858" spans="1:15" x14ac:dyDescent="0.3">
      <c r="A2858" s="1">
        <v>44000</v>
      </c>
      <c r="B2858">
        <v>1000014291</v>
      </c>
      <c r="C2858" t="s">
        <v>15</v>
      </c>
      <c r="D2858">
        <v>1</v>
      </c>
      <c r="E2858">
        <v>9000.48</v>
      </c>
      <c r="F2858" t="s">
        <v>16</v>
      </c>
      <c r="G2858" t="s">
        <v>17</v>
      </c>
      <c r="H2858" t="s">
        <v>47</v>
      </c>
      <c r="I2858" t="s">
        <v>48</v>
      </c>
      <c r="J2858" t="s">
        <v>20</v>
      </c>
      <c r="K2858" t="s">
        <v>67</v>
      </c>
      <c r="L2858" t="s">
        <v>28</v>
      </c>
      <c r="M2858">
        <v>9000.48</v>
      </c>
      <c r="N2858">
        <v>2020</v>
      </c>
      <c r="O2858">
        <v>6</v>
      </c>
    </row>
    <row r="2859" spans="1:15" x14ac:dyDescent="0.3">
      <c r="A2859" s="1">
        <v>44000</v>
      </c>
      <c r="B2859">
        <v>1000014291</v>
      </c>
      <c r="C2859" t="s">
        <v>42</v>
      </c>
      <c r="D2859">
        <v>2</v>
      </c>
      <c r="E2859">
        <v>32001.07</v>
      </c>
      <c r="F2859" t="s">
        <v>16</v>
      </c>
      <c r="G2859" t="s">
        <v>43</v>
      </c>
      <c r="H2859" t="s">
        <v>47</v>
      </c>
      <c r="I2859" t="s">
        <v>48</v>
      </c>
      <c r="J2859" t="s">
        <v>20</v>
      </c>
      <c r="K2859" t="s">
        <v>67</v>
      </c>
      <c r="L2859" t="s">
        <v>28</v>
      </c>
      <c r="M2859">
        <v>16000.535</v>
      </c>
      <c r="N2859">
        <v>2020</v>
      </c>
      <c r="O2859">
        <v>6</v>
      </c>
    </row>
    <row r="2860" spans="1:15" x14ac:dyDescent="0.3">
      <c r="A2860" s="1">
        <v>44000</v>
      </c>
      <c r="B2860">
        <v>1000014530</v>
      </c>
      <c r="C2860" t="s">
        <v>15</v>
      </c>
      <c r="D2860">
        <v>2</v>
      </c>
      <c r="E2860">
        <v>21000.71</v>
      </c>
      <c r="F2860" t="s">
        <v>16</v>
      </c>
      <c r="G2860" t="s">
        <v>17</v>
      </c>
      <c r="H2860" t="s">
        <v>47</v>
      </c>
      <c r="I2860" t="s">
        <v>65</v>
      </c>
      <c r="J2860" t="s">
        <v>26</v>
      </c>
      <c r="K2860" t="s">
        <v>66</v>
      </c>
      <c r="L2860" t="s">
        <v>22</v>
      </c>
      <c r="M2860">
        <v>10500.355</v>
      </c>
      <c r="N2860">
        <v>2020</v>
      </c>
      <c r="O2860">
        <v>6</v>
      </c>
    </row>
    <row r="2861" spans="1:15" x14ac:dyDescent="0.3">
      <c r="A2861" s="1">
        <v>44000</v>
      </c>
      <c r="B2861">
        <v>1000014530</v>
      </c>
      <c r="C2861" t="s">
        <v>42</v>
      </c>
      <c r="D2861">
        <v>1</v>
      </c>
      <c r="E2861">
        <v>5000.41</v>
      </c>
      <c r="F2861" t="s">
        <v>16</v>
      </c>
      <c r="G2861" t="s">
        <v>43</v>
      </c>
      <c r="H2861" t="s">
        <v>47</v>
      </c>
      <c r="I2861" t="s">
        <v>65</v>
      </c>
      <c r="J2861" t="s">
        <v>26</v>
      </c>
      <c r="K2861" t="s">
        <v>66</v>
      </c>
      <c r="L2861" t="s">
        <v>22</v>
      </c>
      <c r="M2861">
        <v>5000.41</v>
      </c>
      <c r="N2861">
        <v>2020</v>
      </c>
      <c r="O2861">
        <v>6</v>
      </c>
    </row>
    <row r="2862" spans="1:15" x14ac:dyDescent="0.3">
      <c r="A2862" s="1">
        <v>44000</v>
      </c>
      <c r="B2862">
        <v>1000014572</v>
      </c>
      <c r="C2862" t="s">
        <v>23</v>
      </c>
      <c r="D2862">
        <v>1</v>
      </c>
      <c r="E2862">
        <v>9000.67</v>
      </c>
      <c r="F2862" t="s">
        <v>16</v>
      </c>
      <c r="G2862" t="s">
        <v>24</v>
      </c>
      <c r="H2862" t="s">
        <v>18</v>
      </c>
      <c r="I2862" t="s">
        <v>34</v>
      </c>
      <c r="J2862" t="s">
        <v>26</v>
      </c>
      <c r="K2862" t="s">
        <v>35</v>
      </c>
      <c r="L2862" t="s">
        <v>22</v>
      </c>
      <c r="M2862">
        <v>9000.67</v>
      </c>
      <c r="N2862">
        <v>2020</v>
      </c>
      <c r="O2862">
        <v>6</v>
      </c>
    </row>
    <row r="2863" spans="1:15" x14ac:dyDescent="0.3">
      <c r="A2863" s="1">
        <v>44000</v>
      </c>
      <c r="B2863">
        <v>1000014588</v>
      </c>
      <c r="C2863" t="s">
        <v>15</v>
      </c>
      <c r="D2863">
        <v>1</v>
      </c>
      <c r="E2863">
        <v>17000.759999999998</v>
      </c>
      <c r="F2863" t="s">
        <v>16</v>
      </c>
      <c r="G2863" t="s">
        <v>17</v>
      </c>
      <c r="H2863" t="s">
        <v>18</v>
      </c>
      <c r="I2863" t="s">
        <v>40</v>
      </c>
      <c r="J2863" t="s">
        <v>20</v>
      </c>
      <c r="K2863" t="s">
        <v>68</v>
      </c>
      <c r="L2863" t="s">
        <v>22</v>
      </c>
      <c r="M2863">
        <v>17000.759999999998</v>
      </c>
      <c r="N2863">
        <v>2020</v>
      </c>
      <c r="O2863">
        <v>6</v>
      </c>
    </row>
    <row r="2864" spans="1:15" x14ac:dyDescent="0.3">
      <c r="A2864" s="1">
        <v>44000</v>
      </c>
      <c r="B2864">
        <v>1000014879</v>
      </c>
      <c r="C2864" t="s">
        <v>23</v>
      </c>
      <c r="D2864">
        <v>1</v>
      </c>
      <c r="E2864">
        <v>25000.16</v>
      </c>
      <c r="F2864" t="s">
        <v>16</v>
      </c>
      <c r="G2864" t="s">
        <v>24</v>
      </c>
      <c r="H2864" t="s">
        <v>18</v>
      </c>
      <c r="I2864" t="s">
        <v>40</v>
      </c>
      <c r="J2864" t="s">
        <v>26</v>
      </c>
      <c r="K2864" t="s">
        <v>41</v>
      </c>
      <c r="L2864" t="s">
        <v>22</v>
      </c>
      <c r="M2864">
        <v>25000.16</v>
      </c>
      <c r="N2864">
        <v>2020</v>
      </c>
      <c r="O2864">
        <v>6</v>
      </c>
    </row>
    <row r="2865" spans="1:15" x14ac:dyDescent="0.3">
      <c r="A2865" s="1">
        <v>44000</v>
      </c>
      <c r="B2865">
        <v>1000015015</v>
      </c>
      <c r="C2865" t="s">
        <v>42</v>
      </c>
      <c r="D2865">
        <v>1</v>
      </c>
      <c r="E2865">
        <v>22000.01</v>
      </c>
      <c r="F2865" t="s">
        <v>16</v>
      </c>
      <c r="G2865" t="s">
        <v>43</v>
      </c>
      <c r="H2865" t="s">
        <v>18</v>
      </c>
      <c r="I2865" t="s">
        <v>61</v>
      </c>
      <c r="J2865" t="s">
        <v>26</v>
      </c>
      <c r="K2865" t="s">
        <v>62</v>
      </c>
      <c r="L2865" t="s">
        <v>22</v>
      </c>
      <c r="M2865">
        <v>22000.01</v>
      </c>
      <c r="N2865">
        <v>2020</v>
      </c>
      <c r="O2865">
        <v>6</v>
      </c>
    </row>
    <row r="2866" spans="1:15" x14ac:dyDescent="0.3">
      <c r="A2866" s="1">
        <v>44000</v>
      </c>
      <c r="B2866">
        <v>1000015203</v>
      </c>
      <c r="C2866" t="s">
        <v>15</v>
      </c>
      <c r="D2866">
        <v>1</v>
      </c>
      <c r="E2866">
        <v>15000.75</v>
      </c>
      <c r="F2866" t="s">
        <v>16</v>
      </c>
      <c r="G2866" t="s">
        <v>17</v>
      </c>
      <c r="H2866" t="s">
        <v>47</v>
      </c>
      <c r="I2866" t="s">
        <v>65</v>
      </c>
      <c r="J2866" t="s">
        <v>26</v>
      </c>
      <c r="K2866" t="s">
        <v>66</v>
      </c>
      <c r="L2866" t="s">
        <v>22</v>
      </c>
      <c r="M2866">
        <v>15000.75</v>
      </c>
      <c r="N2866">
        <v>2020</v>
      </c>
      <c r="O2866">
        <v>6</v>
      </c>
    </row>
    <row r="2867" spans="1:15" x14ac:dyDescent="0.3">
      <c r="A2867" s="1">
        <v>44000</v>
      </c>
      <c r="B2867">
        <v>1000015203</v>
      </c>
      <c r="C2867" t="s">
        <v>42</v>
      </c>
      <c r="D2867">
        <v>1</v>
      </c>
      <c r="E2867">
        <v>20000.14</v>
      </c>
      <c r="F2867" t="s">
        <v>16</v>
      </c>
      <c r="G2867" t="s">
        <v>43</v>
      </c>
      <c r="H2867" t="s">
        <v>47</v>
      </c>
      <c r="I2867" t="s">
        <v>65</v>
      </c>
      <c r="J2867" t="s">
        <v>26</v>
      </c>
      <c r="K2867" t="s">
        <v>66</v>
      </c>
      <c r="L2867" t="s">
        <v>22</v>
      </c>
      <c r="M2867">
        <v>20000.14</v>
      </c>
      <c r="N2867">
        <v>2020</v>
      </c>
      <c r="O2867">
        <v>6</v>
      </c>
    </row>
    <row r="2868" spans="1:15" x14ac:dyDescent="0.3">
      <c r="A2868" s="1">
        <v>44000</v>
      </c>
      <c r="B2868">
        <v>1000015253</v>
      </c>
      <c r="C2868" t="s">
        <v>15</v>
      </c>
      <c r="D2868">
        <v>1</v>
      </c>
      <c r="E2868">
        <v>15000.04</v>
      </c>
      <c r="F2868" t="s">
        <v>16</v>
      </c>
      <c r="G2868" t="s">
        <v>17</v>
      </c>
      <c r="H2868" t="s">
        <v>30</v>
      </c>
      <c r="I2868" t="s">
        <v>31</v>
      </c>
      <c r="J2868" t="s">
        <v>26</v>
      </c>
      <c r="K2868" t="s">
        <v>69</v>
      </c>
      <c r="L2868" t="s">
        <v>22</v>
      </c>
      <c r="M2868">
        <v>15000.04</v>
      </c>
      <c r="N2868">
        <v>2020</v>
      </c>
      <c r="O2868">
        <v>6</v>
      </c>
    </row>
    <row r="2869" spans="1:15" x14ac:dyDescent="0.3">
      <c r="A2869" s="1">
        <v>44001</v>
      </c>
      <c r="B2869">
        <v>1000000028</v>
      </c>
      <c r="C2869" t="s">
        <v>23</v>
      </c>
      <c r="D2869">
        <v>3</v>
      </c>
      <c r="E2869">
        <v>2139.98</v>
      </c>
      <c r="F2869" t="s">
        <v>16</v>
      </c>
      <c r="G2869" t="s">
        <v>24</v>
      </c>
      <c r="H2869" t="s">
        <v>18</v>
      </c>
      <c r="I2869" t="s">
        <v>19</v>
      </c>
      <c r="J2869" t="s">
        <v>20</v>
      </c>
      <c r="K2869" t="s">
        <v>21</v>
      </c>
      <c r="L2869" t="s">
        <v>22</v>
      </c>
      <c r="M2869">
        <v>713.32666666666671</v>
      </c>
      <c r="N2869">
        <v>2020</v>
      </c>
      <c r="O2869">
        <v>6</v>
      </c>
    </row>
    <row r="2870" spans="1:15" x14ac:dyDescent="0.3">
      <c r="A2870" s="1">
        <v>44001</v>
      </c>
      <c r="B2870">
        <v>1000000029</v>
      </c>
      <c r="C2870" t="s">
        <v>23</v>
      </c>
      <c r="D2870">
        <v>1</v>
      </c>
      <c r="E2870">
        <v>17000.11</v>
      </c>
      <c r="F2870" t="s">
        <v>16</v>
      </c>
      <c r="G2870" t="s">
        <v>24</v>
      </c>
      <c r="H2870" t="s">
        <v>18</v>
      </c>
      <c r="I2870" t="s">
        <v>19</v>
      </c>
      <c r="J2870" t="s">
        <v>20</v>
      </c>
      <c r="K2870" t="s">
        <v>21</v>
      </c>
      <c r="L2870" t="s">
        <v>22</v>
      </c>
      <c r="M2870">
        <v>17000.11</v>
      </c>
      <c r="N2870">
        <v>2020</v>
      </c>
      <c r="O2870">
        <v>6</v>
      </c>
    </row>
    <row r="2871" spans="1:15" x14ac:dyDescent="0.3">
      <c r="A2871" s="1">
        <v>44001</v>
      </c>
      <c r="B2871">
        <v>1000000029</v>
      </c>
      <c r="C2871" t="s">
        <v>15</v>
      </c>
      <c r="D2871">
        <v>1</v>
      </c>
      <c r="E2871">
        <v>6000.65</v>
      </c>
      <c r="F2871" t="s">
        <v>16</v>
      </c>
      <c r="G2871" t="s">
        <v>17</v>
      </c>
      <c r="H2871" t="s">
        <v>18</v>
      </c>
      <c r="I2871" t="s">
        <v>19</v>
      </c>
      <c r="J2871" t="s">
        <v>20</v>
      </c>
      <c r="K2871" t="s">
        <v>21</v>
      </c>
      <c r="L2871" t="s">
        <v>22</v>
      </c>
      <c r="M2871">
        <v>6000.65</v>
      </c>
      <c r="N2871">
        <v>2020</v>
      </c>
      <c r="O2871">
        <v>6</v>
      </c>
    </row>
    <row r="2872" spans="1:15" x14ac:dyDescent="0.3">
      <c r="A2872" s="1">
        <v>44001</v>
      </c>
      <c r="B2872">
        <v>1000000030</v>
      </c>
      <c r="C2872" t="s">
        <v>23</v>
      </c>
      <c r="D2872">
        <v>1</v>
      </c>
      <c r="E2872">
        <v>1143.1099999999999</v>
      </c>
      <c r="F2872" t="s">
        <v>16</v>
      </c>
      <c r="G2872" t="s">
        <v>24</v>
      </c>
      <c r="H2872" t="s">
        <v>47</v>
      </c>
      <c r="I2872" t="s">
        <v>48</v>
      </c>
      <c r="J2872" t="s">
        <v>36</v>
      </c>
      <c r="K2872" t="s">
        <v>49</v>
      </c>
      <c r="L2872" t="s">
        <v>22</v>
      </c>
      <c r="M2872">
        <v>1143.1099999999999</v>
      </c>
      <c r="N2872">
        <v>2020</v>
      </c>
      <c r="O2872">
        <v>6</v>
      </c>
    </row>
    <row r="2873" spans="1:15" x14ac:dyDescent="0.3">
      <c r="A2873" s="1">
        <v>44001</v>
      </c>
      <c r="B2873">
        <v>1000000031</v>
      </c>
      <c r="C2873" t="s">
        <v>23</v>
      </c>
      <c r="D2873">
        <v>1</v>
      </c>
      <c r="E2873">
        <v>2000.07</v>
      </c>
      <c r="F2873" t="s">
        <v>16</v>
      </c>
      <c r="G2873" t="s">
        <v>24</v>
      </c>
      <c r="H2873" t="s">
        <v>18</v>
      </c>
      <c r="I2873" t="s">
        <v>19</v>
      </c>
      <c r="J2873" t="s">
        <v>26</v>
      </c>
      <c r="K2873" t="s">
        <v>29</v>
      </c>
      <c r="L2873" t="s">
        <v>28</v>
      </c>
      <c r="M2873">
        <v>2000.07</v>
      </c>
      <c r="N2873">
        <v>2020</v>
      </c>
      <c r="O2873">
        <v>6</v>
      </c>
    </row>
    <row r="2874" spans="1:15" x14ac:dyDescent="0.3">
      <c r="A2874" s="1">
        <v>44001</v>
      </c>
      <c r="B2874">
        <v>1000000031</v>
      </c>
      <c r="C2874" t="s">
        <v>15</v>
      </c>
      <c r="D2874">
        <v>1</v>
      </c>
      <c r="E2874">
        <v>549.71</v>
      </c>
      <c r="F2874" t="s">
        <v>16</v>
      </c>
      <c r="G2874" t="s">
        <v>17</v>
      </c>
      <c r="H2874" t="s">
        <v>18</v>
      </c>
      <c r="I2874" t="s">
        <v>19</v>
      </c>
      <c r="J2874" t="s">
        <v>26</v>
      </c>
      <c r="K2874" t="s">
        <v>29</v>
      </c>
      <c r="L2874" t="s">
        <v>28</v>
      </c>
      <c r="M2874">
        <v>549.71</v>
      </c>
      <c r="N2874">
        <v>2020</v>
      </c>
      <c r="O2874">
        <v>6</v>
      </c>
    </row>
    <row r="2875" spans="1:15" x14ac:dyDescent="0.3">
      <c r="A2875" s="1">
        <v>44001</v>
      </c>
      <c r="B2875">
        <v>1000000031</v>
      </c>
      <c r="C2875" t="s">
        <v>42</v>
      </c>
      <c r="D2875">
        <v>1</v>
      </c>
      <c r="E2875">
        <v>10000.51</v>
      </c>
      <c r="F2875" t="s">
        <v>16</v>
      </c>
      <c r="G2875" t="s">
        <v>43</v>
      </c>
      <c r="H2875" t="s">
        <v>18</v>
      </c>
      <c r="I2875" t="s">
        <v>19</v>
      </c>
      <c r="J2875" t="s">
        <v>26</v>
      </c>
      <c r="K2875" t="s">
        <v>29</v>
      </c>
      <c r="L2875" t="s">
        <v>28</v>
      </c>
      <c r="M2875">
        <v>10000.51</v>
      </c>
      <c r="N2875">
        <v>2020</v>
      </c>
      <c r="O2875">
        <v>6</v>
      </c>
    </row>
    <row r="2876" spans="1:15" x14ac:dyDescent="0.3">
      <c r="A2876" s="1">
        <v>44001</v>
      </c>
      <c r="B2876">
        <v>1000000032</v>
      </c>
      <c r="C2876" t="s">
        <v>23</v>
      </c>
      <c r="D2876">
        <v>1</v>
      </c>
      <c r="E2876">
        <v>9000.09</v>
      </c>
      <c r="F2876" t="s">
        <v>16</v>
      </c>
      <c r="G2876" t="s">
        <v>24</v>
      </c>
      <c r="H2876" t="s">
        <v>18</v>
      </c>
      <c r="I2876" t="s">
        <v>25</v>
      </c>
      <c r="J2876" t="s">
        <v>26</v>
      </c>
      <c r="K2876" t="s">
        <v>27</v>
      </c>
      <c r="L2876" t="s">
        <v>28</v>
      </c>
      <c r="M2876">
        <v>9000.09</v>
      </c>
      <c r="N2876">
        <v>2020</v>
      </c>
      <c r="O2876">
        <v>6</v>
      </c>
    </row>
    <row r="2877" spans="1:15" x14ac:dyDescent="0.3">
      <c r="A2877" s="1">
        <v>44001</v>
      </c>
      <c r="B2877">
        <v>1000000032</v>
      </c>
      <c r="C2877" t="s">
        <v>15</v>
      </c>
      <c r="D2877">
        <v>1</v>
      </c>
      <c r="E2877">
        <v>13000.6</v>
      </c>
      <c r="F2877" t="s">
        <v>16</v>
      </c>
      <c r="G2877" t="s">
        <v>17</v>
      </c>
      <c r="H2877" t="s">
        <v>18</v>
      </c>
      <c r="I2877" t="s">
        <v>25</v>
      </c>
      <c r="J2877" t="s">
        <v>26</v>
      </c>
      <c r="K2877" t="s">
        <v>27</v>
      </c>
      <c r="L2877" t="s">
        <v>28</v>
      </c>
      <c r="M2877">
        <v>13000.6</v>
      </c>
      <c r="N2877">
        <v>2020</v>
      </c>
      <c r="O2877">
        <v>6</v>
      </c>
    </row>
    <row r="2878" spans="1:15" x14ac:dyDescent="0.3">
      <c r="A2878" s="1">
        <v>44001</v>
      </c>
      <c r="B2878">
        <v>1000000033</v>
      </c>
      <c r="C2878" t="s">
        <v>15</v>
      </c>
      <c r="D2878">
        <v>1</v>
      </c>
      <c r="E2878">
        <v>10000.76</v>
      </c>
      <c r="F2878" t="s">
        <v>16</v>
      </c>
      <c r="G2878" t="s">
        <v>17</v>
      </c>
      <c r="H2878" t="s">
        <v>18</v>
      </c>
      <c r="I2878" t="s">
        <v>25</v>
      </c>
      <c r="J2878" t="s">
        <v>26</v>
      </c>
      <c r="K2878" t="s">
        <v>27</v>
      </c>
      <c r="L2878" t="s">
        <v>22</v>
      </c>
      <c r="M2878">
        <v>10000.76</v>
      </c>
      <c r="N2878">
        <v>2020</v>
      </c>
      <c r="O2878">
        <v>6</v>
      </c>
    </row>
    <row r="2879" spans="1:15" x14ac:dyDescent="0.3">
      <c r="A2879" s="1">
        <v>44001</v>
      </c>
      <c r="B2879">
        <v>1000000034</v>
      </c>
      <c r="C2879" t="s">
        <v>23</v>
      </c>
      <c r="D2879">
        <v>1</v>
      </c>
      <c r="E2879">
        <v>2148.2800000000002</v>
      </c>
      <c r="F2879" t="s">
        <v>16</v>
      </c>
      <c r="G2879" t="s">
        <v>24</v>
      </c>
      <c r="H2879" t="s">
        <v>18</v>
      </c>
      <c r="I2879" t="s">
        <v>25</v>
      </c>
      <c r="J2879" t="s">
        <v>26</v>
      </c>
      <c r="K2879" t="s">
        <v>27</v>
      </c>
      <c r="L2879" t="s">
        <v>22</v>
      </c>
      <c r="M2879">
        <v>2148.2800000000002</v>
      </c>
      <c r="N2879">
        <v>2020</v>
      </c>
      <c r="O2879">
        <v>6</v>
      </c>
    </row>
    <row r="2880" spans="1:15" x14ac:dyDescent="0.3">
      <c r="A2880" s="1">
        <v>44001</v>
      </c>
      <c r="B2880">
        <v>1000000034</v>
      </c>
      <c r="C2880" t="s">
        <v>15</v>
      </c>
      <c r="D2880">
        <v>2</v>
      </c>
      <c r="E2880">
        <v>29000.21</v>
      </c>
      <c r="F2880" t="s">
        <v>16</v>
      </c>
      <c r="G2880" t="s">
        <v>17</v>
      </c>
      <c r="H2880" t="s">
        <v>18</v>
      </c>
      <c r="I2880" t="s">
        <v>25</v>
      </c>
      <c r="J2880" t="s">
        <v>26</v>
      </c>
      <c r="K2880" t="s">
        <v>27</v>
      </c>
      <c r="L2880" t="s">
        <v>22</v>
      </c>
      <c r="M2880">
        <v>14500.105</v>
      </c>
      <c r="N2880">
        <v>2020</v>
      </c>
      <c r="O2880">
        <v>6</v>
      </c>
    </row>
    <row r="2881" spans="1:15" x14ac:dyDescent="0.3">
      <c r="A2881" s="1">
        <v>44001</v>
      </c>
      <c r="B2881">
        <v>1000000035</v>
      </c>
      <c r="C2881" t="s">
        <v>23</v>
      </c>
      <c r="D2881">
        <v>1</v>
      </c>
      <c r="E2881">
        <v>1500.2</v>
      </c>
      <c r="F2881" t="s">
        <v>16</v>
      </c>
      <c r="G2881" t="s">
        <v>24</v>
      </c>
      <c r="H2881" t="s">
        <v>18</v>
      </c>
      <c r="I2881" t="s">
        <v>25</v>
      </c>
      <c r="J2881" t="s">
        <v>36</v>
      </c>
      <c r="K2881" t="s">
        <v>37</v>
      </c>
      <c r="L2881" t="s">
        <v>22</v>
      </c>
      <c r="M2881">
        <v>1500.2</v>
      </c>
      <c r="N2881">
        <v>2020</v>
      </c>
      <c r="O2881">
        <v>6</v>
      </c>
    </row>
    <row r="2882" spans="1:15" x14ac:dyDescent="0.3">
      <c r="A2882" s="1">
        <v>44001</v>
      </c>
      <c r="B2882">
        <v>1000000036</v>
      </c>
      <c r="C2882" t="s">
        <v>23</v>
      </c>
      <c r="D2882">
        <v>2</v>
      </c>
      <c r="E2882">
        <v>9701.07</v>
      </c>
      <c r="F2882" t="s">
        <v>16</v>
      </c>
      <c r="G2882" t="s">
        <v>24</v>
      </c>
      <c r="H2882" t="s">
        <v>47</v>
      </c>
      <c r="I2882" t="s">
        <v>48</v>
      </c>
      <c r="J2882" t="s">
        <v>36</v>
      </c>
      <c r="K2882" t="s">
        <v>49</v>
      </c>
      <c r="L2882" t="s">
        <v>28</v>
      </c>
      <c r="M2882">
        <v>4850.5349999999999</v>
      </c>
      <c r="N2882">
        <v>2020</v>
      </c>
      <c r="O2882">
        <v>6</v>
      </c>
    </row>
    <row r="2883" spans="1:15" x14ac:dyDescent="0.3">
      <c r="A2883" s="1">
        <v>44001</v>
      </c>
      <c r="B2883">
        <v>1000000039</v>
      </c>
      <c r="C2883" t="s">
        <v>42</v>
      </c>
      <c r="D2883">
        <v>1</v>
      </c>
      <c r="E2883">
        <v>25000</v>
      </c>
      <c r="F2883" t="s">
        <v>16</v>
      </c>
      <c r="G2883" t="s">
        <v>43</v>
      </c>
      <c r="H2883" t="s">
        <v>18</v>
      </c>
      <c r="I2883" t="s">
        <v>25</v>
      </c>
      <c r="J2883" t="s">
        <v>20</v>
      </c>
      <c r="K2883" t="s">
        <v>51</v>
      </c>
      <c r="L2883" t="s">
        <v>28</v>
      </c>
      <c r="M2883">
        <v>25000</v>
      </c>
      <c r="N2883">
        <v>2020</v>
      </c>
      <c r="O2883">
        <v>6</v>
      </c>
    </row>
    <row r="2884" spans="1:15" x14ac:dyDescent="0.3">
      <c r="A2884" s="1">
        <v>44001</v>
      </c>
      <c r="B2884">
        <v>1000000040</v>
      </c>
      <c r="C2884" t="s">
        <v>23</v>
      </c>
      <c r="D2884">
        <v>2</v>
      </c>
      <c r="E2884">
        <v>16000.760000000002</v>
      </c>
      <c r="F2884" t="s">
        <v>16</v>
      </c>
      <c r="G2884" t="s">
        <v>24</v>
      </c>
      <c r="H2884" t="s">
        <v>30</v>
      </c>
      <c r="I2884" t="s">
        <v>31</v>
      </c>
      <c r="J2884" t="s">
        <v>32</v>
      </c>
      <c r="K2884" t="s">
        <v>33</v>
      </c>
      <c r="L2884" t="s">
        <v>28</v>
      </c>
      <c r="M2884">
        <v>8000.380000000001</v>
      </c>
      <c r="N2884">
        <v>2020</v>
      </c>
      <c r="O2884">
        <v>6</v>
      </c>
    </row>
    <row r="2885" spans="1:15" x14ac:dyDescent="0.3">
      <c r="A2885" s="1">
        <v>44001</v>
      </c>
      <c r="B2885">
        <v>1000000041</v>
      </c>
      <c r="C2885" t="s">
        <v>23</v>
      </c>
      <c r="D2885">
        <v>1</v>
      </c>
      <c r="E2885">
        <v>5000.17</v>
      </c>
      <c r="F2885" t="s">
        <v>16</v>
      </c>
      <c r="G2885" t="s">
        <v>24</v>
      </c>
      <c r="H2885" t="s">
        <v>30</v>
      </c>
      <c r="I2885" t="s">
        <v>31</v>
      </c>
      <c r="J2885" t="s">
        <v>32</v>
      </c>
      <c r="K2885" t="s">
        <v>33</v>
      </c>
      <c r="L2885" t="s">
        <v>22</v>
      </c>
      <c r="M2885">
        <v>5000.17</v>
      </c>
      <c r="N2885">
        <v>2020</v>
      </c>
      <c r="O2885">
        <v>6</v>
      </c>
    </row>
    <row r="2886" spans="1:15" x14ac:dyDescent="0.3">
      <c r="A2886" s="1">
        <v>44001</v>
      </c>
      <c r="B2886">
        <v>1000000041</v>
      </c>
      <c r="C2886" t="s">
        <v>15</v>
      </c>
      <c r="D2886">
        <v>1</v>
      </c>
      <c r="E2886">
        <v>16000.54</v>
      </c>
      <c r="F2886" t="s">
        <v>16</v>
      </c>
      <c r="G2886" t="s">
        <v>17</v>
      </c>
      <c r="H2886" t="s">
        <v>30</v>
      </c>
      <c r="I2886" t="s">
        <v>31</v>
      </c>
      <c r="J2886" t="s">
        <v>32</v>
      </c>
      <c r="K2886" t="s">
        <v>33</v>
      </c>
      <c r="L2886" t="s">
        <v>22</v>
      </c>
      <c r="M2886">
        <v>16000.54</v>
      </c>
      <c r="N2886">
        <v>2020</v>
      </c>
      <c r="O2886">
        <v>6</v>
      </c>
    </row>
    <row r="2887" spans="1:15" x14ac:dyDescent="0.3">
      <c r="A2887" s="1">
        <v>44001</v>
      </c>
      <c r="B2887">
        <v>1000000044</v>
      </c>
      <c r="C2887" t="s">
        <v>23</v>
      </c>
      <c r="D2887">
        <v>1</v>
      </c>
      <c r="E2887">
        <v>10000.36</v>
      </c>
      <c r="F2887" t="s">
        <v>16</v>
      </c>
      <c r="G2887" t="s">
        <v>24</v>
      </c>
      <c r="H2887" t="s">
        <v>30</v>
      </c>
      <c r="I2887" t="s">
        <v>31</v>
      </c>
      <c r="J2887" t="s">
        <v>36</v>
      </c>
      <c r="K2887" t="s">
        <v>52</v>
      </c>
      <c r="L2887" t="s">
        <v>28</v>
      </c>
      <c r="M2887">
        <v>10000.36</v>
      </c>
      <c r="N2887">
        <v>2020</v>
      </c>
      <c r="O2887">
        <v>6</v>
      </c>
    </row>
    <row r="2888" spans="1:15" x14ac:dyDescent="0.3">
      <c r="A2888" s="1">
        <v>44001</v>
      </c>
      <c r="B2888">
        <v>1000000044</v>
      </c>
      <c r="C2888" t="s">
        <v>15</v>
      </c>
      <c r="D2888">
        <v>1</v>
      </c>
      <c r="E2888">
        <v>6000.75</v>
      </c>
      <c r="F2888" t="s">
        <v>16</v>
      </c>
      <c r="G2888" t="s">
        <v>17</v>
      </c>
      <c r="H2888" t="s">
        <v>30</v>
      </c>
      <c r="I2888" t="s">
        <v>31</v>
      </c>
      <c r="J2888" t="s">
        <v>36</v>
      </c>
      <c r="K2888" t="s">
        <v>52</v>
      </c>
      <c r="L2888" t="s">
        <v>28</v>
      </c>
      <c r="M2888">
        <v>6000.75</v>
      </c>
      <c r="N2888">
        <v>2020</v>
      </c>
      <c r="O2888">
        <v>6</v>
      </c>
    </row>
    <row r="2889" spans="1:15" x14ac:dyDescent="0.3">
      <c r="A2889" s="1">
        <v>44001</v>
      </c>
      <c r="B2889">
        <v>1000000044</v>
      </c>
      <c r="C2889" t="s">
        <v>42</v>
      </c>
      <c r="D2889">
        <v>1</v>
      </c>
      <c r="E2889">
        <v>1300.06</v>
      </c>
      <c r="F2889" t="s">
        <v>16</v>
      </c>
      <c r="G2889" t="s">
        <v>43</v>
      </c>
      <c r="H2889" t="s">
        <v>30</v>
      </c>
      <c r="I2889" t="s">
        <v>31</v>
      </c>
      <c r="J2889" t="s">
        <v>36</v>
      </c>
      <c r="K2889" t="s">
        <v>52</v>
      </c>
      <c r="L2889" t="s">
        <v>28</v>
      </c>
      <c r="M2889">
        <v>1300.06</v>
      </c>
      <c r="N2889">
        <v>2020</v>
      </c>
      <c r="O2889">
        <v>6</v>
      </c>
    </row>
    <row r="2890" spans="1:15" x14ac:dyDescent="0.3">
      <c r="A2890" s="1">
        <v>44001</v>
      </c>
      <c r="B2890">
        <v>1000000046</v>
      </c>
      <c r="C2890" t="s">
        <v>15</v>
      </c>
      <c r="D2890">
        <v>1</v>
      </c>
      <c r="E2890">
        <v>1000.35</v>
      </c>
      <c r="F2890" t="s">
        <v>16</v>
      </c>
      <c r="G2890" t="s">
        <v>17</v>
      </c>
      <c r="H2890" t="s">
        <v>30</v>
      </c>
      <c r="I2890" t="s">
        <v>38</v>
      </c>
      <c r="J2890" t="s">
        <v>26</v>
      </c>
      <c r="K2890" t="s">
        <v>39</v>
      </c>
      <c r="L2890" t="s">
        <v>22</v>
      </c>
      <c r="M2890">
        <v>1000.35</v>
      </c>
      <c r="N2890">
        <v>2020</v>
      </c>
      <c r="O2890">
        <v>6</v>
      </c>
    </row>
    <row r="2891" spans="1:15" x14ac:dyDescent="0.3">
      <c r="A2891" s="1">
        <v>44001</v>
      </c>
      <c r="B2891">
        <v>1000000049</v>
      </c>
      <c r="C2891" t="s">
        <v>42</v>
      </c>
      <c r="D2891">
        <v>1</v>
      </c>
      <c r="E2891">
        <v>500.58</v>
      </c>
      <c r="F2891" t="s">
        <v>16</v>
      </c>
      <c r="G2891" t="s">
        <v>43</v>
      </c>
      <c r="H2891" t="s">
        <v>18</v>
      </c>
      <c r="I2891" t="s">
        <v>40</v>
      </c>
      <c r="J2891" t="s">
        <v>26</v>
      </c>
      <c r="K2891" t="s">
        <v>41</v>
      </c>
      <c r="L2891" t="s">
        <v>22</v>
      </c>
      <c r="M2891">
        <v>500.58</v>
      </c>
      <c r="N2891">
        <v>2020</v>
      </c>
      <c r="O2891">
        <v>6</v>
      </c>
    </row>
    <row r="2892" spans="1:15" x14ac:dyDescent="0.3">
      <c r="A2892" s="1">
        <v>44001</v>
      </c>
      <c r="B2892">
        <v>1000000050</v>
      </c>
      <c r="C2892" t="s">
        <v>23</v>
      </c>
      <c r="D2892">
        <v>1</v>
      </c>
      <c r="E2892">
        <v>700.09</v>
      </c>
      <c r="F2892" t="s">
        <v>16</v>
      </c>
      <c r="G2892" t="s">
        <v>24</v>
      </c>
      <c r="H2892" t="s">
        <v>18</v>
      </c>
      <c r="I2892" t="s">
        <v>40</v>
      </c>
      <c r="J2892" t="s">
        <v>26</v>
      </c>
      <c r="K2892" t="s">
        <v>41</v>
      </c>
      <c r="L2892" t="s">
        <v>22</v>
      </c>
      <c r="M2892">
        <v>700.09</v>
      </c>
      <c r="N2892">
        <v>2020</v>
      </c>
      <c r="O2892">
        <v>6</v>
      </c>
    </row>
    <row r="2893" spans="1:15" x14ac:dyDescent="0.3">
      <c r="A2893" s="1">
        <v>44001</v>
      </c>
      <c r="B2893">
        <v>1000000052</v>
      </c>
      <c r="C2893" t="s">
        <v>23</v>
      </c>
      <c r="D2893">
        <v>1</v>
      </c>
      <c r="E2893">
        <v>8000.56</v>
      </c>
      <c r="F2893" t="s">
        <v>16</v>
      </c>
      <c r="G2893" t="s">
        <v>24</v>
      </c>
      <c r="H2893" t="s">
        <v>18</v>
      </c>
      <c r="I2893" t="s">
        <v>34</v>
      </c>
      <c r="J2893" t="s">
        <v>20</v>
      </c>
      <c r="K2893" t="s">
        <v>44</v>
      </c>
      <c r="L2893" t="s">
        <v>22</v>
      </c>
      <c r="M2893">
        <v>8000.56</v>
      </c>
      <c r="N2893">
        <v>2020</v>
      </c>
      <c r="O2893">
        <v>6</v>
      </c>
    </row>
    <row r="2894" spans="1:15" x14ac:dyDescent="0.3">
      <c r="A2894" s="1">
        <v>44001</v>
      </c>
      <c r="B2894">
        <v>1000000054</v>
      </c>
      <c r="C2894" t="s">
        <v>15</v>
      </c>
      <c r="D2894">
        <v>2</v>
      </c>
      <c r="E2894">
        <v>37000.400000000001</v>
      </c>
      <c r="F2894" t="s">
        <v>16</v>
      </c>
      <c r="G2894" t="s">
        <v>17</v>
      </c>
      <c r="H2894" t="s">
        <v>18</v>
      </c>
      <c r="I2894" t="s">
        <v>34</v>
      </c>
      <c r="J2894" t="s">
        <v>26</v>
      </c>
      <c r="K2894" t="s">
        <v>35</v>
      </c>
      <c r="L2894" t="s">
        <v>22</v>
      </c>
      <c r="M2894">
        <v>18500.2</v>
      </c>
      <c r="N2894">
        <v>2020</v>
      </c>
      <c r="O2894">
        <v>6</v>
      </c>
    </row>
    <row r="2895" spans="1:15" x14ac:dyDescent="0.3">
      <c r="A2895" s="1">
        <v>44001</v>
      </c>
      <c r="B2895">
        <v>1000000056</v>
      </c>
      <c r="C2895" t="s">
        <v>23</v>
      </c>
      <c r="D2895">
        <v>3</v>
      </c>
      <c r="E2895">
        <v>18151.060000000001</v>
      </c>
      <c r="F2895" t="s">
        <v>16</v>
      </c>
      <c r="G2895" t="s">
        <v>24</v>
      </c>
      <c r="H2895" t="s">
        <v>18</v>
      </c>
      <c r="I2895" t="s">
        <v>34</v>
      </c>
      <c r="J2895" t="s">
        <v>26</v>
      </c>
      <c r="K2895" t="s">
        <v>35</v>
      </c>
      <c r="L2895" t="s">
        <v>28</v>
      </c>
      <c r="M2895">
        <v>6050.3533333333335</v>
      </c>
      <c r="N2895">
        <v>2020</v>
      </c>
      <c r="O2895">
        <v>6</v>
      </c>
    </row>
    <row r="2896" spans="1:15" x14ac:dyDescent="0.3">
      <c r="A2896" s="1">
        <v>44001</v>
      </c>
      <c r="B2896">
        <v>1000000067</v>
      </c>
      <c r="C2896" t="s">
        <v>23</v>
      </c>
      <c r="D2896">
        <v>1</v>
      </c>
      <c r="E2896">
        <v>14000.37</v>
      </c>
      <c r="F2896" t="s">
        <v>16</v>
      </c>
      <c r="G2896" t="s">
        <v>24</v>
      </c>
      <c r="H2896" t="s">
        <v>18</v>
      </c>
      <c r="I2896" t="s">
        <v>25</v>
      </c>
      <c r="J2896" t="s">
        <v>20</v>
      </c>
      <c r="K2896" t="s">
        <v>51</v>
      </c>
      <c r="L2896" t="s">
        <v>22</v>
      </c>
      <c r="M2896">
        <v>14000.37</v>
      </c>
      <c r="N2896">
        <v>2020</v>
      </c>
      <c r="O2896">
        <v>6</v>
      </c>
    </row>
    <row r="2897" spans="1:15" x14ac:dyDescent="0.3">
      <c r="A2897" s="1">
        <v>44001</v>
      </c>
      <c r="B2897">
        <v>1000000068</v>
      </c>
      <c r="C2897" t="s">
        <v>23</v>
      </c>
      <c r="D2897">
        <v>2</v>
      </c>
      <c r="E2897">
        <v>25001.32</v>
      </c>
      <c r="F2897" t="s">
        <v>16</v>
      </c>
      <c r="G2897" t="s">
        <v>24</v>
      </c>
      <c r="H2897" t="s">
        <v>30</v>
      </c>
      <c r="I2897" t="s">
        <v>55</v>
      </c>
      <c r="J2897" t="s">
        <v>26</v>
      </c>
      <c r="K2897" t="s">
        <v>56</v>
      </c>
      <c r="L2897" t="s">
        <v>28</v>
      </c>
      <c r="M2897">
        <v>12500.66</v>
      </c>
      <c r="N2897">
        <v>2020</v>
      </c>
      <c r="O2897">
        <v>6</v>
      </c>
    </row>
    <row r="2898" spans="1:15" x14ac:dyDescent="0.3">
      <c r="A2898" s="1">
        <v>44001</v>
      </c>
      <c r="B2898">
        <v>1000000104</v>
      </c>
      <c r="C2898" t="s">
        <v>23</v>
      </c>
      <c r="D2898">
        <v>1</v>
      </c>
      <c r="E2898">
        <v>5000.33</v>
      </c>
      <c r="F2898" t="s">
        <v>16</v>
      </c>
      <c r="G2898" t="s">
        <v>24</v>
      </c>
      <c r="H2898" t="s">
        <v>18</v>
      </c>
      <c r="I2898" t="s">
        <v>40</v>
      </c>
      <c r="J2898" t="s">
        <v>26</v>
      </c>
      <c r="K2898" t="s">
        <v>41</v>
      </c>
      <c r="L2898" t="s">
        <v>22</v>
      </c>
      <c r="M2898">
        <v>5000.33</v>
      </c>
      <c r="N2898">
        <v>2020</v>
      </c>
      <c r="O2898">
        <v>6</v>
      </c>
    </row>
    <row r="2899" spans="1:15" x14ac:dyDescent="0.3">
      <c r="A2899" s="1">
        <v>44001</v>
      </c>
      <c r="B2899">
        <v>1000000237</v>
      </c>
      <c r="C2899" t="s">
        <v>42</v>
      </c>
      <c r="D2899">
        <v>1</v>
      </c>
      <c r="E2899">
        <v>1417.42</v>
      </c>
      <c r="F2899" t="s">
        <v>16</v>
      </c>
      <c r="G2899" t="s">
        <v>43</v>
      </c>
      <c r="H2899" t="s">
        <v>18</v>
      </c>
      <c r="I2899" t="s">
        <v>40</v>
      </c>
      <c r="J2899" t="s">
        <v>26</v>
      </c>
      <c r="K2899" t="s">
        <v>41</v>
      </c>
      <c r="L2899" t="s">
        <v>22</v>
      </c>
      <c r="M2899">
        <v>1417.42</v>
      </c>
      <c r="N2899">
        <v>2020</v>
      </c>
      <c r="O2899">
        <v>6</v>
      </c>
    </row>
    <row r="2900" spans="1:15" x14ac:dyDescent="0.3">
      <c r="A2900" s="1">
        <v>44001</v>
      </c>
      <c r="B2900">
        <v>1000000566</v>
      </c>
      <c r="C2900" t="s">
        <v>23</v>
      </c>
      <c r="D2900">
        <v>1</v>
      </c>
      <c r="E2900">
        <v>500.54</v>
      </c>
      <c r="F2900" t="s">
        <v>16</v>
      </c>
      <c r="G2900" t="s">
        <v>24</v>
      </c>
      <c r="H2900" t="s">
        <v>47</v>
      </c>
      <c r="I2900" t="s">
        <v>48</v>
      </c>
      <c r="J2900" t="s">
        <v>36</v>
      </c>
      <c r="K2900" t="s">
        <v>49</v>
      </c>
      <c r="L2900" t="s">
        <v>22</v>
      </c>
      <c r="M2900">
        <v>500.54</v>
      </c>
      <c r="N2900">
        <v>2020</v>
      </c>
      <c r="O2900">
        <v>6</v>
      </c>
    </row>
    <row r="2901" spans="1:15" x14ac:dyDescent="0.3">
      <c r="A2901" s="1">
        <v>44001</v>
      </c>
      <c r="B2901">
        <v>1000000566</v>
      </c>
      <c r="C2901" t="s">
        <v>15</v>
      </c>
      <c r="D2901">
        <v>1</v>
      </c>
      <c r="E2901">
        <v>10000.209999999999</v>
      </c>
      <c r="F2901" t="s">
        <v>16</v>
      </c>
      <c r="G2901" t="s">
        <v>17</v>
      </c>
      <c r="H2901" t="s">
        <v>47</v>
      </c>
      <c r="I2901" t="s">
        <v>48</v>
      </c>
      <c r="J2901" t="s">
        <v>36</v>
      </c>
      <c r="K2901" t="s">
        <v>49</v>
      </c>
      <c r="L2901" t="s">
        <v>22</v>
      </c>
      <c r="M2901">
        <v>10000.209999999999</v>
      </c>
      <c r="N2901">
        <v>2020</v>
      </c>
      <c r="O2901">
        <v>6</v>
      </c>
    </row>
    <row r="2902" spans="1:15" x14ac:dyDescent="0.3">
      <c r="A2902" s="1">
        <v>44001</v>
      </c>
      <c r="B2902">
        <v>1000000566</v>
      </c>
      <c r="C2902" t="s">
        <v>42</v>
      </c>
      <c r="D2902">
        <v>1</v>
      </c>
      <c r="E2902">
        <v>8999.93</v>
      </c>
      <c r="F2902" t="s">
        <v>16</v>
      </c>
      <c r="G2902" t="s">
        <v>43</v>
      </c>
      <c r="H2902" t="s">
        <v>47</v>
      </c>
      <c r="I2902" t="s">
        <v>48</v>
      </c>
      <c r="J2902" t="s">
        <v>36</v>
      </c>
      <c r="K2902" t="s">
        <v>49</v>
      </c>
      <c r="L2902" t="s">
        <v>22</v>
      </c>
      <c r="M2902">
        <v>8999.93</v>
      </c>
      <c r="N2902">
        <v>2020</v>
      </c>
      <c r="O2902">
        <v>6</v>
      </c>
    </row>
    <row r="2903" spans="1:15" x14ac:dyDescent="0.3">
      <c r="A2903" s="1">
        <v>44001</v>
      </c>
      <c r="B2903">
        <v>1000000576</v>
      </c>
      <c r="C2903" t="s">
        <v>15</v>
      </c>
      <c r="D2903">
        <v>1</v>
      </c>
      <c r="E2903">
        <v>20000.650000000001</v>
      </c>
      <c r="F2903" t="s">
        <v>16</v>
      </c>
      <c r="G2903" t="s">
        <v>17</v>
      </c>
      <c r="H2903" t="s">
        <v>18</v>
      </c>
      <c r="I2903" t="s">
        <v>25</v>
      </c>
      <c r="J2903" t="s">
        <v>36</v>
      </c>
      <c r="K2903" t="s">
        <v>37</v>
      </c>
      <c r="L2903" t="s">
        <v>22</v>
      </c>
      <c r="M2903">
        <v>20000.650000000001</v>
      </c>
      <c r="N2903">
        <v>2020</v>
      </c>
      <c r="O2903">
        <v>6</v>
      </c>
    </row>
    <row r="2904" spans="1:15" x14ac:dyDescent="0.3">
      <c r="A2904" s="1">
        <v>44001</v>
      </c>
      <c r="B2904">
        <v>1000000594</v>
      </c>
      <c r="C2904" t="s">
        <v>15</v>
      </c>
      <c r="D2904">
        <v>2</v>
      </c>
      <c r="E2904">
        <v>14000.99</v>
      </c>
      <c r="F2904" t="s">
        <v>16</v>
      </c>
      <c r="G2904" t="s">
        <v>17</v>
      </c>
      <c r="H2904" t="s">
        <v>18</v>
      </c>
      <c r="I2904" t="s">
        <v>25</v>
      </c>
      <c r="J2904" t="s">
        <v>20</v>
      </c>
      <c r="K2904" t="s">
        <v>51</v>
      </c>
      <c r="L2904" t="s">
        <v>22</v>
      </c>
      <c r="M2904">
        <v>7000.4949999999999</v>
      </c>
      <c r="N2904">
        <v>2020</v>
      </c>
      <c r="O2904">
        <v>6</v>
      </c>
    </row>
    <row r="2905" spans="1:15" x14ac:dyDescent="0.3">
      <c r="A2905" s="1">
        <v>44001</v>
      </c>
      <c r="B2905">
        <v>1000000928</v>
      </c>
      <c r="C2905" t="s">
        <v>23</v>
      </c>
      <c r="D2905">
        <v>3</v>
      </c>
      <c r="E2905">
        <v>27501.11</v>
      </c>
      <c r="F2905" t="s">
        <v>16</v>
      </c>
      <c r="G2905" t="s">
        <v>24</v>
      </c>
      <c r="H2905" t="s">
        <v>30</v>
      </c>
      <c r="I2905" t="s">
        <v>57</v>
      </c>
      <c r="J2905" t="s">
        <v>26</v>
      </c>
      <c r="K2905" t="s">
        <v>58</v>
      </c>
      <c r="L2905" t="s">
        <v>22</v>
      </c>
      <c r="M2905">
        <v>9167.0366666666669</v>
      </c>
      <c r="N2905">
        <v>2020</v>
      </c>
      <c r="O2905">
        <v>6</v>
      </c>
    </row>
    <row r="2906" spans="1:15" x14ac:dyDescent="0.3">
      <c r="A2906" s="1">
        <v>44001</v>
      </c>
      <c r="B2906">
        <v>1000001524</v>
      </c>
      <c r="C2906" t="s">
        <v>23</v>
      </c>
      <c r="D2906">
        <v>1</v>
      </c>
      <c r="E2906">
        <v>12999.97</v>
      </c>
      <c r="F2906" t="s">
        <v>16</v>
      </c>
      <c r="G2906" t="s">
        <v>24</v>
      </c>
      <c r="H2906" t="s">
        <v>18</v>
      </c>
      <c r="I2906" t="s">
        <v>25</v>
      </c>
      <c r="J2906" t="s">
        <v>20</v>
      </c>
      <c r="K2906" t="s">
        <v>51</v>
      </c>
      <c r="L2906" t="s">
        <v>22</v>
      </c>
      <c r="M2906">
        <v>12999.97</v>
      </c>
      <c r="N2906">
        <v>2020</v>
      </c>
      <c r="O2906">
        <v>6</v>
      </c>
    </row>
    <row r="2907" spans="1:15" x14ac:dyDescent="0.3">
      <c r="A2907" s="1">
        <v>44001</v>
      </c>
      <c r="B2907">
        <v>1000001524</v>
      </c>
      <c r="C2907" t="s">
        <v>15</v>
      </c>
      <c r="D2907">
        <v>1</v>
      </c>
      <c r="E2907">
        <v>20000.23</v>
      </c>
      <c r="F2907" t="s">
        <v>16</v>
      </c>
      <c r="G2907" t="s">
        <v>17</v>
      </c>
      <c r="H2907" t="s">
        <v>18</v>
      </c>
      <c r="I2907" t="s">
        <v>25</v>
      </c>
      <c r="J2907" t="s">
        <v>20</v>
      </c>
      <c r="K2907" t="s">
        <v>51</v>
      </c>
      <c r="L2907" t="s">
        <v>22</v>
      </c>
      <c r="M2907">
        <v>20000.23</v>
      </c>
      <c r="N2907">
        <v>2020</v>
      </c>
      <c r="O2907">
        <v>6</v>
      </c>
    </row>
    <row r="2908" spans="1:15" x14ac:dyDescent="0.3">
      <c r="A2908" s="1">
        <v>44001</v>
      </c>
      <c r="B2908">
        <v>1000002861</v>
      </c>
      <c r="C2908" t="s">
        <v>15</v>
      </c>
      <c r="D2908">
        <v>1</v>
      </c>
      <c r="E2908">
        <v>17999.939999999999</v>
      </c>
      <c r="F2908" t="s">
        <v>16</v>
      </c>
      <c r="G2908" t="s">
        <v>17</v>
      </c>
      <c r="H2908" t="s">
        <v>47</v>
      </c>
      <c r="I2908" t="s">
        <v>48</v>
      </c>
      <c r="J2908" t="s">
        <v>36</v>
      </c>
      <c r="K2908" t="s">
        <v>49</v>
      </c>
      <c r="L2908" t="s">
        <v>22</v>
      </c>
      <c r="M2908">
        <v>17999.939999999999</v>
      </c>
      <c r="N2908">
        <v>2020</v>
      </c>
      <c r="O2908">
        <v>6</v>
      </c>
    </row>
    <row r="2909" spans="1:15" x14ac:dyDescent="0.3">
      <c r="A2909" s="1">
        <v>44001</v>
      </c>
      <c r="B2909">
        <v>1000003803</v>
      </c>
      <c r="C2909" t="s">
        <v>23</v>
      </c>
      <c r="D2909">
        <v>2</v>
      </c>
      <c r="E2909">
        <v>14000.79</v>
      </c>
      <c r="F2909" t="s">
        <v>16</v>
      </c>
      <c r="G2909" t="s">
        <v>24</v>
      </c>
      <c r="H2909" t="s">
        <v>30</v>
      </c>
      <c r="I2909" t="s">
        <v>31</v>
      </c>
      <c r="J2909" t="s">
        <v>36</v>
      </c>
      <c r="K2909" t="s">
        <v>52</v>
      </c>
      <c r="L2909" t="s">
        <v>22</v>
      </c>
      <c r="M2909">
        <v>7000.3950000000004</v>
      </c>
      <c r="N2909">
        <v>2020</v>
      </c>
      <c r="O2909">
        <v>6</v>
      </c>
    </row>
    <row r="2910" spans="1:15" x14ac:dyDescent="0.3">
      <c r="A2910" s="1">
        <v>44001</v>
      </c>
      <c r="B2910">
        <v>1000003926</v>
      </c>
      <c r="C2910" t="s">
        <v>23</v>
      </c>
      <c r="D2910">
        <v>4</v>
      </c>
      <c r="E2910">
        <v>42500.959999999999</v>
      </c>
      <c r="F2910" t="s">
        <v>16</v>
      </c>
      <c r="G2910" t="s">
        <v>24</v>
      </c>
      <c r="H2910" t="s">
        <v>47</v>
      </c>
      <c r="I2910" t="s">
        <v>48</v>
      </c>
      <c r="J2910" t="s">
        <v>26</v>
      </c>
      <c r="K2910" t="s">
        <v>50</v>
      </c>
      <c r="L2910" t="s">
        <v>28</v>
      </c>
      <c r="M2910">
        <v>10625.24</v>
      </c>
      <c r="N2910">
        <v>2020</v>
      </c>
      <c r="O2910">
        <v>6</v>
      </c>
    </row>
    <row r="2911" spans="1:15" x14ac:dyDescent="0.3">
      <c r="A2911" s="1">
        <v>44001</v>
      </c>
      <c r="B2911">
        <v>1000003926</v>
      </c>
      <c r="C2911" t="s">
        <v>15</v>
      </c>
      <c r="D2911">
        <v>1</v>
      </c>
      <c r="E2911">
        <v>5500.36</v>
      </c>
      <c r="F2911" t="s">
        <v>16</v>
      </c>
      <c r="G2911" t="s">
        <v>17</v>
      </c>
      <c r="H2911" t="s">
        <v>47</v>
      </c>
      <c r="I2911" t="s">
        <v>48</v>
      </c>
      <c r="J2911" t="s">
        <v>26</v>
      </c>
      <c r="K2911" t="s">
        <v>50</v>
      </c>
      <c r="L2911" t="s">
        <v>28</v>
      </c>
      <c r="M2911">
        <v>5500.36</v>
      </c>
      <c r="N2911">
        <v>2020</v>
      </c>
      <c r="O2911">
        <v>6</v>
      </c>
    </row>
    <row r="2912" spans="1:15" x14ac:dyDescent="0.3">
      <c r="A2912" s="1">
        <v>44001</v>
      </c>
      <c r="B2912">
        <v>1000003926</v>
      </c>
      <c r="C2912" t="s">
        <v>42</v>
      </c>
      <c r="D2912">
        <v>1</v>
      </c>
      <c r="E2912">
        <v>1000.54</v>
      </c>
      <c r="F2912" t="s">
        <v>16</v>
      </c>
      <c r="G2912" t="s">
        <v>43</v>
      </c>
      <c r="H2912" t="s">
        <v>47</v>
      </c>
      <c r="I2912" t="s">
        <v>48</v>
      </c>
      <c r="J2912" t="s">
        <v>26</v>
      </c>
      <c r="K2912" t="s">
        <v>50</v>
      </c>
      <c r="L2912" t="s">
        <v>28</v>
      </c>
      <c r="M2912">
        <v>1000.54</v>
      </c>
      <c r="N2912">
        <v>2020</v>
      </c>
      <c r="O2912">
        <v>6</v>
      </c>
    </row>
    <row r="2913" spans="1:15" x14ac:dyDescent="0.3">
      <c r="A2913" s="1">
        <v>44001</v>
      </c>
      <c r="B2913">
        <v>1000004170</v>
      </c>
      <c r="C2913" t="s">
        <v>23</v>
      </c>
      <c r="D2913">
        <v>1</v>
      </c>
      <c r="E2913">
        <v>6000.66</v>
      </c>
      <c r="F2913" t="s">
        <v>16</v>
      </c>
      <c r="G2913" t="s">
        <v>24</v>
      </c>
      <c r="H2913" t="s">
        <v>18</v>
      </c>
      <c r="I2913" t="s">
        <v>34</v>
      </c>
      <c r="J2913" t="s">
        <v>20</v>
      </c>
      <c r="K2913" t="s">
        <v>44</v>
      </c>
      <c r="L2913" t="s">
        <v>28</v>
      </c>
      <c r="M2913">
        <v>6000.66</v>
      </c>
      <c r="N2913">
        <v>2020</v>
      </c>
      <c r="O2913">
        <v>6</v>
      </c>
    </row>
    <row r="2914" spans="1:15" x14ac:dyDescent="0.3">
      <c r="A2914" s="1">
        <v>44001</v>
      </c>
      <c r="B2914">
        <v>1000004170</v>
      </c>
      <c r="C2914" t="s">
        <v>42</v>
      </c>
      <c r="D2914">
        <v>1</v>
      </c>
      <c r="E2914">
        <v>5000.51</v>
      </c>
      <c r="F2914" t="s">
        <v>16</v>
      </c>
      <c r="G2914" t="s">
        <v>43</v>
      </c>
      <c r="H2914" t="s">
        <v>18</v>
      </c>
      <c r="I2914" t="s">
        <v>34</v>
      </c>
      <c r="J2914" t="s">
        <v>20</v>
      </c>
      <c r="K2914" t="s">
        <v>44</v>
      </c>
      <c r="L2914" t="s">
        <v>28</v>
      </c>
      <c r="M2914">
        <v>5000.51</v>
      </c>
      <c r="N2914">
        <v>2020</v>
      </c>
      <c r="O2914">
        <v>6</v>
      </c>
    </row>
    <row r="2915" spans="1:15" x14ac:dyDescent="0.3">
      <c r="A2915" s="1">
        <v>44001</v>
      </c>
      <c r="B2915">
        <v>1000004256</v>
      </c>
      <c r="C2915" t="s">
        <v>15</v>
      </c>
      <c r="D2915">
        <v>2</v>
      </c>
      <c r="E2915">
        <v>8485.91</v>
      </c>
      <c r="F2915" t="s">
        <v>16</v>
      </c>
      <c r="G2915" t="s">
        <v>17</v>
      </c>
      <c r="H2915" t="s">
        <v>18</v>
      </c>
      <c r="I2915" t="s">
        <v>40</v>
      </c>
      <c r="J2915" t="s">
        <v>26</v>
      </c>
      <c r="K2915" t="s">
        <v>41</v>
      </c>
      <c r="L2915" t="s">
        <v>22</v>
      </c>
      <c r="M2915">
        <v>4242.9549999999999</v>
      </c>
      <c r="N2915">
        <v>2020</v>
      </c>
      <c r="O2915">
        <v>6</v>
      </c>
    </row>
    <row r="2916" spans="1:15" x14ac:dyDescent="0.3">
      <c r="A2916" s="1">
        <v>44001</v>
      </c>
      <c r="B2916">
        <v>1000005873</v>
      </c>
      <c r="C2916" t="s">
        <v>23</v>
      </c>
      <c r="D2916">
        <v>1</v>
      </c>
      <c r="E2916">
        <v>8000.67</v>
      </c>
      <c r="F2916" t="s">
        <v>16</v>
      </c>
      <c r="G2916" t="s">
        <v>24</v>
      </c>
      <c r="H2916" t="s">
        <v>18</v>
      </c>
      <c r="I2916" t="s">
        <v>19</v>
      </c>
      <c r="J2916" t="s">
        <v>20</v>
      </c>
      <c r="K2916" t="s">
        <v>21</v>
      </c>
      <c r="L2916" t="s">
        <v>28</v>
      </c>
      <c r="M2916">
        <v>8000.67</v>
      </c>
      <c r="N2916">
        <v>2020</v>
      </c>
      <c r="O2916">
        <v>6</v>
      </c>
    </row>
    <row r="2917" spans="1:15" x14ac:dyDescent="0.3">
      <c r="A2917" s="1">
        <v>44001</v>
      </c>
      <c r="B2917">
        <v>1000005873</v>
      </c>
      <c r="C2917" t="s">
        <v>15</v>
      </c>
      <c r="D2917">
        <v>1</v>
      </c>
      <c r="E2917">
        <v>10000.59</v>
      </c>
      <c r="F2917" t="s">
        <v>16</v>
      </c>
      <c r="G2917" t="s">
        <v>17</v>
      </c>
      <c r="H2917" t="s">
        <v>18</v>
      </c>
      <c r="I2917" t="s">
        <v>19</v>
      </c>
      <c r="J2917" t="s">
        <v>20</v>
      </c>
      <c r="K2917" t="s">
        <v>21</v>
      </c>
      <c r="L2917" t="s">
        <v>28</v>
      </c>
      <c r="M2917">
        <v>10000.59</v>
      </c>
      <c r="N2917">
        <v>2020</v>
      </c>
      <c r="O2917">
        <v>6</v>
      </c>
    </row>
    <row r="2918" spans="1:15" x14ac:dyDescent="0.3">
      <c r="A2918" s="1">
        <v>44001</v>
      </c>
      <c r="B2918">
        <v>1000006867</v>
      </c>
      <c r="C2918" t="s">
        <v>15</v>
      </c>
      <c r="D2918">
        <v>1</v>
      </c>
      <c r="E2918">
        <v>10000.030000000001</v>
      </c>
      <c r="F2918" t="s">
        <v>16</v>
      </c>
      <c r="G2918" t="s">
        <v>17</v>
      </c>
      <c r="H2918" t="s">
        <v>18</v>
      </c>
      <c r="I2918" t="s">
        <v>61</v>
      </c>
      <c r="J2918" t="s">
        <v>26</v>
      </c>
      <c r="K2918" t="s">
        <v>62</v>
      </c>
      <c r="L2918" t="s">
        <v>22</v>
      </c>
      <c r="M2918">
        <v>10000.030000000001</v>
      </c>
      <c r="N2918">
        <v>2020</v>
      </c>
      <c r="O2918">
        <v>6</v>
      </c>
    </row>
    <row r="2919" spans="1:15" x14ac:dyDescent="0.3">
      <c r="A2919" s="1">
        <v>44001</v>
      </c>
      <c r="B2919">
        <v>1000007320</v>
      </c>
      <c r="C2919" t="s">
        <v>42</v>
      </c>
      <c r="D2919">
        <v>1</v>
      </c>
      <c r="E2919">
        <v>25000.49</v>
      </c>
      <c r="F2919" t="s">
        <v>16</v>
      </c>
      <c r="G2919" t="s">
        <v>43</v>
      </c>
      <c r="H2919" t="s">
        <v>18</v>
      </c>
      <c r="I2919" t="s">
        <v>34</v>
      </c>
      <c r="J2919" t="s">
        <v>26</v>
      </c>
      <c r="K2919" t="s">
        <v>35</v>
      </c>
      <c r="L2919" t="s">
        <v>22</v>
      </c>
      <c r="M2919">
        <v>25000.49</v>
      </c>
      <c r="N2919">
        <v>2020</v>
      </c>
      <c r="O2919">
        <v>6</v>
      </c>
    </row>
    <row r="2920" spans="1:15" x14ac:dyDescent="0.3">
      <c r="A2920" s="1">
        <v>44001</v>
      </c>
      <c r="B2920">
        <v>1000008228</v>
      </c>
      <c r="C2920" t="s">
        <v>23</v>
      </c>
      <c r="D2920">
        <v>1</v>
      </c>
      <c r="E2920">
        <v>20000.54</v>
      </c>
      <c r="F2920" t="s">
        <v>16</v>
      </c>
      <c r="G2920" t="s">
        <v>24</v>
      </c>
      <c r="H2920" t="s">
        <v>30</v>
      </c>
      <c r="I2920" t="s">
        <v>31</v>
      </c>
      <c r="J2920" t="s">
        <v>36</v>
      </c>
      <c r="K2920" t="s">
        <v>52</v>
      </c>
      <c r="L2920" t="s">
        <v>22</v>
      </c>
      <c r="M2920">
        <v>20000.54</v>
      </c>
      <c r="N2920">
        <v>2020</v>
      </c>
      <c r="O2920">
        <v>6</v>
      </c>
    </row>
    <row r="2921" spans="1:15" x14ac:dyDescent="0.3">
      <c r="A2921" s="1">
        <v>44001</v>
      </c>
      <c r="B2921">
        <v>1000008239</v>
      </c>
      <c r="C2921" t="s">
        <v>23</v>
      </c>
      <c r="D2921">
        <v>1</v>
      </c>
      <c r="E2921">
        <v>6000.17</v>
      </c>
      <c r="F2921" t="s">
        <v>16</v>
      </c>
      <c r="G2921" t="s">
        <v>24</v>
      </c>
      <c r="H2921" t="s">
        <v>18</v>
      </c>
      <c r="I2921" t="s">
        <v>61</v>
      </c>
      <c r="J2921" t="s">
        <v>26</v>
      </c>
      <c r="K2921" t="s">
        <v>62</v>
      </c>
      <c r="L2921" t="s">
        <v>28</v>
      </c>
      <c r="M2921">
        <v>6000.17</v>
      </c>
      <c r="N2921">
        <v>2020</v>
      </c>
      <c r="O2921">
        <v>6</v>
      </c>
    </row>
    <row r="2922" spans="1:15" x14ac:dyDescent="0.3">
      <c r="A2922" s="1">
        <v>44001</v>
      </c>
      <c r="B2922">
        <v>1000008239</v>
      </c>
      <c r="C2922" t="s">
        <v>15</v>
      </c>
      <c r="D2922">
        <v>1</v>
      </c>
      <c r="E2922">
        <v>11999.98</v>
      </c>
      <c r="F2922" t="s">
        <v>16</v>
      </c>
      <c r="G2922" t="s">
        <v>17</v>
      </c>
      <c r="H2922" t="s">
        <v>18</v>
      </c>
      <c r="I2922" t="s">
        <v>61</v>
      </c>
      <c r="J2922" t="s">
        <v>26</v>
      </c>
      <c r="K2922" t="s">
        <v>62</v>
      </c>
      <c r="L2922" t="s">
        <v>28</v>
      </c>
      <c r="M2922">
        <v>11999.98</v>
      </c>
      <c r="N2922">
        <v>2020</v>
      </c>
      <c r="O2922">
        <v>6</v>
      </c>
    </row>
    <row r="2923" spans="1:15" x14ac:dyDescent="0.3">
      <c r="A2923" s="1">
        <v>44001</v>
      </c>
      <c r="B2923">
        <v>1000008542</v>
      </c>
      <c r="C2923" t="s">
        <v>23</v>
      </c>
      <c r="D2923">
        <v>1</v>
      </c>
      <c r="E2923">
        <v>1000.42</v>
      </c>
      <c r="F2923" t="s">
        <v>16</v>
      </c>
      <c r="G2923" t="s">
        <v>24</v>
      </c>
      <c r="H2923" t="s">
        <v>18</v>
      </c>
      <c r="I2923" t="s">
        <v>40</v>
      </c>
      <c r="J2923" t="s">
        <v>26</v>
      </c>
      <c r="K2923" t="s">
        <v>41</v>
      </c>
      <c r="L2923" t="s">
        <v>22</v>
      </c>
      <c r="M2923">
        <v>1000.42</v>
      </c>
      <c r="N2923">
        <v>2020</v>
      </c>
      <c r="O2923">
        <v>6</v>
      </c>
    </row>
    <row r="2924" spans="1:15" x14ac:dyDescent="0.3">
      <c r="A2924" s="1">
        <v>44001</v>
      </c>
      <c r="B2924">
        <v>1000008957</v>
      </c>
      <c r="C2924" t="s">
        <v>23</v>
      </c>
      <c r="D2924">
        <v>1</v>
      </c>
      <c r="E2924">
        <v>13000.03</v>
      </c>
      <c r="F2924" t="s">
        <v>16</v>
      </c>
      <c r="G2924" t="s">
        <v>24</v>
      </c>
      <c r="H2924" t="s">
        <v>18</v>
      </c>
      <c r="I2924" t="s">
        <v>34</v>
      </c>
      <c r="J2924" t="s">
        <v>20</v>
      </c>
      <c r="K2924" t="s">
        <v>44</v>
      </c>
      <c r="L2924" t="s">
        <v>22</v>
      </c>
      <c r="M2924">
        <v>13000.03</v>
      </c>
      <c r="N2924">
        <v>2020</v>
      </c>
      <c r="O2924">
        <v>6</v>
      </c>
    </row>
    <row r="2925" spans="1:15" x14ac:dyDescent="0.3">
      <c r="A2925" s="1">
        <v>44001</v>
      </c>
      <c r="B2925">
        <v>1000009288</v>
      </c>
      <c r="C2925" t="s">
        <v>23</v>
      </c>
      <c r="D2925">
        <v>3</v>
      </c>
      <c r="E2925">
        <v>26000.400000000001</v>
      </c>
      <c r="F2925" t="s">
        <v>16</v>
      </c>
      <c r="G2925" t="s">
        <v>24</v>
      </c>
      <c r="H2925" t="s">
        <v>18</v>
      </c>
      <c r="I2925" t="s">
        <v>25</v>
      </c>
      <c r="J2925" t="s">
        <v>20</v>
      </c>
      <c r="K2925" t="s">
        <v>51</v>
      </c>
      <c r="L2925" t="s">
        <v>22</v>
      </c>
      <c r="M2925">
        <v>8666.8000000000011</v>
      </c>
      <c r="N2925">
        <v>2020</v>
      </c>
      <c r="O2925">
        <v>6</v>
      </c>
    </row>
    <row r="2926" spans="1:15" x14ac:dyDescent="0.3">
      <c r="A2926" s="1">
        <v>44001</v>
      </c>
      <c r="B2926">
        <v>1000010837</v>
      </c>
      <c r="C2926" t="s">
        <v>42</v>
      </c>
      <c r="D2926">
        <v>1</v>
      </c>
      <c r="E2926">
        <v>2000.16</v>
      </c>
      <c r="F2926" t="s">
        <v>16</v>
      </c>
      <c r="G2926" t="s">
        <v>43</v>
      </c>
      <c r="H2926" t="s">
        <v>18</v>
      </c>
      <c r="I2926" t="s">
        <v>61</v>
      </c>
      <c r="J2926" t="s">
        <v>26</v>
      </c>
      <c r="K2926" t="s">
        <v>62</v>
      </c>
      <c r="L2926" t="s">
        <v>22</v>
      </c>
      <c r="M2926">
        <v>2000.16</v>
      </c>
      <c r="N2926">
        <v>2020</v>
      </c>
      <c r="O2926">
        <v>6</v>
      </c>
    </row>
    <row r="2927" spans="1:15" x14ac:dyDescent="0.3">
      <c r="A2927" s="1">
        <v>44001</v>
      </c>
      <c r="B2927">
        <v>1000010881</v>
      </c>
      <c r="C2927" t="s">
        <v>23</v>
      </c>
      <c r="D2927">
        <v>2</v>
      </c>
      <c r="E2927">
        <v>11500.79</v>
      </c>
      <c r="F2927" t="s">
        <v>16</v>
      </c>
      <c r="G2927" t="s">
        <v>24</v>
      </c>
      <c r="H2927" t="s">
        <v>47</v>
      </c>
      <c r="I2927" t="s">
        <v>48</v>
      </c>
      <c r="J2927" t="s">
        <v>26</v>
      </c>
      <c r="K2927" t="s">
        <v>50</v>
      </c>
      <c r="L2927" t="s">
        <v>22</v>
      </c>
      <c r="M2927">
        <v>5750.3950000000004</v>
      </c>
      <c r="N2927">
        <v>2020</v>
      </c>
      <c r="O2927">
        <v>6</v>
      </c>
    </row>
    <row r="2928" spans="1:15" x14ac:dyDescent="0.3">
      <c r="A2928" s="1">
        <v>44001</v>
      </c>
      <c r="B2928">
        <v>1000011538</v>
      </c>
      <c r="C2928" t="s">
        <v>23</v>
      </c>
      <c r="D2928">
        <v>1</v>
      </c>
      <c r="E2928">
        <v>8000.04</v>
      </c>
      <c r="F2928" t="s">
        <v>16</v>
      </c>
      <c r="G2928" t="s">
        <v>24</v>
      </c>
      <c r="H2928" t="s">
        <v>18</v>
      </c>
      <c r="I2928" t="s">
        <v>40</v>
      </c>
      <c r="J2928" t="s">
        <v>20</v>
      </c>
      <c r="K2928" t="s">
        <v>68</v>
      </c>
      <c r="L2928" t="s">
        <v>22</v>
      </c>
      <c r="M2928">
        <v>8000.04</v>
      </c>
      <c r="N2928">
        <v>2020</v>
      </c>
      <c r="O2928">
        <v>6</v>
      </c>
    </row>
    <row r="2929" spans="1:15" x14ac:dyDescent="0.3">
      <c r="A2929" s="1">
        <v>44001</v>
      </c>
      <c r="B2929">
        <v>1000011697</v>
      </c>
      <c r="C2929" t="s">
        <v>23</v>
      </c>
      <c r="D2929">
        <v>2</v>
      </c>
      <c r="E2929">
        <v>13001.08</v>
      </c>
      <c r="F2929" t="s">
        <v>16</v>
      </c>
      <c r="G2929" t="s">
        <v>24</v>
      </c>
      <c r="H2929" t="s">
        <v>18</v>
      </c>
      <c r="I2929" t="s">
        <v>34</v>
      </c>
      <c r="J2929" t="s">
        <v>20</v>
      </c>
      <c r="K2929" t="s">
        <v>44</v>
      </c>
      <c r="L2929" t="s">
        <v>22</v>
      </c>
      <c r="M2929">
        <v>6500.54</v>
      </c>
      <c r="N2929">
        <v>2020</v>
      </c>
      <c r="O2929">
        <v>6</v>
      </c>
    </row>
    <row r="2930" spans="1:15" x14ac:dyDescent="0.3">
      <c r="A2930" s="1">
        <v>44001</v>
      </c>
      <c r="B2930">
        <v>1000011698</v>
      </c>
      <c r="C2930" t="s">
        <v>23</v>
      </c>
      <c r="D2930">
        <v>5</v>
      </c>
      <c r="E2930">
        <v>26602.32</v>
      </c>
      <c r="F2930" t="s">
        <v>16</v>
      </c>
      <c r="G2930" t="s">
        <v>24</v>
      </c>
      <c r="H2930" t="s">
        <v>18</v>
      </c>
      <c r="I2930" t="s">
        <v>34</v>
      </c>
      <c r="J2930" t="s">
        <v>20</v>
      </c>
      <c r="K2930" t="s">
        <v>44</v>
      </c>
      <c r="L2930" t="s">
        <v>22</v>
      </c>
      <c r="M2930">
        <v>5320.4639999999999</v>
      </c>
      <c r="N2930">
        <v>2020</v>
      </c>
      <c r="O2930">
        <v>6</v>
      </c>
    </row>
    <row r="2931" spans="1:15" x14ac:dyDescent="0.3">
      <c r="A2931" s="1">
        <v>44001</v>
      </c>
      <c r="B2931">
        <v>1000011698</v>
      </c>
      <c r="C2931" t="s">
        <v>15</v>
      </c>
      <c r="D2931">
        <v>2</v>
      </c>
      <c r="E2931">
        <v>32000.71</v>
      </c>
      <c r="F2931" t="s">
        <v>16</v>
      </c>
      <c r="G2931" t="s">
        <v>17</v>
      </c>
      <c r="H2931" t="s">
        <v>18</v>
      </c>
      <c r="I2931" t="s">
        <v>34</v>
      </c>
      <c r="J2931" t="s">
        <v>20</v>
      </c>
      <c r="K2931" t="s">
        <v>44</v>
      </c>
      <c r="L2931" t="s">
        <v>22</v>
      </c>
      <c r="M2931">
        <v>16000.355</v>
      </c>
      <c r="N2931">
        <v>2020</v>
      </c>
      <c r="O2931">
        <v>6</v>
      </c>
    </row>
    <row r="2932" spans="1:15" x14ac:dyDescent="0.3">
      <c r="A2932" s="1">
        <v>44001</v>
      </c>
      <c r="B2932">
        <v>1000011828</v>
      </c>
      <c r="C2932" t="s">
        <v>15</v>
      </c>
      <c r="D2932">
        <v>1</v>
      </c>
      <c r="E2932">
        <v>13000.66</v>
      </c>
      <c r="F2932" t="s">
        <v>16</v>
      </c>
      <c r="G2932" t="s">
        <v>17</v>
      </c>
      <c r="H2932" t="s">
        <v>18</v>
      </c>
      <c r="I2932" t="s">
        <v>19</v>
      </c>
      <c r="J2932" t="s">
        <v>20</v>
      </c>
      <c r="K2932" t="s">
        <v>21</v>
      </c>
      <c r="L2932" t="s">
        <v>22</v>
      </c>
      <c r="M2932">
        <v>13000.66</v>
      </c>
      <c r="N2932">
        <v>2020</v>
      </c>
      <c r="O2932">
        <v>6</v>
      </c>
    </row>
    <row r="2933" spans="1:15" x14ac:dyDescent="0.3">
      <c r="A2933" s="1">
        <v>44001</v>
      </c>
      <c r="B2933">
        <v>1000012096</v>
      </c>
      <c r="C2933" t="s">
        <v>15</v>
      </c>
      <c r="D2933">
        <v>1</v>
      </c>
      <c r="E2933">
        <v>10000.370000000001</v>
      </c>
      <c r="F2933" t="s">
        <v>16</v>
      </c>
      <c r="G2933" t="s">
        <v>17</v>
      </c>
      <c r="H2933" t="s">
        <v>18</v>
      </c>
      <c r="I2933" t="s">
        <v>19</v>
      </c>
      <c r="J2933" t="s">
        <v>26</v>
      </c>
      <c r="K2933" t="s">
        <v>29</v>
      </c>
      <c r="L2933" t="s">
        <v>22</v>
      </c>
      <c r="M2933">
        <v>10000.370000000001</v>
      </c>
      <c r="N2933">
        <v>2020</v>
      </c>
      <c r="O2933">
        <v>6</v>
      </c>
    </row>
    <row r="2934" spans="1:15" x14ac:dyDescent="0.3">
      <c r="A2934" s="1">
        <v>44001</v>
      </c>
      <c r="B2934">
        <v>1000012099</v>
      </c>
      <c r="C2934" t="s">
        <v>15</v>
      </c>
      <c r="D2934">
        <v>1</v>
      </c>
      <c r="E2934">
        <v>22000.3</v>
      </c>
      <c r="F2934" t="s">
        <v>16</v>
      </c>
      <c r="G2934" t="s">
        <v>17</v>
      </c>
      <c r="H2934" t="s">
        <v>18</v>
      </c>
      <c r="I2934" t="s">
        <v>19</v>
      </c>
      <c r="J2934" t="s">
        <v>20</v>
      </c>
      <c r="K2934" t="s">
        <v>21</v>
      </c>
      <c r="L2934" t="s">
        <v>22</v>
      </c>
      <c r="M2934">
        <v>22000.3</v>
      </c>
      <c r="N2934">
        <v>2020</v>
      </c>
      <c r="O2934">
        <v>6</v>
      </c>
    </row>
    <row r="2935" spans="1:15" x14ac:dyDescent="0.3">
      <c r="A2935" s="1">
        <v>44001</v>
      </c>
      <c r="B2935">
        <v>1000012099</v>
      </c>
      <c r="C2935" t="s">
        <v>42</v>
      </c>
      <c r="D2935">
        <v>1</v>
      </c>
      <c r="E2935">
        <v>25000.58</v>
      </c>
      <c r="F2935" t="s">
        <v>16</v>
      </c>
      <c r="G2935" t="s">
        <v>43</v>
      </c>
      <c r="H2935" t="s">
        <v>18</v>
      </c>
      <c r="I2935" t="s">
        <v>19</v>
      </c>
      <c r="J2935" t="s">
        <v>20</v>
      </c>
      <c r="K2935" t="s">
        <v>21</v>
      </c>
      <c r="L2935" t="s">
        <v>22</v>
      </c>
      <c r="M2935">
        <v>25000.58</v>
      </c>
      <c r="N2935">
        <v>2020</v>
      </c>
      <c r="O2935">
        <v>6</v>
      </c>
    </row>
    <row r="2936" spans="1:15" x14ac:dyDescent="0.3">
      <c r="A2936" s="1">
        <v>44001</v>
      </c>
      <c r="B2936">
        <v>1000012112</v>
      </c>
      <c r="C2936" t="s">
        <v>23</v>
      </c>
      <c r="D2936">
        <v>1</v>
      </c>
      <c r="E2936">
        <v>2000.7</v>
      </c>
      <c r="F2936" t="s">
        <v>16</v>
      </c>
      <c r="G2936" t="s">
        <v>24</v>
      </c>
      <c r="H2936" t="s">
        <v>18</v>
      </c>
      <c r="I2936" t="s">
        <v>19</v>
      </c>
      <c r="J2936" t="s">
        <v>36</v>
      </c>
      <c r="K2936" t="s">
        <v>64</v>
      </c>
      <c r="L2936" t="s">
        <v>28</v>
      </c>
      <c r="M2936">
        <v>2000.7</v>
      </c>
      <c r="N2936">
        <v>2020</v>
      </c>
      <c r="O2936">
        <v>6</v>
      </c>
    </row>
    <row r="2937" spans="1:15" x14ac:dyDescent="0.3">
      <c r="A2937" s="1">
        <v>44001</v>
      </c>
      <c r="B2937">
        <v>1000012112</v>
      </c>
      <c r="C2937" t="s">
        <v>15</v>
      </c>
      <c r="D2937">
        <v>1</v>
      </c>
      <c r="E2937">
        <v>17000.23</v>
      </c>
      <c r="F2937" t="s">
        <v>16</v>
      </c>
      <c r="G2937" t="s">
        <v>17</v>
      </c>
      <c r="H2937" t="s">
        <v>18</v>
      </c>
      <c r="I2937" t="s">
        <v>19</v>
      </c>
      <c r="J2937" t="s">
        <v>36</v>
      </c>
      <c r="K2937" t="s">
        <v>64</v>
      </c>
      <c r="L2937" t="s">
        <v>28</v>
      </c>
      <c r="M2937">
        <v>17000.23</v>
      </c>
      <c r="N2937">
        <v>2020</v>
      </c>
      <c r="O2937">
        <v>6</v>
      </c>
    </row>
    <row r="2938" spans="1:15" x14ac:dyDescent="0.3">
      <c r="A2938" s="1">
        <v>44001</v>
      </c>
      <c r="B2938">
        <v>1000012124</v>
      </c>
      <c r="C2938" t="s">
        <v>23</v>
      </c>
      <c r="D2938">
        <v>1</v>
      </c>
      <c r="E2938">
        <v>10000.6</v>
      </c>
      <c r="F2938" t="s">
        <v>16</v>
      </c>
      <c r="G2938" t="s">
        <v>24</v>
      </c>
      <c r="H2938" t="s">
        <v>18</v>
      </c>
      <c r="I2938" t="s">
        <v>19</v>
      </c>
      <c r="J2938" t="s">
        <v>26</v>
      </c>
      <c r="K2938" t="s">
        <v>29</v>
      </c>
      <c r="L2938" t="s">
        <v>22</v>
      </c>
      <c r="M2938">
        <v>10000.6</v>
      </c>
      <c r="N2938">
        <v>2020</v>
      </c>
      <c r="O2938">
        <v>6</v>
      </c>
    </row>
    <row r="2939" spans="1:15" x14ac:dyDescent="0.3">
      <c r="A2939" s="1">
        <v>44001</v>
      </c>
      <c r="B2939">
        <v>1000012126</v>
      </c>
      <c r="C2939" t="s">
        <v>23</v>
      </c>
      <c r="D2939">
        <v>1</v>
      </c>
      <c r="E2939">
        <v>6000.59</v>
      </c>
      <c r="F2939" t="s">
        <v>16</v>
      </c>
      <c r="G2939" t="s">
        <v>24</v>
      </c>
      <c r="H2939" t="s">
        <v>18</v>
      </c>
      <c r="I2939" t="s">
        <v>19</v>
      </c>
      <c r="J2939" t="s">
        <v>26</v>
      </c>
      <c r="K2939" t="s">
        <v>29</v>
      </c>
      <c r="L2939" t="s">
        <v>22</v>
      </c>
      <c r="M2939">
        <v>6000.59</v>
      </c>
      <c r="N2939">
        <v>2020</v>
      </c>
      <c r="O2939">
        <v>6</v>
      </c>
    </row>
    <row r="2940" spans="1:15" x14ac:dyDescent="0.3">
      <c r="A2940" s="1">
        <v>44001</v>
      </c>
      <c r="B2940">
        <v>1000012234</v>
      </c>
      <c r="C2940" t="s">
        <v>23</v>
      </c>
      <c r="D2940">
        <v>1</v>
      </c>
      <c r="E2940">
        <v>25000.53</v>
      </c>
      <c r="F2940" t="s">
        <v>16</v>
      </c>
      <c r="G2940" t="s">
        <v>24</v>
      </c>
      <c r="H2940" t="s">
        <v>18</v>
      </c>
      <c r="I2940" t="s">
        <v>25</v>
      </c>
      <c r="J2940" t="s">
        <v>26</v>
      </c>
      <c r="K2940" t="s">
        <v>27</v>
      </c>
      <c r="L2940" t="s">
        <v>22</v>
      </c>
      <c r="M2940">
        <v>25000.53</v>
      </c>
      <c r="N2940">
        <v>2020</v>
      </c>
      <c r="O2940">
        <v>6</v>
      </c>
    </row>
    <row r="2941" spans="1:15" x14ac:dyDescent="0.3">
      <c r="A2941" s="1">
        <v>44001</v>
      </c>
      <c r="B2941">
        <v>1000012234</v>
      </c>
      <c r="C2941" t="s">
        <v>15</v>
      </c>
      <c r="D2941">
        <v>1</v>
      </c>
      <c r="E2941">
        <v>5000.55</v>
      </c>
      <c r="F2941" t="s">
        <v>16</v>
      </c>
      <c r="G2941" t="s">
        <v>17</v>
      </c>
      <c r="H2941" t="s">
        <v>18</v>
      </c>
      <c r="I2941" t="s">
        <v>25</v>
      </c>
      <c r="J2941" t="s">
        <v>26</v>
      </c>
      <c r="K2941" t="s">
        <v>27</v>
      </c>
      <c r="L2941" t="s">
        <v>22</v>
      </c>
      <c r="M2941">
        <v>5000.55</v>
      </c>
      <c r="N2941">
        <v>2020</v>
      </c>
      <c r="O2941">
        <v>6</v>
      </c>
    </row>
    <row r="2942" spans="1:15" x14ac:dyDescent="0.3">
      <c r="A2942" s="1">
        <v>44001</v>
      </c>
      <c r="B2942">
        <v>1000012313</v>
      </c>
      <c r="C2942" t="s">
        <v>23</v>
      </c>
      <c r="D2942">
        <v>3</v>
      </c>
      <c r="E2942">
        <v>47001.200000000004</v>
      </c>
      <c r="F2942" t="s">
        <v>16</v>
      </c>
      <c r="G2942" t="s">
        <v>24</v>
      </c>
      <c r="H2942" t="s">
        <v>47</v>
      </c>
      <c r="I2942" t="s">
        <v>65</v>
      </c>
      <c r="J2942" t="s">
        <v>26</v>
      </c>
      <c r="K2942" t="s">
        <v>66</v>
      </c>
      <c r="L2942" t="s">
        <v>22</v>
      </c>
      <c r="M2942">
        <v>15667.066666666668</v>
      </c>
      <c r="N2942">
        <v>2020</v>
      </c>
      <c r="O2942">
        <v>6</v>
      </c>
    </row>
    <row r="2943" spans="1:15" x14ac:dyDescent="0.3">
      <c r="A2943" s="1">
        <v>44001</v>
      </c>
      <c r="B2943">
        <v>1000012446</v>
      </c>
      <c r="C2943" t="s">
        <v>15</v>
      </c>
      <c r="D2943">
        <v>1</v>
      </c>
      <c r="E2943">
        <v>10000.65</v>
      </c>
      <c r="F2943" t="s">
        <v>16</v>
      </c>
      <c r="G2943" t="s">
        <v>17</v>
      </c>
      <c r="H2943" t="s">
        <v>30</v>
      </c>
      <c r="I2943" t="s">
        <v>31</v>
      </c>
      <c r="J2943" t="s">
        <v>36</v>
      </c>
      <c r="K2943" t="s">
        <v>52</v>
      </c>
      <c r="L2943" t="s">
        <v>22</v>
      </c>
      <c r="M2943">
        <v>10000.65</v>
      </c>
      <c r="N2943">
        <v>2020</v>
      </c>
      <c r="O2943">
        <v>6</v>
      </c>
    </row>
    <row r="2944" spans="1:15" x14ac:dyDescent="0.3">
      <c r="A2944" s="1">
        <v>44001</v>
      </c>
      <c r="B2944">
        <v>1000013526</v>
      </c>
      <c r="C2944" t="s">
        <v>23</v>
      </c>
      <c r="D2944">
        <v>1</v>
      </c>
      <c r="E2944">
        <v>17999.939999999999</v>
      </c>
      <c r="F2944" t="s">
        <v>16</v>
      </c>
      <c r="G2944" t="s">
        <v>24</v>
      </c>
      <c r="H2944" t="s">
        <v>47</v>
      </c>
      <c r="I2944" t="s">
        <v>65</v>
      </c>
      <c r="J2944" t="s">
        <v>26</v>
      </c>
      <c r="K2944" t="s">
        <v>66</v>
      </c>
      <c r="L2944" t="s">
        <v>22</v>
      </c>
      <c r="M2944">
        <v>17999.939999999999</v>
      </c>
      <c r="N2944">
        <v>2020</v>
      </c>
      <c r="O2944">
        <v>6</v>
      </c>
    </row>
    <row r="2945" spans="1:15" x14ac:dyDescent="0.3">
      <c r="A2945" s="1">
        <v>44001</v>
      </c>
      <c r="B2945">
        <v>1000013607</v>
      </c>
      <c r="C2945" t="s">
        <v>15</v>
      </c>
      <c r="D2945">
        <v>1</v>
      </c>
      <c r="E2945">
        <v>8000.06</v>
      </c>
      <c r="F2945" t="s">
        <v>16</v>
      </c>
      <c r="G2945" t="s">
        <v>17</v>
      </c>
      <c r="H2945" t="s">
        <v>18</v>
      </c>
      <c r="I2945" t="s">
        <v>25</v>
      </c>
      <c r="J2945" t="s">
        <v>26</v>
      </c>
      <c r="K2945" t="s">
        <v>27</v>
      </c>
      <c r="L2945" t="s">
        <v>22</v>
      </c>
      <c r="M2945">
        <v>8000.06</v>
      </c>
      <c r="N2945">
        <v>2020</v>
      </c>
      <c r="O2945">
        <v>6</v>
      </c>
    </row>
    <row r="2946" spans="1:15" x14ac:dyDescent="0.3">
      <c r="A2946" s="1">
        <v>44001</v>
      </c>
      <c r="B2946">
        <v>1000014088</v>
      </c>
      <c r="C2946" t="s">
        <v>15</v>
      </c>
      <c r="D2946">
        <v>1</v>
      </c>
      <c r="E2946">
        <v>6500.2</v>
      </c>
      <c r="F2946" t="s">
        <v>16</v>
      </c>
      <c r="G2946" t="s">
        <v>17</v>
      </c>
      <c r="H2946" t="s">
        <v>30</v>
      </c>
      <c r="I2946" t="s">
        <v>31</v>
      </c>
      <c r="J2946" t="s">
        <v>26</v>
      </c>
      <c r="K2946" t="s">
        <v>69</v>
      </c>
      <c r="L2946" t="s">
        <v>22</v>
      </c>
      <c r="M2946">
        <v>6500.2</v>
      </c>
      <c r="N2946">
        <v>2020</v>
      </c>
      <c r="O2946">
        <v>6</v>
      </c>
    </row>
    <row r="2947" spans="1:15" x14ac:dyDescent="0.3">
      <c r="A2947" s="1">
        <v>44001</v>
      </c>
      <c r="B2947">
        <v>1000014273</v>
      </c>
      <c r="C2947" t="s">
        <v>23</v>
      </c>
      <c r="D2947">
        <v>1</v>
      </c>
      <c r="E2947">
        <v>10000.620000000001</v>
      </c>
      <c r="F2947" t="s">
        <v>16</v>
      </c>
      <c r="G2947" t="s">
        <v>24</v>
      </c>
      <c r="H2947" t="s">
        <v>18</v>
      </c>
      <c r="I2947" t="s">
        <v>19</v>
      </c>
      <c r="J2947" t="s">
        <v>20</v>
      </c>
      <c r="K2947" t="s">
        <v>21</v>
      </c>
      <c r="L2947" t="s">
        <v>22</v>
      </c>
      <c r="M2947">
        <v>10000.620000000001</v>
      </c>
      <c r="N2947">
        <v>2020</v>
      </c>
      <c r="O2947">
        <v>6</v>
      </c>
    </row>
    <row r="2948" spans="1:15" x14ac:dyDescent="0.3">
      <c r="A2948" s="1">
        <v>44001</v>
      </c>
      <c r="B2948">
        <v>1000014291</v>
      </c>
      <c r="C2948" t="s">
        <v>23</v>
      </c>
      <c r="D2948">
        <v>1</v>
      </c>
      <c r="E2948">
        <v>10000.44</v>
      </c>
      <c r="F2948" t="s">
        <v>16</v>
      </c>
      <c r="G2948" t="s">
        <v>24</v>
      </c>
      <c r="H2948" t="s">
        <v>47</v>
      </c>
      <c r="I2948" t="s">
        <v>48</v>
      </c>
      <c r="J2948" t="s">
        <v>20</v>
      </c>
      <c r="K2948" t="s">
        <v>67</v>
      </c>
      <c r="L2948" t="s">
        <v>28</v>
      </c>
      <c r="M2948">
        <v>10000.44</v>
      </c>
      <c r="N2948">
        <v>2020</v>
      </c>
      <c r="O2948">
        <v>6</v>
      </c>
    </row>
    <row r="2949" spans="1:15" x14ac:dyDescent="0.3">
      <c r="A2949" s="1">
        <v>44001</v>
      </c>
      <c r="B2949">
        <v>1000014291</v>
      </c>
      <c r="C2949" t="s">
        <v>15</v>
      </c>
      <c r="D2949">
        <v>2</v>
      </c>
      <c r="E2949">
        <v>31000.35</v>
      </c>
      <c r="F2949" t="s">
        <v>16</v>
      </c>
      <c r="G2949" t="s">
        <v>17</v>
      </c>
      <c r="H2949" t="s">
        <v>47</v>
      </c>
      <c r="I2949" t="s">
        <v>48</v>
      </c>
      <c r="J2949" t="s">
        <v>20</v>
      </c>
      <c r="K2949" t="s">
        <v>67</v>
      </c>
      <c r="L2949" t="s">
        <v>28</v>
      </c>
      <c r="M2949">
        <v>15500.174999999999</v>
      </c>
      <c r="N2949">
        <v>2020</v>
      </c>
      <c r="O2949">
        <v>6</v>
      </c>
    </row>
    <row r="2950" spans="1:15" x14ac:dyDescent="0.3">
      <c r="A2950" s="1">
        <v>44001</v>
      </c>
      <c r="B2950">
        <v>1000014530</v>
      </c>
      <c r="C2950" t="s">
        <v>15</v>
      </c>
      <c r="D2950">
        <v>2</v>
      </c>
      <c r="E2950">
        <v>10000.73</v>
      </c>
      <c r="F2950" t="s">
        <v>16</v>
      </c>
      <c r="G2950" t="s">
        <v>17</v>
      </c>
      <c r="H2950" t="s">
        <v>47</v>
      </c>
      <c r="I2950" t="s">
        <v>65</v>
      </c>
      <c r="J2950" t="s">
        <v>26</v>
      </c>
      <c r="K2950" t="s">
        <v>66</v>
      </c>
      <c r="L2950" t="s">
        <v>22</v>
      </c>
      <c r="M2950">
        <v>5000.3649999999998</v>
      </c>
      <c r="N2950">
        <v>2020</v>
      </c>
      <c r="O2950">
        <v>6</v>
      </c>
    </row>
    <row r="2951" spans="1:15" x14ac:dyDescent="0.3">
      <c r="A2951" s="1">
        <v>44001</v>
      </c>
      <c r="B2951">
        <v>1000014572</v>
      </c>
      <c r="C2951" t="s">
        <v>23</v>
      </c>
      <c r="D2951">
        <v>1</v>
      </c>
      <c r="E2951">
        <v>9000.2999999999993</v>
      </c>
      <c r="F2951" t="s">
        <v>16</v>
      </c>
      <c r="G2951" t="s">
        <v>24</v>
      </c>
      <c r="H2951" t="s">
        <v>18</v>
      </c>
      <c r="I2951" t="s">
        <v>34</v>
      </c>
      <c r="J2951" t="s">
        <v>26</v>
      </c>
      <c r="K2951" t="s">
        <v>35</v>
      </c>
      <c r="L2951" t="s">
        <v>22</v>
      </c>
      <c r="M2951">
        <v>9000.2999999999993</v>
      </c>
      <c r="N2951">
        <v>2020</v>
      </c>
      <c r="O2951">
        <v>6</v>
      </c>
    </row>
    <row r="2952" spans="1:15" x14ac:dyDescent="0.3">
      <c r="A2952" s="1">
        <v>44001</v>
      </c>
      <c r="B2952">
        <v>1000014879</v>
      </c>
      <c r="C2952" t="s">
        <v>42</v>
      </c>
      <c r="D2952">
        <v>1</v>
      </c>
      <c r="E2952">
        <v>7000.54</v>
      </c>
      <c r="F2952" t="s">
        <v>16</v>
      </c>
      <c r="G2952" t="s">
        <v>43</v>
      </c>
      <c r="H2952" t="s">
        <v>18</v>
      </c>
      <c r="I2952" t="s">
        <v>40</v>
      </c>
      <c r="J2952" t="s">
        <v>26</v>
      </c>
      <c r="K2952" t="s">
        <v>41</v>
      </c>
      <c r="L2952" t="s">
        <v>22</v>
      </c>
      <c r="M2952">
        <v>7000.54</v>
      </c>
      <c r="N2952">
        <v>2020</v>
      </c>
      <c r="O2952">
        <v>6</v>
      </c>
    </row>
    <row r="2953" spans="1:15" x14ac:dyDescent="0.3">
      <c r="A2953" s="1">
        <v>44001</v>
      </c>
      <c r="B2953">
        <v>1000015015</v>
      </c>
      <c r="C2953" t="s">
        <v>23</v>
      </c>
      <c r="D2953">
        <v>1</v>
      </c>
      <c r="E2953">
        <v>12999.94</v>
      </c>
      <c r="F2953" t="s">
        <v>16</v>
      </c>
      <c r="G2953" t="s">
        <v>24</v>
      </c>
      <c r="H2953" t="s">
        <v>18</v>
      </c>
      <c r="I2953" t="s">
        <v>61</v>
      </c>
      <c r="J2953" t="s">
        <v>26</v>
      </c>
      <c r="K2953" t="s">
        <v>62</v>
      </c>
      <c r="L2953" t="s">
        <v>22</v>
      </c>
      <c r="M2953">
        <v>12999.94</v>
      </c>
      <c r="N2953">
        <v>2020</v>
      </c>
      <c r="O2953">
        <v>6</v>
      </c>
    </row>
    <row r="2954" spans="1:15" x14ac:dyDescent="0.3">
      <c r="A2954" s="1">
        <v>44001</v>
      </c>
      <c r="B2954">
        <v>1000015253</v>
      </c>
      <c r="C2954" t="s">
        <v>42</v>
      </c>
      <c r="D2954">
        <v>1</v>
      </c>
      <c r="E2954">
        <v>7000.4</v>
      </c>
      <c r="F2954" t="s">
        <v>16</v>
      </c>
      <c r="G2954" t="s">
        <v>43</v>
      </c>
      <c r="H2954" t="s">
        <v>30</v>
      </c>
      <c r="I2954" t="s">
        <v>31</v>
      </c>
      <c r="J2954" t="s">
        <v>26</v>
      </c>
      <c r="K2954" t="s">
        <v>69</v>
      </c>
      <c r="L2954" t="s">
        <v>22</v>
      </c>
      <c r="M2954">
        <v>7000.4</v>
      </c>
      <c r="N2954">
        <v>2020</v>
      </c>
      <c r="O2954">
        <v>6</v>
      </c>
    </row>
    <row r="2955" spans="1:15" x14ac:dyDescent="0.3">
      <c r="A2955" s="1">
        <v>44002</v>
      </c>
      <c r="B2955">
        <v>1000000028</v>
      </c>
      <c r="C2955" t="s">
        <v>42</v>
      </c>
      <c r="D2955">
        <v>1</v>
      </c>
      <c r="E2955">
        <v>1500.62</v>
      </c>
      <c r="F2955" t="s">
        <v>16</v>
      </c>
      <c r="G2955" t="s">
        <v>43</v>
      </c>
      <c r="H2955" t="s">
        <v>18</v>
      </c>
      <c r="I2955" t="s">
        <v>19</v>
      </c>
      <c r="J2955" t="s">
        <v>20</v>
      </c>
      <c r="K2955" t="s">
        <v>21</v>
      </c>
      <c r="L2955" t="s">
        <v>22</v>
      </c>
      <c r="M2955">
        <v>1500.62</v>
      </c>
      <c r="N2955">
        <v>2020</v>
      </c>
      <c r="O2955">
        <v>6</v>
      </c>
    </row>
    <row r="2956" spans="1:15" x14ac:dyDescent="0.3">
      <c r="A2956" s="1">
        <v>44002</v>
      </c>
      <c r="B2956">
        <v>1000000029</v>
      </c>
      <c r="C2956" t="s">
        <v>23</v>
      </c>
      <c r="D2956">
        <v>1</v>
      </c>
      <c r="E2956">
        <v>2000.57</v>
      </c>
      <c r="F2956" t="s">
        <v>16</v>
      </c>
      <c r="G2956" t="s">
        <v>24</v>
      </c>
      <c r="H2956" t="s">
        <v>18</v>
      </c>
      <c r="I2956" t="s">
        <v>19</v>
      </c>
      <c r="J2956" t="s">
        <v>20</v>
      </c>
      <c r="K2956" t="s">
        <v>21</v>
      </c>
      <c r="L2956" t="s">
        <v>22</v>
      </c>
      <c r="M2956">
        <v>2000.57</v>
      </c>
      <c r="N2956">
        <v>2020</v>
      </c>
      <c r="O2956">
        <v>6</v>
      </c>
    </row>
    <row r="2957" spans="1:15" x14ac:dyDescent="0.3">
      <c r="A2957" s="1">
        <v>44002</v>
      </c>
      <c r="B2957">
        <v>1000000030</v>
      </c>
      <c r="C2957" t="s">
        <v>23</v>
      </c>
      <c r="D2957">
        <v>2</v>
      </c>
      <c r="E2957">
        <v>25000.49</v>
      </c>
      <c r="F2957" t="s">
        <v>16</v>
      </c>
      <c r="G2957" t="s">
        <v>24</v>
      </c>
      <c r="H2957" t="s">
        <v>47</v>
      </c>
      <c r="I2957" t="s">
        <v>48</v>
      </c>
      <c r="J2957" t="s">
        <v>36</v>
      </c>
      <c r="K2957" t="s">
        <v>49</v>
      </c>
      <c r="L2957" t="s">
        <v>22</v>
      </c>
      <c r="M2957">
        <v>12500.245000000001</v>
      </c>
      <c r="N2957">
        <v>2020</v>
      </c>
      <c r="O2957">
        <v>6</v>
      </c>
    </row>
    <row r="2958" spans="1:15" x14ac:dyDescent="0.3">
      <c r="A2958" s="1">
        <v>44002</v>
      </c>
      <c r="B2958">
        <v>1000000030</v>
      </c>
      <c r="C2958" t="s">
        <v>42</v>
      </c>
      <c r="D2958">
        <v>1</v>
      </c>
      <c r="E2958">
        <v>11000.36</v>
      </c>
      <c r="F2958" t="s">
        <v>16</v>
      </c>
      <c r="G2958" t="s">
        <v>43</v>
      </c>
      <c r="H2958" t="s">
        <v>47</v>
      </c>
      <c r="I2958" t="s">
        <v>48</v>
      </c>
      <c r="J2958" t="s">
        <v>36</v>
      </c>
      <c r="K2958" t="s">
        <v>49</v>
      </c>
      <c r="L2958" t="s">
        <v>22</v>
      </c>
      <c r="M2958">
        <v>11000.36</v>
      </c>
      <c r="N2958">
        <v>2020</v>
      </c>
      <c r="O2958">
        <v>6</v>
      </c>
    </row>
    <row r="2959" spans="1:15" x14ac:dyDescent="0.3">
      <c r="A2959" s="1">
        <v>44002</v>
      </c>
      <c r="B2959">
        <v>1000000031</v>
      </c>
      <c r="C2959" t="s">
        <v>23</v>
      </c>
      <c r="D2959">
        <v>2</v>
      </c>
      <c r="E2959">
        <v>15001.130000000001</v>
      </c>
      <c r="F2959" t="s">
        <v>16</v>
      </c>
      <c r="G2959" t="s">
        <v>24</v>
      </c>
      <c r="H2959" t="s">
        <v>18</v>
      </c>
      <c r="I2959" t="s">
        <v>19</v>
      </c>
      <c r="J2959" t="s">
        <v>26</v>
      </c>
      <c r="K2959" t="s">
        <v>29</v>
      </c>
      <c r="L2959" t="s">
        <v>28</v>
      </c>
      <c r="M2959">
        <v>7500.5650000000005</v>
      </c>
      <c r="N2959">
        <v>2020</v>
      </c>
      <c r="O2959">
        <v>6</v>
      </c>
    </row>
    <row r="2960" spans="1:15" x14ac:dyDescent="0.3">
      <c r="A2960" s="1">
        <v>44002</v>
      </c>
      <c r="B2960">
        <v>1000000031</v>
      </c>
      <c r="C2960" t="s">
        <v>15</v>
      </c>
      <c r="D2960">
        <v>1</v>
      </c>
      <c r="E2960">
        <v>15000.17</v>
      </c>
      <c r="F2960" t="s">
        <v>16</v>
      </c>
      <c r="G2960" t="s">
        <v>17</v>
      </c>
      <c r="H2960" t="s">
        <v>18</v>
      </c>
      <c r="I2960" t="s">
        <v>19</v>
      </c>
      <c r="J2960" t="s">
        <v>26</v>
      </c>
      <c r="K2960" t="s">
        <v>29</v>
      </c>
      <c r="L2960" t="s">
        <v>28</v>
      </c>
      <c r="M2960">
        <v>15000.17</v>
      </c>
      <c r="N2960">
        <v>2020</v>
      </c>
      <c r="O2960">
        <v>6</v>
      </c>
    </row>
    <row r="2961" spans="1:15" x14ac:dyDescent="0.3">
      <c r="A2961" s="1">
        <v>44002</v>
      </c>
      <c r="B2961">
        <v>1000000034</v>
      </c>
      <c r="C2961" t="s">
        <v>15</v>
      </c>
      <c r="D2961">
        <v>1</v>
      </c>
      <c r="E2961">
        <v>17000.05</v>
      </c>
      <c r="F2961" t="s">
        <v>16</v>
      </c>
      <c r="G2961" t="s">
        <v>17</v>
      </c>
      <c r="H2961" t="s">
        <v>18</v>
      </c>
      <c r="I2961" t="s">
        <v>25</v>
      </c>
      <c r="J2961" t="s">
        <v>26</v>
      </c>
      <c r="K2961" t="s">
        <v>27</v>
      </c>
      <c r="L2961" t="s">
        <v>22</v>
      </c>
      <c r="M2961">
        <v>17000.05</v>
      </c>
      <c r="N2961">
        <v>2020</v>
      </c>
      <c r="O2961">
        <v>6</v>
      </c>
    </row>
    <row r="2962" spans="1:15" x14ac:dyDescent="0.3">
      <c r="A2962" s="1">
        <v>44002</v>
      </c>
      <c r="B2962">
        <v>1000000036</v>
      </c>
      <c r="C2962" t="s">
        <v>23</v>
      </c>
      <c r="D2962">
        <v>2</v>
      </c>
      <c r="E2962">
        <v>17000.54</v>
      </c>
      <c r="F2962" t="s">
        <v>16</v>
      </c>
      <c r="G2962" t="s">
        <v>24</v>
      </c>
      <c r="H2962" t="s">
        <v>47</v>
      </c>
      <c r="I2962" t="s">
        <v>48</v>
      </c>
      <c r="J2962" t="s">
        <v>36</v>
      </c>
      <c r="K2962" t="s">
        <v>49</v>
      </c>
      <c r="L2962" t="s">
        <v>28</v>
      </c>
      <c r="M2962">
        <v>8500.27</v>
      </c>
      <c r="N2962">
        <v>2020</v>
      </c>
      <c r="O2962">
        <v>6</v>
      </c>
    </row>
    <row r="2963" spans="1:15" x14ac:dyDescent="0.3">
      <c r="A2963" s="1">
        <v>44002</v>
      </c>
      <c r="B2963">
        <v>1000000036</v>
      </c>
      <c r="C2963" t="s">
        <v>15</v>
      </c>
      <c r="D2963">
        <v>1</v>
      </c>
      <c r="E2963">
        <v>5500.22</v>
      </c>
      <c r="F2963" t="s">
        <v>16</v>
      </c>
      <c r="G2963" t="s">
        <v>17</v>
      </c>
      <c r="H2963" t="s">
        <v>47</v>
      </c>
      <c r="I2963" t="s">
        <v>48</v>
      </c>
      <c r="J2963" t="s">
        <v>36</v>
      </c>
      <c r="K2963" t="s">
        <v>49</v>
      </c>
      <c r="L2963" t="s">
        <v>28</v>
      </c>
      <c r="M2963">
        <v>5500.22</v>
      </c>
      <c r="N2963">
        <v>2020</v>
      </c>
      <c r="O2963">
        <v>6</v>
      </c>
    </row>
    <row r="2964" spans="1:15" x14ac:dyDescent="0.3">
      <c r="A2964" s="1">
        <v>44002</v>
      </c>
      <c r="B2964">
        <v>1000000037</v>
      </c>
      <c r="C2964" t="s">
        <v>23</v>
      </c>
      <c r="D2964">
        <v>1</v>
      </c>
      <c r="E2964">
        <v>2000.68</v>
      </c>
      <c r="F2964" t="s">
        <v>16</v>
      </c>
      <c r="G2964" t="s">
        <v>24</v>
      </c>
      <c r="H2964" t="s">
        <v>18</v>
      </c>
      <c r="I2964" t="s">
        <v>19</v>
      </c>
      <c r="J2964" t="s">
        <v>20</v>
      </c>
      <c r="K2964" t="s">
        <v>21</v>
      </c>
      <c r="L2964" t="s">
        <v>22</v>
      </c>
      <c r="M2964">
        <v>2000.68</v>
      </c>
      <c r="N2964">
        <v>2020</v>
      </c>
      <c r="O2964">
        <v>6</v>
      </c>
    </row>
    <row r="2965" spans="1:15" x14ac:dyDescent="0.3">
      <c r="A2965" s="1">
        <v>44002</v>
      </c>
      <c r="B2965">
        <v>1000000039</v>
      </c>
      <c r="C2965" t="s">
        <v>23</v>
      </c>
      <c r="D2965">
        <v>2</v>
      </c>
      <c r="E2965">
        <v>2186.6</v>
      </c>
      <c r="F2965" t="s">
        <v>16</v>
      </c>
      <c r="G2965" t="s">
        <v>24</v>
      </c>
      <c r="H2965" t="s">
        <v>18</v>
      </c>
      <c r="I2965" t="s">
        <v>25</v>
      </c>
      <c r="J2965" t="s">
        <v>20</v>
      </c>
      <c r="K2965" t="s">
        <v>51</v>
      </c>
      <c r="L2965" t="s">
        <v>28</v>
      </c>
      <c r="M2965">
        <v>1093.3</v>
      </c>
      <c r="N2965">
        <v>2020</v>
      </c>
      <c r="O2965">
        <v>6</v>
      </c>
    </row>
    <row r="2966" spans="1:15" x14ac:dyDescent="0.3">
      <c r="A2966" s="1">
        <v>44002</v>
      </c>
      <c r="B2966">
        <v>1000000039</v>
      </c>
      <c r="C2966" t="s">
        <v>42</v>
      </c>
      <c r="D2966">
        <v>1</v>
      </c>
      <c r="E2966">
        <v>1000.02</v>
      </c>
      <c r="F2966" t="s">
        <v>16</v>
      </c>
      <c r="G2966" t="s">
        <v>43</v>
      </c>
      <c r="H2966" t="s">
        <v>18</v>
      </c>
      <c r="I2966" t="s">
        <v>25</v>
      </c>
      <c r="J2966" t="s">
        <v>20</v>
      </c>
      <c r="K2966" t="s">
        <v>51</v>
      </c>
      <c r="L2966" t="s">
        <v>28</v>
      </c>
      <c r="M2966">
        <v>1000.02</v>
      </c>
      <c r="N2966">
        <v>2020</v>
      </c>
      <c r="O2966">
        <v>6</v>
      </c>
    </row>
    <row r="2967" spans="1:15" x14ac:dyDescent="0.3">
      <c r="A2967" s="1">
        <v>44002</v>
      </c>
      <c r="B2967">
        <v>1000000041</v>
      </c>
      <c r="C2967" t="s">
        <v>23</v>
      </c>
      <c r="D2967">
        <v>1</v>
      </c>
      <c r="E2967">
        <v>1026.6199999999999</v>
      </c>
      <c r="F2967" t="s">
        <v>16</v>
      </c>
      <c r="G2967" t="s">
        <v>24</v>
      </c>
      <c r="H2967" t="s">
        <v>30</v>
      </c>
      <c r="I2967" t="s">
        <v>31</v>
      </c>
      <c r="J2967" t="s">
        <v>32</v>
      </c>
      <c r="K2967" t="s">
        <v>33</v>
      </c>
      <c r="L2967" t="s">
        <v>22</v>
      </c>
      <c r="M2967">
        <v>1026.6199999999999</v>
      </c>
      <c r="N2967">
        <v>2020</v>
      </c>
      <c r="O2967">
        <v>6</v>
      </c>
    </row>
    <row r="2968" spans="1:15" x14ac:dyDescent="0.3">
      <c r="A2968" s="1">
        <v>44002</v>
      </c>
      <c r="B2968">
        <v>1000000041</v>
      </c>
      <c r="C2968" t="s">
        <v>15</v>
      </c>
      <c r="D2968">
        <v>5</v>
      </c>
      <c r="E2968">
        <v>29101.809999999998</v>
      </c>
      <c r="F2968" t="s">
        <v>16</v>
      </c>
      <c r="G2968" t="s">
        <v>17</v>
      </c>
      <c r="H2968" t="s">
        <v>30</v>
      </c>
      <c r="I2968" t="s">
        <v>31</v>
      </c>
      <c r="J2968" t="s">
        <v>32</v>
      </c>
      <c r="K2968" t="s">
        <v>33</v>
      </c>
      <c r="L2968" t="s">
        <v>22</v>
      </c>
      <c r="M2968">
        <v>5820.3619999999992</v>
      </c>
      <c r="N2968">
        <v>2020</v>
      </c>
      <c r="O2968">
        <v>6</v>
      </c>
    </row>
    <row r="2969" spans="1:15" x14ac:dyDescent="0.3">
      <c r="A2969" s="1">
        <v>44002</v>
      </c>
      <c r="B2969">
        <v>1000000043</v>
      </c>
      <c r="C2969" t="s">
        <v>23</v>
      </c>
      <c r="D2969">
        <v>2</v>
      </c>
      <c r="E2969">
        <v>5500.71</v>
      </c>
      <c r="F2969" t="s">
        <v>16</v>
      </c>
      <c r="G2969" t="s">
        <v>24</v>
      </c>
      <c r="H2969" t="s">
        <v>30</v>
      </c>
      <c r="I2969" t="s">
        <v>38</v>
      </c>
      <c r="J2969" t="s">
        <v>26</v>
      </c>
      <c r="K2969" t="s">
        <v>39</v>
      </c>
      <c r="L2969" t="s">
        <v>22</v>
      </c>
      <c r="M2969">
        <v>2750.355</v>
      </c>
      <c r="N2969">
        <v>2020</v>
      </c>
      <c r="O2969">
        <v>6</v>
      </c>
    </row>
    <row r="2970" spans="1:15" x14ac:dyDescent="0.3">
      <c r="A2970" s="1">
        <v>44002</v>
      </c>
      <c r="B2970">
        <v>1000000044</v>
      </c>
      <c r="C2970" t="s">
        <v>23</v>
      </c>
      <c r="D2970">
        <v>2</v>
      </c>
      <c r="E2970">
        <v>11580.93</v>
      </c>
      <c r="F2970" t="s">
        <v>16</v>
      </c>
      <c r="G2970" t="s">
        <v>24</v>
      </c>
      <c r="H2970" t="s">
        <v>30</v>
      </c>
      <c r="I2970" t="s">
        <v>31</v>
      </c>
      <c r="J2970" t="s">
        <v>36</v>
      </c>
      <c r="K2970" t="s">
        <v>52</v>
      </c>
      <c r="L2970" t="s">
        <v>28</v>
      </c>
      <c r="M2970">
        <v>5790.4650000000001</v>
      </c>
      <c r="N2970">
        <v>2020</v>
      </c>
      <c r="O2970">
        <v>6</v>
      </c>
    </row>
    <row r="2971" spans="1:15" x14ac:dyDescent="0.3">
      <c r="A2971" s="1">
        <v>44002</v>
      </c>
      <c r="B2971">
        <v>1000000045</v>
      </c>
      <c r="C2971" t="s">
        <v>23</v>
      </c>
      <c r="D2971">
        <v>2</v>
      </c>
      <c r="E2971">
        <v>17702.650000000001</v>
      </c>
      <c r="F2971" t="s">
        <v>16</v>
      </c>
      <c r="G2971" t="s">
        <v>24</v>
      </c>
      <c r="H2971" t="s">
        <v>47</v>
      </c>
      <c r="I2971" t="s">
        <v>59</v>
      </c>
      <c r="J2971" t="s">
        <v>26</v>
      </c>
      <c r="K2971" t="s">
        <v>60</v>
      </c>
      <c r="L2971" t="s">
        <v>22</v>
      </c>
      <c r="M2971">
        <v>8851.3250000000007</v>
      </c>
      <c r="N2971">
        <v>2020</v>
      </c>
      <c r="O2971">
        <v>6</v>
      </c>
    </row>
    <row r="2972" spans="1:15" x14ac:dyDescent="0.3">
      <c r="A2972" s="1">
        <v>44002</v>
      </c>
      <c r="B2972">
        <v>1000000045</v>
      </c>
      <c r="C2972" t="s">
        <v>15</v>
      </c>
      <c r="D2972">
        <v>1</v>
      </c>
      <c r="E2972">
        <v>7000.65</v>
      </c>
      <c r="F2972" t="s">
        <v>16</v>
      </c>
      <c r="G2972" t="s">
        <v>17</v>
      </c>
      <c r="H2972" t="s">
        <v>47</v>
      </c>
      <c r="I2972" t="s">
        <v>59</v>
      </c>
      <c r="J2972" t="s">
        <v>26</v>
      </c>
      <c r="K2972" t="s">
        <v>60</v>
      </c>
      <c r="L2972" t="s">
        <v>22</v>
      </c>
      <c r="M2972">
        <v>7000.65</v>
      </c>
      <c r="N2972">
        <v>2020</v>
      </c>
      <c r="O2972">
        <v>6</v>
      </c>
    </row>
    <row r="2973" spans="1:15" x14ac:dyDescent="0.3">
      <c r="A2973" s="1">
        <v>44002</v>
      </c>
      <c r="B2973">
        <v>1000000045</v>
      </c>
      <c r="C2973" t="s">
        <v>42</v>
      </c>
      <c r="D2973">
        <v>1</v>
      </c>
      <c r="E2973">
        <v>1000.53</v>
      </c>
      <c r="F2973" t="s">
        <v>16</v>
      </c>
      <c r="G2973" t="s">
        <v>43</v>
      </c>
      <c r="H2973" t="s">
        <v>47</v>
      </c>
      <c r="I2973" t="s">
        <v>59</v>
      </c>
      <c r="J2973" t="s">
        <v>26</v>
      </c>
      <c r="K2973" t="s">
        <v>60</v>
      </c>
      <c r="L2973" t="s">
        <v>22</v>
      </c>
      <c r="M2973">
        <v>1000.53</v>
      </c>
      <c r="N2973">
        <v>2020</v>
      </c>
      <c r="O2973">
        <v>6</v>
      </c>
    </row>
    <row r="2974" spans="1:15" x14ac:dyDescent="0.3">
      <c r="A2974" s="1">
        <v>44002</v>
      </c>
      <c r="B2974">
        <v>1000000049</v>
      </c>
      <c r="C2974" t="s">
        <v>23</v>
      </c>
      <c r="D2974">
        <v>1</v>
      </c>
      <c r="E2974">
        <v>2034.96</v>
      </c>
      <c r="F2974" t="s">
        <v>16</v>
      </c>
      <c r="G2974" t="s">
        <v>24</v>
      </c>
      <c r="H2974" t="s">
        <v>18</v>
      </c>
      <c r="I2974" t="s">
        <v>40</v>
      </c>
      <c r="J2974" t="s">
        <v>26</v>
      </c>
      <c r="K2974" t="s">
        <v>41</v>
      </c>
      <c r="L2974" t="s">
        <v>22</v>
      </c>
      <c r="M2974">
        <v>2034.96</v>
      </c>
      <c r="N2974">
        <v>2020</v>
      </c>
      <c r="O2974">
        <v>6</v>
      </c>
    </row>
    <row r="2975" spans="1:15" x14ac:dyDescent="0.3">
      <c r="A2975" s="1">
        <v>44002</v>
      </c>
      <c r="B2975">
        <v>1000000054</v>
      </c>
      <c r="C2975" t="s">
        <v>23</v>
      </c>
      <c r="D2975">
        <v>3</v>
      </c>
      <c r="E2975">
        <v>12000.789999999999</v>
      </c>
      <c r="F2975" t="s">
        <v>16</v>
      </c>
      <c r="G2975" t="s">
        <v>24</v>
      </c>
      <c r="H2975" t="s">
        <v>18</v>
      </c>
      <c r="I2975" t="s">
        <v>34</v>
      </c>
      <c r="J2975" t="s">
        <v>26</v>
      </c>
      <c r="K2975" t="s">
        <v>35</v>
      </c>
      <c r="L2975" t="s">
        <v>22</v>
      </c>
      <c r="M2975">
        <v>4000.2633333333329</v>
      </c>
      <c r="N2975">
        <v>2020</v>
      </c>
      <c r="O2975">
        <v>6</v>
      </c>
    </row>
    <row r="2976" spans="1:15" x14ac:dyDescent="0.3">
      <c r="A2976" s="1">
        <v>44002</v>
      </c>
      <c r="B2976">
        <v>1000000054</v>
      </c>
      <c r="C2976" t="s">
        <v>15</v>
      </c>
      <c r="D2976">
        <v>3</v>
      </c>
      <c r="E2976">
        <v>7539.82</v>
      </c>
      <c r="F2976" t="s">
        <v>16</v>
      </c>
      <c r="G2976" t="s">
        <v>17</v>
      </c>
      <c r="H2976" t="s">
        <v>18</v>
      </c>
      <c r="I2976" t="s">
        <v>34</v>
      </c>
      <c r="J2976" t="s">
        <v>26</v>
      </c>
      <c r="K2976" t="s">
        <v>35</v>
      </c>
      <c r="L2976" t="s">
        <v>22</v>
      </c>
      <c r="M2976">
        <v>2513.2733333333331</v>
      </c>
      <c r="N2976">
        <v>2020</v>
      </c>
      <c r="O2976">
        <v>6</v>
      </c>
    </row>
    <row r="2977" spans="1:15" x14ac:dyDescent="0.3">
      <c r="A2977" s="1">
        <v>44002</v>
      </c>
      <c r="B2977">
        <v>1000000056</v>
      </c>
      <c r="C2977" t="s">
        <v>23</v>
      </c>
      <c r="D2977">
        <v>1</v>
      </c>
      <c r="E2977">
        <v>10000.02</v>
      </c>
      <c r="F2977" t="s">
        <v>16</v>
      </c>
      <c r="G2977" t="s">
        <v>24</v>
      </c>
      <c r="H2977" t="s">
        <v>18</v>
      </c>
      <c r="I2977" t="s">
        <v>34</v>
      </c>
      <c r="J2977" t="s">
        <v>26</v>
      </c>
      <c r="K2977" t="s">
        <v>35</v>
      </c>
      <c r="L2977" t="s">
        <v>28</v>
      </c>
      <c r="M2977">
        <v>10000.02</v>
      </c>
      <c r="N2977">
        <v>2020</v>
      </c>
      <c r="O2977">
        <v>6</v>
      </c>
    </row>
    <row r="2978" spans="1:15" x14ac:dyDescent="0.3">
      <c r="A2978" s="1">
        <v>44002</v>
      </c>
      <c r="B2978">
        <v>1000000057</v>
      </c>
      <c r="C2978" t="s">
        <v>42</v>
      </c>
      <c r="D2978">
        <v>1</v>
      </c>
      <c r="E2978">
        <v>1572.17</v>
      </c>
      <c r="F2978" t="s">
        <v>16</v>
      </c>
      <c r="G2978" t="s">
        <v>43</v>
      </c>
      <c r="H2978" t="s">
        <v>18</v>
      </c>
      <c r="I2978" t="s">
        <v>34</v>
      </c>
      <c r="J2978" t="s">
        <v>20</v>
      </c>
      <c r="K2978" t="s">
        <v>44</v>
      </c>
      <c r="L2978" t="s">
        <v>22</v>
      </c>
      <c r="M2978">
        <v>1572.17</v>
      </c>
      <c r="N2978">
        <v>2020</v>
      </c>
      <c r="O2978">
        <v>6</v>
      </c>
    </row>
    <row r="2979" spans="1:15" x14ac:dyDescent="0.3">
      <c r="A2979" s="1">
        <v>44002</v>
      </c>
      <c r="B2979">
        <v>1000000060</v>
      </c>
      <c r="C2979" t="s">
        <v>42</v>
      </c>
      <c r="D2979">
        <v>1</v>
      </c>
      <c r="E2979">
        <v>1500.5</v>
      </c>
      <c r="F2979" t="s">
        <v>16</v>
      </c>
      <c r="G2979" t="s">
        <v>43</v>
      </c>
      <c r="H2979" t="s">
        <v>18</v>
      </c>
      <c r="I2979" t="s">
        <v>40</v>
      </c>
      <c r="J2979" t="s">
        <v>26</v>
      </c>
      <c r="K2979" t="s">
        <v>41</v>
      </c>
      <c r="L2979" t="s">
        <v>22</v>
      </c>
      <c r="M2979">
        <v>1500.5</v>
      </c>
      <c r="N2979">
        <v>2020</v>
      </c>
      <c r="O2979">
        <v>6</v>
      </c>
    </row>
    <row r="2980" spans="1:15" x14ac:dyDescent="0.3">
      <c r="A2980" s="1">
        <v>44002</v>
      </c>
      <c r="B2980">
        <v>1000000067</v>
      </c>
      <c r="C2980" t="s">
        <v>23</v>
      </c>
      <c r="D2980">
        <v>3</v>
      </c>
      <c r="E2980">
        <v>3873.04</v>
      </c>
      <c r="F2980" t="s">
        <v>16</v>
      </c>
      <c r="G2980" t="s">
        <v>24</v>
      </c>
      <c r="H2980" t="s">
        <v>18</v>
      </c>
      <c r="I2980" t="s">
        <v>25</v>
      </c>
      <c r="J2980" t="s">
        <v>20</v>
      </c>
      <c r="K2980" t="s">
        <v>51</v>
      </c>
      <c r="L2980" t="s">
        <v>22</v>
      </c>
      <c r="M2980">
        <v>1291.0133333333333</v>
      </c>
      <c r="N2980">
        <v>2020</v>
      </c>
      <c r="O2980">
        <v>6</v>
      </c>
    </row>
    <row r="2981" spans="1:15" x14ac:dyDescent="0.3">
      <c r="A2981" s="1">
        <v>44002</v>
      </c>
      <c r="B2981">
        <v>1000000104</v>
      </c>
      <c r="C2981" t="s">
        <v>42</v>
      </c>
      <c r="D2981">
        <v>1</v>
      </c>
      <c r="E2981">
        <v>18000.7</v>
      </c>
      <c r="F2981" t="s">
        <v>16</v>
      </c>
      <c r="G2981" t="s">
        <v>43</v>
      </c>
      <c r="H2981" t="s">
        <v>18</v>
      </c>
      <c r="I2981" t="s">
        <v>40</v>
      </c>
      <c r="J2981" t="s">
        <v>26</v>
      </c>
      <c r="K2981" t="s">
        <v>41</v>
      </c>
      <c r="L2981" t="s">
        <v>22</v>
      </c>
      <c r="M2981">
        <v>18000.7</v>
      </c>
      <c r="N2981">
        <v>2020</v>
      </c>
      <c r="O2981">
        <v>6</v>
      </c>
    </row>
    <row r="2982" spans="1:15" x14ac:dyDescent="0.3">
      <c r="A2982" s="1">
        <v>44002</v>
      </c>
      <c r="B2982">
        <v>1000000237</v>
      </c>
      <c r="C2982" t="s">
        <v>42</v>
      </c>
      <c r="D2982">
        <v>1</v>
      </c>
      <c r="E2982">
        <v>800.06</v>
      </c>
      <c r="F2982" t="s">
        <v>16</v>
      </c>
      <c r="G2982" t="s">
        <v>43</v>
      </c>
      <c r="H2982" t="s">
        <v>18</v>
      </c>
      <c r="I2982" t="s">
        <v>40</v>
      </c>
      <c r="J2982" t="s">
        <v>26</v>
      </c>
      <c r="K2982" t="s">
        <v>41</v>
      </c>
      <c r="L2982" t="s">
        <v>22</v>
      </c>
      <c r="M2982">
        <v>800.06</v>
      </c>
      <c r="N2982">
        <v>2020</v>
      </c>
      <c r="O2982">
        <v>6</v>
      </c>
    </row>
    <row r="2983" spans="1:15" x14ac:dyDescent="0.3">
      <c r="A2983" s="1">
        <v>44002</v>
      </c>
      <c r="B2983">
        <v>1000000566</v>
      </c>
      <c r="C2983" t="s">
        <v>23</v>
      </c>
      <c r="D2983">
        <v>2</v>
      </c>
      <c r="E2983">
        <v>2957.59</v>
      </c>
      <c r="F2983" t="s">
        <v>16</v>
      </c>
      <c r="G2983" t="s">
        <v>24</v>
      </c>
      <c r="H2983" t="s">
        <v>47</v>
      </c>
      <c r="I2983" t="s">
        <v>48</v>
      </c>
      <c r="J2983" t="s">
        <v>36</v>
      </c>
      <c r="K2983" t="s">
        <v>49</v>
      </c>
      <c r="L2983" t="s">
        <v>22</v>
      </c>
      <c r="M2983">
        <v>1478.7950000000001</v>
      </c>
      <c r="N2983">
        <v>2020</v>
      </c>
      <c r="O2983">
        <v>6</v>
      </c>
    </row>
    <row r="2984" spans="1:15" x14ac:dyDescent="0.3">
      <c r="A2984" s="1">
        <v>44002</v>
      </c>
      <c r="B2984">
        <v>1000000566</v>
      </c>
      <c r="C2984" t="s">
        <v>15</v>
      </c>
      <c r="D2984">
        <v>2</v>
      </c>
      <c r="E2984">
        <v>24000.53</v>
      </c>
      <c r="F2984" t="s">
        <v>16</v>
      </c>
      <c r="G2984" t="s">
        <v>17</v>
      </c>
      <c r="H2984" t="s">
        <v>47</v>
      </c>
      <c r="I2984" t="s">
        <v>48</v>
      </c>
      <c r="J2984" t="s">
        <v>36</v>
      </c>
      <c r="K2984" t="s">
        <v>49</v>
      </c>
      <c r="L2984" t="s">
        <v>22</v>
      </c>
      <c r="M2984">
        <v>12000.264999999999</v>
      </c>
      <c r="N2984">
        <v>2020</v>
      </c>
      <c r="O2984">
        <v>6</v>
      </c>
    </row>
    <row r="2985" spans="1:15" x14ac:dyDescent="0.3">
      <c r="A2985" s="1">
        <v>44002</v>
      </c>
      <c r="B2985">
        <v>1000000576</v>
      </c>
      <c r="C2985" t="s">
        <v>23</v>
      </c>
      <c r="D2985">
        <v>1</v>
      </c>
      <c r="E2985">
        <v>3430.44</v>
      </c>
      <c r="F2985" t="s">
        <v>16</v>
      </c>
      <c r="G2985" t="s">
        <v>24</v>
      </c>
      <c r="H2985" t="s">
        <v>18</v>
      </c>
      <c r="I2985" t="s">
        <v>25</v>
      </c>
      <c r="J2985" t="s">
        <v>36</v>
      </c>
      <c r="K2985" t="s">
        <v>37</v>
      </c>
      <c r="L2985" t="s">
        <v>22</v>
      </c>
      <c r="M2985">
        <v>3430.44</v>
      </c>
      <c r="N2985">
        <v>2020</v>
      </c>
      <c r="O2985">
        <v>6</v>
      </c>
    </row>
    <row r="2986" spans="1:15" x14ac:dyDescent="0.3">
      <c r="A2986" s="1">
        <v>44002</v>
      </c>
      <c r="B2986">
        <v>1000000928</v>
      </c>
      <c r="C2986" t="s">
        <v>23</v>
      </c>
      <c r="D2986">
        <v>2</v>
      </c>
      <c r="E2986">
        <v>34000.369999999995</v>
      </c>
      <c r="F2986" t="s">
        <v>16</v>
      </c>
      <c r="G2986" t="s">
        <v>24</v>
      </c>
      <c r="H2986" t="s">
        <v>30</v>
      </c>
      <c r="I2986" t="s">
        <v>57</v>
      </c>
      <c r="J2986" t="s">
        <v>26</v>
      </c>
      <c r="K2986" t="s">
        <v>58</v>
      </c>
      <c r="L2986" t="s">
        <v>22</v>
      </c>
      <c r="M2986">
        <v>17000.184999999998</v>
      </c>
      <c r="N2986">
        <v>2020</v>
      </c>
      <c r="O2986">
        <v>6</v>
      </c>
    </row>
    <row r="2987" spans="1:15" x14ac:dyDescent="0.3">
      <c r="A2987" s="1">
        <v>44002</v>
      </c>
      <c r="B2987">
        <v>1000002861</v>
      </c>
      <c r="C2987" t="s">
        <v>23</v>
      </c>
      <c r="D2987">
        <v>1</v>
      </c>
      <c r="E2987">
        <v>12000.19</v>
      </c>
      <c r="F2987" t="s">
        <v>16</v>
      </c>
      <c r="G2987" t="s">
        <v>24</v>
      </c>
      <c r="H2987" t="s">
        <v>47</v>
      </c>
      <c r="I2987" t="s">
        <v>48</v>
      </c>
      <c r="J2987" t="s">
        <v>36</v>
      </c>
      <c r="K2987" t="s">
        <v>49</v>
      </c>
      <c r="L2987" t="s">
        <v>22</v>
      </c>
      <c r="M2987">
        <v>12000.19</v>
      </c>
      <c r="N2987">
        <v>2020</v>
      </c>
      <c r="O2987">
        <v>6</v>
      </c>
    </row>
    <row r="2988" spans="1:15" x14ac:dyDescent="0.3">
      <c r="A2988" s="1">
        <v>44002</v>
      </c>
      <c r="B2988">
        <v>1000003489</v>
      </c>
      <c r="C2988" t="s">
        <v>23</v>
      </c>
      <c r="D2988">
        <v>1</v>
      </c>
      <c r="E2988">
        <v>1261.1400000000001</v>
      </c>
      <c r="F2988" t="s">
        <v>16</v>
      </c>
      <c r="G2988" t="s">
        <v>24</v>
      </c>
      <c r="H2988" t="s">
        <v>47</v>
      </c>
      <c r="I2988" t="s">
        <v>48</v>
      </c>
      <c r="J2988" t="s">
        <v>26</v>
      </c>
      <c r="K2988" t="s">
        <v>50</v>
      </c>
      <c r="L2988" t="s">
        <v>22</v>
      </c>
      <c r="M2988">
        <v>1261.1400000000001</v>
      </c>
      <c r="N2988">
        <v>2020</v>
      </c>
      <c r="O2988">
        <v>6</v>
      </c>
    </row>
    <row r="2989" spans="1:15" x14ac:dyDescent="0.3">
      <c r="A2989" s="1">
        <v>44002</v>
      </c>
      <c r="B2989">
        <v>1000003803</v>
      </c>
      <c r="C2989" t="s">
        <v>23</v>
      </c>
      <c r="D2989">
        <v>1</v>
      </c>
      <c r="E2989">
        <v>6500.49</v>
      </c>
      <c r="F2989" t="s">
        <v>16</v>
      </c>
      <c r="G2989" t="s">
        <v>24</v>
      </c>
      <c r="H2989" t="s">
        <v>30</v>
      </c>
      <c r="I2989" t="s">
        <v>31</v>
      </c>
      <c r="J2989" t="s">
        <v>36</v>
      </c>
      <c r="K2989" t="s">
        <v>52</v>
      </c>
      <c r="L2989" t="s">
        <v>22</v>
      </c>
      <c r="M2989">
        <v>6500.49</v>
      </c>
      <c r="N2989">
        <v>2020</v>
      </c>
      <c r="O2989">
        <v>6</v>
      </c>
    </row>
    <row r="2990" spans="1:15" x14ac:dyDescent="0.3">
      <c r="A2990" s="1">
        <v>44002</v>
      </c>
      <c r="B2990">
        <v>1000003926</v>
      </c>
      <c r="C2990" t="s">
        <v>23</v>
      </c>
      <c r="D2990">
        <v>3</v>
      </c>
      <c r="E2990">
        <v>21600.559999999998</v>
      </c>
      <c r="F2990" t="s">
        <v>16</v>
      </c>
      <c r="G2990" t="s">
        <v>24</v>
      </c>
      <c r="H2990" t="s">
        <v>47</v>
      </c>
      <c r="I2990" t="s">
        <v>48</v>
      </c>
      <c r="J2990" t="s">
        <v>26</v>
      </c>
      <c r="K2990" t="s">
        <v>50</v>
      </c>
      <c r="L2990" t="s">
        <v>28</v>
      </c>
      <c r="M2990">
        <v>7200.1866666666656</v>
      </c>
      <c r="N2990">
        <v>2020</v>
      </c>
      <c r="O2990">
        <v>6</v>
      </c>
    </row>
    <row r="2991" spans="1:15" x14ac:dyDescent="0.3">
      <c r="A2991" s="1">
        <v>44002</v>
      </c>
      <c r="B2991">
        <v>1000004170</v>
      </c>
      <c r="C2991" t="s">
        <v>23</v>
      </c>
      <c r="D2991">
        <v>4</v>
      </c>
      <c r="E2991">
        <v>26140.869999999995</v>
      </c>
      <c r="F2991" t="s">
        <v>16</v>
      </c>
      <c r="G2991" t="s">
        <v>24</v>
      </c>
      <c r="H2991" t="s">
        <v>18</v>
      </c>
      <c r="I2991" t="s">
        <v>34</v>
      </c>
      <c r="J2991" t="s">
        <v>20</v>
      </c>
      <c r="K2991" t="s">
        <v>44</v>
      </c>
      <c r="L2991" t="s">
        <v>28</v>
      </c>
      <c r="M2991">
        <v>6535.2174999999988</v>
      </c>
      <c r="N2991">
        <v>2020</v>
      </c>
      <c r="O2991">
        <v>6</v>
      </c>
    </row>
    <row r="2992" spans="1:15" x14ac:dyDescent="0.3">
      <c r="A2992" s="1">
        <v>44002</v>
      </c>
      <c r="B2992">
        <v>1000004256</v>
      </c>
      <c r="C2992" t="s">
        <v>42</v>
      </c>
      <c r="D2992">
        <v>1</v>
      </c>
      <c r="E2992">
        <v>19000.27</v>
      </c>
      <c r="F2992" t="s">
        <v>16</v>
      </c>
      <c r="G2992" t="s">
        <v>43</v>
      </c>
      <c r="H2992" t="s">
        <v>18</v>
      </c>
      <c r="I2992" t="s">
        <v>40</v>
      </c>
      <c r="J2992" t="s">
        <v>26</v>
      </c>
      <c r="K2992" t="s">
        <v>41</v>
      </c>
      <c r="L2992" t="s">
        <v>22</v>
      </c>
      <c r="M2992">
        <v>19000.27</v>
      </c>
      <c r="N2992">
        <v>2020</v>
      </c>
      <c r="O2992">
        <v>6</v>
      </c>
    </row>
    <row r="2993" spans="1:15" x14ac:dyDescent="0.3">
      <c r="A2993" s="1">
        <v>44002</v>
      </c>
      <c r="B2993">
        <v>1000005873</v>
      </c>
      <c r="C2993" t="s">
        <v>15</v>
      </c>
      <c r="D2993">
        <v>1</v>
      </c>
      <c r="E2993">
        <v>6000.07</v>
      </c>
      <c r="F2993" t="s">
        <v>16</v>
      </c>
      <c r="G2993" t="s">
        <v>17</v>
      </c>
      <c r="H2993" t="s">
        <v>18</v>
      </c>
      <c r="I2993" t="s">
        <v>19</v>
      </c>
      <c r="J2993" t="s">
        <v>20</v>
      </c>
      <c r="K2993" t="s">
        <v>21</v>
      </c>
      <c r="L2993" t="s">
        <v>28</v>
      </c>
      <c r="M2993">
        <v>6000.07</v>
      </c>
      <c r="N2993">
        <v>2020</v>
      </c>
      <c r="O2993">
        <v>6</v>
      </c>
    </row>
    <row r="2994" spans="1:15" x14ac:dyDescent="0.3">
      <c r="A2994" s="1">
        <v>44002</v>
      </c>
      <c r="B2994">
        <v>1000006698</v>
      </c>
      <c r="C2994" t="s">
        <v>23</v>
      </c>
      <c r="D2994">
        <v>1</v>
      </c>
      <c r="E2994">
        <v>7999.94</v>
      </c>
      <c r="F2994" t="s">
        <v>16</v>
      </c>
      <c r="G2994" t="s">
        <v>24</v>
      </c>
      <c r="H2994" t="s">
        <v>30</v>
      </c>
      <c r="I2994" t="s">
        <v>38</v>
      </c>
      <c r="J2994" t="s">
        <v>26</v>
      </c>
      <c r="K2994" t="s">
        <v>39</v>
      </c>
      <c r="L2994" t="s">
        <v>28</v>
      </c>
      <c r="M2994">
        <v>7999.94</v>
      </c>
      <c r="N2994">
        <v>2020</v>
      </c>
      <c r="O2994">
        <v>6</v>
      </c>
    </row>
    <row r="2995" spans="1:15" x14ac:dyDescent="0.3">
      <c r="A2995" s="1">
        <v>44002</v>
      </c>
      <c r="B2995">
        <v>1000006859</v>
      </c>
      <c r="C2995" t="s">
        <v>15</v>
      </c>
      <c r="D2995">
        <v>1</v>
      </c>
      <c r="E2995">
        <v>2000.43</v>
      </c>
      <c r="F2995" t="s">
        <v>16</v>
      </c>
      <c r="G2995" t="s">
        <v>17</v>
      </c>
      <c r="H2995" t="s">
        <v>18</v>
      </c>
      <c r="I2995" t="s">
        <v>61</v>
      </c>
      <c r="J2995" t="s">
        <v>26</v>
      </c>
      <c r="K2995" t="s">
        <v>62</v>
      </c>
      <c r="L2995" t="s">
        <v>22</v>
      </c>
      <c r="M2995">
        <v>2000.43</v>
      </c>
      <c r="N2995">
        <v>2020</v>
      </c>
      <c r="O2995">
        <v>6</v>
      </c>
    </row>
    <row r="2996" spans="1:15" x14ac:dyDescent="0.3">
      <c r="A2996" s="1">
        <v>44002</v>
      </c>
      <c r="B2996">
        <v>1000006859</v>
      </c>
      <c r="C2996" t="s">
        <v>42</v>
      </c>
      <c r="D2996">
        <v>1</v>
      </c>
      <c r="E2996">
        <v>8000.18</v>
      </c>
      <c r="F2996" t="s">
        <v>16</v>
      </c>
      <c r="G2996" t="s">
        <v>43</v>
      </c>
      <c r="H2996" t="s">
        <v>18</v>
      </c>
      <c r="I2996" t="s">
        <v>61</v>
      </c>
      <c r="J2996" t="s">
        <v>26</v>
      </c>
      <c r="K2996" t="s">
        <v>62</v>
      </c>
      <c r="L2996" t="s">
        <v>22</v>
      </c>
      <c r="M2996">
        <v>8000.18</v>
      </c>
      <c r="N2996">
        <v>2020</v>
      </c>
      <c r="O2996">
        <v>6</v>
      </c>
    </row>
    <row r="2997" spans="1:15" x14ac:dyDescent="0.3">
      <c r="A2997" s="1">
        <v>44002</v>
      </c>
      <c r="B2997">
        <v>1000006867</v>
      </c>
      <c r="C2997" t="s">
        <v>15</v>
      </c>
      <c r="D2997">
        <v>1</v>
      </c>
      <c r="E2997">
        <v>10000.48</v>
      </c>
      <c r="F2997" t="s">
        <v>16</v>
      </c>
      <c r="G2997" t="s">
        <v>17</v>
      </c>
      <c r="H2997" t="s">
        <v>18</v>
      </c>
      <c r="I2997" t="s">
        <v>61</v>
      </c>
      <c r="J2997" t="s">
        <v>26</v>
      </c>
      <c r="K2997" t="s">
        <v>62</v>
      </c>
      <c r="L2997" t="s">
        <v>22</v>
      </c>
      <c r="M2997">
        <v>10000.48</v>
      </c>
      <c r="N2997">
        <v>2020</v>
      </c>
      <c r="O2997">
        <v>6</v>
      </c>
    </row>
    <row r="2998" spans="1:15" x14ac:dyDescent="0.3">
      <c r="A2998" s="1">
        <v>44002</v>
      </c>
      <c r="B2998">
        <v>1000006869</v>
      </c>
      <c r="C2998" t="s">
        <v>15</v>
      </c>
      <c r="D2998">
        <v>2</v>
      </c>
      <c r="E2998">
        <v>32000.79</v>
      </c>
      <c r="F2998" t="s">
        <v>16</v>
      </c>
      <c r="G2998" t="s">
        <v>17</v>
      </c>
      <c r="H2998" t="s">
        <v>18</v>
      </c>
      <c r="I2998" t="s">
        <v>61</v>
      </c>
      <c r="J2998" t="s">
        <v>26</v>
      </c>
      <c r="K2998" t="s">
        <v>62</v>
      </c>
      <c r="L2998" t="s">
        <v>22</v>
      </c>
      <c r="M2998">
        <v>16000.395</v>
      </c>
      <c r="N2998">
        <v>2020</v>
      </c>
      <c r="O2998">
        <v>6</v>
      </c>
    </row>
    <row r="2999" spans="1:15" x14ac:dyDescent="0.3">
      <c r="A2999" s="1">
        <v>44002</v>
      </c>
      <c r="B2999">
        <v>1000007320</v>
      </c>
      <c r="C2999" t="s">
        <v>23</v>
      </c>
      <c r="D2999">
        <v>1</v>
      </c>
      <c r="E2999">
        <v>7500.31</v>
      </c>
      <c r="F2999" t="s">
        <v>16</v>
      </c>
      <c r="G2999" t="s">
        <v>24</v>
      </c>
      <c r="H2999" t="s">
        <v>18</v>
      </c>
      <c r="I2999" t="s">
        <v>34</v>
      </c>
      <c r="J2999" t="s">
        <v>26</v>
      </c>
      <c r="K2999" t="s">
        <v>35</v>
      </c>
      <c r="L2999" t="s">
        <v>22</v>
      </c>
      <c r="M2999">
        <v>7500.31</v>
      </c>
      <c r="N2999">
        <v>2020</v>
      </c>
      <c r="O2999">
        <v>6</v>
      </c>
    </row>
    <row r="3000" spans="1:15" x14ac:dyDescent="0.3">
      <c r="A3000" s="1">
        <v>44002</v>
      </c>
      <c r="B3000">
        <v>1000007320</v>
      </c>
      <c r="C3000" t="s">
        <v>15</v>
      </c>
      <c r="D3000">
        <v>1</v>
      </c>
      <c r="E3000">
        <v>5500.4</v>
      </c>
      <c r="F3000" t="s">
        <v>16</v>
      </c>
      <c r="G3000" t="s">
        <v>17</v>
      </c>
      <c r="H3000" t="s">
        <v>18</v>
      </c>
      <c r="I3000" t="s">
        <v>34</v>
      </c>
      <c r="J3000" t="s">
        <v>26</v>
      </c>
      <c r="K3000" t="s">
        <v>35</v>
      </c>
      <c r="L3000" t="s">
        <v>22</v>
      </c>
      <c r="M3000">
        <v>5500.4</v>
      </c>
      <c r="N3000">
        <v>2020</v>
      </c>
      <c r="O3000">
        <v>6</v>
      </c>
    </row>
    <row r="3001" spans="1:15" x14ac:dyDescent="0.3">
      <c r="A3001" s="1">
        <v>44002</v>
      </c>
      <c r="B3001">
        <v>1000008228</v>
      </c>
      <c r="C3001" t="s">
        <v>23</v>
      </c>
      <c r="D3001">
        <v>1</v>
      </c>
      <c r="E3001">
        <v>11000.11</v>
      </c>
      <c r="F3001" t="s">
        <v>16</v>
      </c>
      <c r="G3001" t="s">
        <v>24</v>
      </c>
      <c r="H3001" t="s">
        <v>30</v>
      </c>
      <c r="I3001" t="s">
        <v>31</v>
      </c>
      <c r="J3001" t="s">
        <v>36</v>
      </c>
      <c r="K3001" t="s">
        <v>52</v>
      </c>
      <c r="L3001" t="s">
        <v>22</v>
      </c>
      <c r="M3001">
        <v>11000.11</v>
      </c>
      <c r="N3001">
        <v>2020</v>
      </c>
      <c r="O3001">
        <v>6</v>
      </c>
    </row>
    <row r="3002" spans="1:15" x14ac:dyDescent="0.3">
      <c r="A3002" s="1">
        <v>44002</v>
      </c>
      <c r="B3002">
        <v>1000008239</v>
      </c>
      <c r="C3002" t="s">
        <v>23</v>
      </c>
      <c r="D3002">
        <v>1</v>
      </c>
      <c r="E3002">
        <v>5000.51</v>
      </c>
      <c r="F3002" t="s">
        <v>16</v>
      </c>
      <c r="G3002" t="s">
        <v>24</v>
      </c>
      <c r="H3002" t="s">
        <v>18</v>
      </c>
      <c r="I3002" t="s">
        <v>61</v>
      </c>
      <c r="J3002" t="s">
        <v>26</v>
      </c>
      <c r="K3002" t="s">
        <v>62</v>
      </c>
      <c r="L3002" t="s">
        <v>28</v>
      </c>
      <c r="M3002">
        <v>5000.51</v>
      </c>
      <c r="N3002">
        <v>2020</v>
      </c>
      <c r="O3002">
        <v>6</v>
      </c>
    </row>
    <row r="3003" spans="1:15" x14ac:dyDescent="0.3">
      <c r="A3003" s="1">
        <v>44002</v>
      </c>
      <c r="B3003">
        <v>1000008542</v>
      </c>
      <c r="C3003" t="s">
        <v>42</v>
      </c>
      <c r="D3003">
        <v>1</v>
      </c>
      <c r="E3003">
        <v>11000.69</v>
      </c>
      <c r="F3003" t="s">
        <v>16</v>
      </c>
      <c r="G3003" t="s">
        <v>43</v>
      </c>
      <c r="H3003" t="s">
        <v>18</v>
      </c>
      <c r="I3003" t="s">
        <v>40</v>
      </c>
      <c r="J3003" t="s">
        <v>26</v>
      </c>
      <c r="K3003" t="s">
        <v>41</v>
      </c>
      <c r="L3003" t="s">
        <v>22</v>
      </c>
      <c r="M3003">
        <v>11000.69</v>
      </c>
      <c r="N3003">
        <v>2020</v>
      </c>
      <c r="O3003">
        <v>6</v>
      </c>
    </row>
    <row r="3004" spans="1:15" x14ac:dyDescent="0.3">
      <c r="A3004" s="1">
        <v>44002</v>
      </c>
      <c r="B3004">
        <v>1000008957</v>
      </c>
      <c r="C3004" t="s">
        <v>15</v>
      </c>
      <c r="D3004">
        <v>1</v>
      </c>
      <c r="E3004">
        <v>10000.76</v>
      </c>
      <c r="F3004" t="s">
        <v>16</v>
      </c>
      <c r="G3004" t="s">
        <v>17</v>
      </c>
      <c r="H3004" t="s">
        <v>18</v>
      </c>
      <c r="I3004" t="s">
        <v>34</v>
      </c>
      <c r="J3004" t="s">
        <v>20</v>
      </c>
      <c r="K3004" t="s">
        <v>44</v>
      </c>
      <c r="L3004" t="s">
        <v>22</v>
      </c>
      <c r="M3004">
        <v>10000.76</v>
      </c>
      <c r="N3004">
        <v>2020</v>
      </c>
      <c r="O3004">
        <v>6</v>
      </c>
    </row>
    <row r="3005" spans="1:15" x14ac:dyDescent="0.3">
      <c r="A3005" s="1">
        <v>44002</v>
      </c>
      <c r="B3005">
        <v>1000008957</v>
      </c>
      <c r="C3005" t="s">
        <v>42</v>
      </c>
      <c r="D3005">
        <v>1</v>
      </c>
      <c r="E3005">
        <v>17000.62</v>
      </c>
      <c r="F3005" t="s">
        <v>16</v>
      </c>
      <c r="G3005" t="s">
        <v>43</v>
      </c>
      <c r="H3005" t="s">
        <v>18</v>
      </c>
      <c r="I3005" t="s">
        <v>34</v>
      </c>
      <c r="J3005" t="s">
        <v>20</v>
      </c>
      <c r="K3005" t="s">
        <v>44</v>
      </c>
      <c r="L3005" t="s">
        <v>22</v>
      </c>
      <c r="M3005">
        <v>17000.62</v>
      </c>
      <c r="N3005">
        <v>2020</v>
      </c>
      <c r="O3005">
        <v>6</v>
      </c>
    </row>
    <row r="3006" spans="1:15" x14ac:dyDescent="0.3">
      <c r="A3006" s="1">
        <v>44002</v>
      </c>
      <c r="B3006">
        <v>1000010814</v>
      </c>
      <c r="C3006" t="s">
        <v>15</v>
      </c>
      <c r="D3006">
        <v>1</v>
      </c>
      <c r="E3006">
        <v>7000.76</v>
      </c>
      <c r="F3006" t="s">
        <v>16</v>
      </c>
      <c r="G3006" t="s">
        <v>17</v>
      </c>
      <c r="H3006" t="s">
        <v>18</v>
      </c>
      <c r="I3006" t="s">
        <v>61</v>
      </c>
      <c r="J3006" t="s">
        <v>32</v>
      </c>
      <c r="K3006" t="s">
        <v>63</v>
      </c>
      <c r="L3006" t="s">
        <v>22</v>
      </c>
      <c r="M3006">
        <v>7000.76</v>
      </c>
      <c r="N3006">
        <v>2020</v>
      </c>
      <c r="O3006">
        <v>6</v>
      </c>
    </row>
    <row r="3007" spans="1:15" x14ac:dyDescent="0.3">
      <c r="A3007" s="1">
        <v>44002</v>
      </c>
      <c r="B3007">
        <v>1000011538</v>
      </c>
      <c r="C3007" t="s">
        <v>23</v>
      </c>
      <c r="D3007">
        <v>1</v>
      </c>
      <c r="E3007">
        <v>11000.7</v>
      </c>
      <c r="F3007" t="s">
        <v>16</v>
      </c>
      <c r="G3007" t="s">
        <v>24</v>
      </c>
      <c r="H3007" t="s">
        <v>18</v>
      </c>
      <c r="I3007" t="s">
        <v>40</v>
      </c>
      <c r="J3007" t="s">
        <v>20</v>
      </c>
      <c r="K3007" t="s">
        <v>68</v>
      </c>
      <c r="L3007" t="s">
        <v>22</v>
      </c>
      <c r="M3007">
        <v>11000.7</v>
      </c>
      <c r="N3007">
        <v>2020</v>
      </c>
      <c r="O3007">
        <v>6</v>
      </c>
    </row>
    <row r="3008" spans="1:15" x14ac:dyDescent="0.3">
      <c r="A3008" s="1">
        <v>44002</v>
      </c>
      <c r="B3008">
        <v>1000011538</v>
      </c>
      <c r="C3008" t="s">
        <v>15</v>
      </c>
      <c r="D3008">
        <v>2</v>
      </c>
      <c r="E3008">
        <v>45000.86</v>
      </c>
      <c r="F3008" t="s">
        <v>16</v>
      </c>
      <c r="G3008" t="s">
        <v>17</v>
      </c>
      <c r="H3008" t="s">
        <v>18</v>
      </c>
      <c r="I3008" t="s">
        <v>40</v>
      </c>
      <c r="J3008" t="s">
        <v>20</v>
      </c>
      <c r="K3008" t="s">
        <v>68</v>
      </c>
      <c r="L3008" t="s">
        <v>22</v>
      </c>
      <c r="M3008">
        <v>22500.43</v>
      </c>
      <c r="N3008">
        <v>2020</v>
      </c>
      <c r="O3008">
        <v>6</v>
      </c>
    </row>
    <row r="3009" spans="1:15" x14ac:dyDescent="0.3">
      <c r="A3009" s="1">
        <v>44002</v>
      </c>
      <c r="B3009">
        <v>1000011697</v>
      </c>
      <c r="C3009" t="s">
        <v>23</v>
      </c>
      <c r="D3009">
        <v>1</v>
      </c>
      <c r="E3009">
        <v>5000.03</v>
      </c>
      <c r="F3009" t="s">
        <v>16</v>
      </c>
      <c r="G3009" t="s">
        <v>24</v>
      </c>
      <c r="H3009" t="s">
        <v>18</v>
      </c>
      <c r="I3009" t="s">
        <v>34</v>
      </c>
      <c r="J3009" t="s">
        <v>20</v>
      </c>
      <c r="K3009" t="s">
        <v>44</v>
      </c>
      <c r="L3009" t="s">
        <v>22</v>
      </c>
      <c r="M3009">
        <v>5000.03</v>
      </c>
      <c r="N3009">
        <v>2020</v>
      </c>
      <c r="O3009">
        <v>6</v>
      </c>
    </row>
    <row r="3010" spans="1:15" x14ac:dyDescent="0.3">
      <c r="A3010" s="1">
        <v>44002</v>
      </c>
      <c r="B3010">
        <v>1000011698</v>
      </c>
      <c r="C3010" t="s">
        <v>23</v>
      </c>
      <c r="D3010">
        <v>1</v>
      </c>
      <c r="E3010">
        <v>4300.54</v>
      </c>
      <c r="F3010" t="s">
        <v>16</v>
      </c>
      <c r="G3010" t="s">
        <v>24</v>
      </c>
      <c r="H3010" t="s">
        <v>18</v>
      </c>
      <c r="I3010" t="s">
        <v>34</v>
      </c>
      <c r="J3010" t="s">
        <v>20</v>
      </c>
      <c r="K3010" t="s">
        <v>44</v>
      </c>
      <c r="L3010" t="s">
        <v>22</v>
      </c>
      <c r="M3010">
        <v>4300.54</v>
      </c>
      <c r="N3010">
        <v>2020</v>
      </c>
      <c r="O3010">
        <v>6</v>
      </c>
    </row>
    <row r="3011" spans="1:15" x14ac:dyDescent="0.3">
      <c r="A3011" s="1">
        <v>44002</v>
      </c>
      <c r="B3011">
        <v>1000011828</v>
      </c>
      <c r="C3011" t="s">
        <v>42</v>
      </c>
      <c r="D3011">
        <v>1</v>
      </c>
      <c r="E3011">
        <v>16000.44</v>
      </c>
      <c r="F3011" t="s">
        <v>16</v>
      </c>
      <c r="G3011" t="s">
        <v>43</v>
      </c>
      <c r="H3011" t="s">
        <v>18</v>
      </c>
      <c r="I3011" t="s">
        <v>19</v>
      </c>
      <c r="J3011" t="s">
        <v>20</v>
      </c>
      <c r="K3011" t="s">
        <v>21</v>
      </c>
      <c r="L3011" t="s">
        <v>22</v>
      </c>
      <c r="M3011">
        <v>16000.44</v>
      </c>
      <c r="N3011">
        <v>2020</v>
      </c>
      <c r="O3011">
        <v>6</v>
      </c>
    </row>
    <row r="3012" spans="1:15" x14ac:dyDescent="0.3">
      <c r="A3012" s="1">
        <v>44002</v>
      </c>
      <c r="B3012">
        <v>1000012096</v>
      </c>
      <c r="C3012" t="s">
        <v>15</v>
      </c>
      <c r="D3012">
        <v>1</v>
      </c>
      <c r="E3012">
        <v>5000.62</v>
      </c>
      <c r="F3012" t="s">
        <v>16</v>
      </c>
      <c r="G3012" t="s">
        <v>17</v>
      </c>
      <c r="H3012" t="s">
        <v>18</v>
      </c>
      <c r="I3012" t="s">
        <v>19</v>
      </c>
      <c r="J3012" t="s">
        <v>26</v>
      </c>
      <c r="K3012" t="s">
        <v>29</v>
      </c>
      <c r="L3012" t="s">
        <v>22</v>
      </c>
      <c r="M3012">
        <v>5000.62</v>
      </c>
      <c r="N3012">
        <v>2020</v>
      </c>
      <c r="O3012">
        <v>6</v>
      </c>
    </row>
    <row r="3013" spans="1:15" x14ac:dyDescent="0.3">
      <c r="A3013" s="1">
        <v>44002</v>
      </c>
      <c r="B3013">
        <v>1000012099</v>
      </c>
      <c r="C3013" t="s">
        <v>15</v>
      </c>
      <c r="D3013">
        <v>2</v>
      </c>
      <c r="E3013">
        <v>24000.260000000002</v>
      </c>
      <c r="F3013" t="s">
        <v>16</v>
      </c>
      <c r="G3013" t="s">
        <v>17</v>
      </c>
      <c r="H3013" t="s">
        <v>18</v>
      </c>
      <c r="I3013" t="s">
        <v>19</v>
      </c>
      <c r="J3013" t="s">
        <v>20</v>
      </c>
      <c r="K3013" t="s">
        <v>21</v>
      </c>
      <c r="L3013" t="s">
        <v>22</v>
      </c>
      <c r="M3013">
        <v>12000.130000000001</v>
      </c>
      <c r="N3013">
        <v>2020</v>
      </c>
      <c r="O3013">
        <v>6</v>
      </c>
    </row>
    <row r="3014" spans="1:15" x14ac:dyDescent="0.3">
      <c r="A3014" s="1">
        <v>44002</v>
      </c>
      <c r="B3014">
        <v>1000012112</v>
      </c>
      <c r="C3014" t="s">
        <v>23</v>
      </c>
      <c r="D3014">
        <v>1</v>
      </c>
      <c r="E3014">
        <v>6000.49</v>
      </c>
      <c r="F3014" t="s">
        <v>16</v>
      </c>
      <c r="G3014" t="s">
        <v>24</v>
      </c>
      <c r="H3014" t="s">
        <v>18</v>
      </c>
      <c r="I3014" t="s">
        <v>19</v>
      </c>
      <c r="J3014" t="s">
        <v>36</v>
      </c>
      <c r="K3014" t="s">
        <v>64</v>
      </c>
      <c r="L3014" t="s">
        <v>28</v>
      </c>
      <c r="M3014">
        <v>6000.49</v>
      </c>
      <c r="N3014">
        <v>2020</v>
      </c>
      <c r="O3014">
        <v>6</v>
      </c>
    </row>
    <row r="3015" spans="1:15" x14ac:dyDescent="0.3">
      <c r="A3015" s="1">
        <v>44002</v>
      </c>
      <c r="B3015">
        <v>1000012126</v>
      </c>
      <c r="C3015" t="s">
        <v>23</v>
      </c>
      <c r="D3015">
        <v>1</v>
      </c>
      <c r="E3015">
        <v>4999.96</v>
      </c>
      <c r="F3015" t="s">
        <v>16</v>
      </c>
      <c r="G3015" t="s">
        <v>24</v>
      </c>
      <c r="H3015" t="s">
        <v>18</v>
      </c>
      <c r="I3015" t="s">
        <v>19</v>
      </c>
      <c r="J3015" t="s">
        <v>26</v>
      </c>
      <c r="K3015" t="s">
        <v>29</v>
      </c>
      <c r="L3015" t="s">
        <v>22</v>
      </c>
      <c r="M3015">
        <v>4999.96</v>
      </c>
      <c r="N3015">
        <v>2020</v>
      </c>
      <c r="O3015">
        <v>6</v>
      </c>
    </row>
    <row r="3016" spans="1:15" x14ac:dyDescent="0.3">
      <c r="A3016" s="1">
        <v>44002</v>
      </c>
      <c r="B3016">
        <v>1000012234</v>
      </c>
      <c r="C3016" t="s">
        <v>23</v>
      </c>
      <c r="D3016">
        <v>3</v>
      </c>
      <c r="E3016">
        <v>6900.74</v>
      </c>
      <c r="F3016" t="s">
        <v>16</v>
      </c>
      <c r="G3016" t="s">
        <v>24</v>
      </c>
      <c r="H3016" t="s">
        <v>18</v>
      </c>
      <c r="I3016" t="s">
        <v>25</v>
      </c>
      <c r="J3016" t="s">
        <v>26</v>
      </c>
      <c r="K3016" t="s">
        <v>27</v>
      </c>
      <c r="L3016" t="s">
        <v>22</v>
      </c>
      <c r="M3016">
        <v>2300.2466666666664</v>
      </c>
      <c r="N3016">
        <v>2020</v>
      </c>
      <c r="O3016">
        <v>6</v>
      </c>
    </row>
    <row r="3017" spans="1:15" x14ac:dyDescent="0.3">
      <c r="A3017" s="1">
        <v>44002</v>
      </c>
      <c r="B3017">
        <v>1000012313</v>
      </c>
      <c r="C3017" t="s">
        <v>23</v>
      </c>
      <c r="D3017">
        <v>1</v>
      </c>
      <c r="E3017">
        <v>15000.66</v>
      </c>
      <c r="F3017" t="s">
        <v>16</v>
      </c>
      <c r="G3017" t="s">
        <v>24</v>
      </c>
      <c r="H3017" t="s">
        <v>47</v>
      </c>
      <c r="I3017" t="s">
        <v>65</v>
      </c>
      <c r="J3017" t="s">
        <v>26</v>
      </c>
      <c r="K3017" t="s">
        <v>66</v>
      </c>
      <c r="L3017" t="s">
        <v>22</v>
      </c>
      <c r="M3017">
        <v>15000.66</v>
      </c>
      <c r="N3017">
        <v>2020</v>
      </c>
      <c r="O3017">
        <v>6</v>
      </c>
    </row>
    <row r="3018" spans="1:15" x14ac:dyDescent="0.3">
      <c r="A3018" s="1">
        <v>44002</v>
      </c>
      <c r="B3018">
        <v>1000012394</v>
      </c>
      <c r="C3018" t="s">
        <v>23</v>
      </c>
      <c r="D3018">
        <v>1</v>
      </c>
      <c r="E3018">
        <v>1400.25</v>
      </c>
      <c r="F3018" t="s">
        <v>16</v>
      </c>
      <c r="G3018" t="s">
        <v>24</v>
      </c>
      <c r="H3018" t="s">
        <v>18</v>
      </c>
      <c r="I3018" t="s">
        <v>61</v>
      </c>
      <c r="J3018" t="s">
        <v>26</v>
      </c>
      <c r="K3018" t="s">
        <v>62</v>
      </c>
      <c r="L3018" t="s">
        <v>22</v>
      </c>
      <c r="M3018">
        <v>1400.25</v>
      </c>
      <c r="N3018">
        <v>2020</v>
      </c>
      <c r="O3018">
        <v>6</v>
      </c>
    </row>
    <row r="3019" spans="1:15" x14ac:dyDescent="0.3">
      <c r="A3019" s="1">
        <v>44002</v>
      </c>
      <c r="B3019">
        <v>1000013526</v>
      </c>
      <c r="C3019" t="s">
        <v>15</v>
      </c>
      <c r="D3019">
        <v>1</v>
      </c>
      <c r="E3019">
        <v>8000.45</v>
      </c>
      <c r="F3019" t="s">
        <v>16</v>
      </c>
      <c r="G3019" t="s">
        <v>17</v>
      </c>
      <c r="H3019" t="s">
        <v>47</v>
      </c>
      <c r="I3019" t="s">
        <v>65</v>
      </c>
      <c r="J3019" t="s">
        <v>26</v>
      </c>
      <c r="K3019" t="s">
        <v>66</v>
      </c>
      <c r="L3019" t="s">
        <v>22</v>
      </c>
      <c r="M3019">
        <v>8000.45</v>
      </c>
      <c r="N3019">
        <v>2020</v>
      </c>
      <c r="O3019">
        <v>6</v>
      </c>
    </row>
    <row r="3020" spans="1:15" x14ac:dyDescent="0.3">
      <c r="A3020" s="1">
        <v>44002</v>
      </c>
      <c r="B3020">
        <v>1000013607</v>
      </c>
      <c r="C3020" t="s">
        <v>23</v>
      </c>
      <c r="D3020">
        <v>1</v>
      </c>
      <c r="E3020">
        <v>6000.72</v>
      </c>
      <c r="F3020" t="s">
        <v>16</v>
      </c>
      <c r="G3020" t="s">
        <v>24</v>
      </c>
      <c r="H3020" t="s">
        <v>18</v>
      </c>
      <c r="I3020" t="s">
        <v>25</v>
      </c>
      <c r="J3020" t="s">
        <v>26</v>
      </c>
      <c r="K3020" t="s">
        <v>27</v>
      </c>
      <c r="L3020" t="s">
        <v>22</v>
      </c>
      <c r="M3020">
        <v>6000.72</v>
      </c>
      <c r="N3020">
        <v>2020</v>
      </c>
      <c r="O3020">
        <v>6</v>
      </c>
    </row>
    <row r="3021" spans="1:15" x14ac:dyDescent="0.3">
      <c r="A3021" s="1">
        <v>44002</v>
      </c>
      <c r="B3021">
        <v>1000013607</v>
      </c>
      <c r="C3021" t="s">
        <v>15</v>
      </c>
      <c r="D3021">
        <v>3</v>
      </c>
      <c r="E3021">
        <v>46000.630000000005</v>
      </c>
      <c r="F3021" t="s">
        <v>16</v>
      </c>
      <c r="G3021" t="s">
        <v>17</v>
      </c>
      <c r="H3021" t="s">
        <v>18</v>
      </c>
      <c r="I3021" t="s">
        <v>25</v>
      </c>
      <c r="J3021" t="s">
        <v>26</v>
      </c>
      <c r="K3021" t="s">
        <v>27</v>
      </c>
      <c r="L3021" t="s">
        <v>22</v>
      </c>
      <c r="M3021">
        <v>15333.543333333335</v>
      </c>
      <c r="N3021">
        <v>2020</v>
      </c>
      <c r="O3021">
        <v>6</v>
      </c>
    </row>
    <row r="3022" spans="1:15" x14ac:dyDescent="0.3">
      <c r="A3022" s="1">
        <v>44002</v>
      </c>
      <c r="B3022">
        <v>1000014037</v>
      </c>
      <c r="C3022" t="s">
        <v>23</v>
      </c>
      <c r="D3022">
        <v>1</v>
      </c>
      <c r="E3022">
        <v>7000.33</v>
      </c>
      <c r="F3022" t="s">
        <v>16</v>
      </c>
      <c r="G3022" t="s">
        <v>24</v>
      </c>
      <c r="H3022" t="s">
        <v>18</v>
      </c>
      <c r="I3022" t="s">
        <v>25</v>
      </c>
      <c r="J3022" t="s">
        <v>36</v>
      </c>
      <c r="K3022" t="s">
        <v>37</v>
      </c>
      <c r="L3022" t="s">
        <v>22</v>
      </c>
      <c r="M3022">
        <v>7000.33</v>
      </c>
      <c r="N3022">
        <v>2020</v>
      </c>
      <c r="O3022">
        <v>6</v>
      </c>
    </row>
    <row r="3023" spans="1:15" x14ac:dyDescent="0.3">
      <c r="A3023" s="1">
        <v>44002</v>
      </c>
      <c r="B3023">
        <v>1000014037</v>
      </c>
      <c r="C3023" t="s">
        <v>15</v>
      </c>
      <c r="D3023">
        <v>1</v>
      </c>
      <c r="E3023">
        <v>6000.28</v>
      </c>
      <c r="F3023" t="s">
        <v>16</v>
      </c>
      <c r="G3023" t="s">
        <v>17</v>
      </c>
      <c r="H3023" t="s">
        <v>18</v>
      </c>
      <c r="I3023" t="s">
        <v>25</v>
      </c>
      <c r="J3023" t="s">
        <v>36</v>
      </c>
      <c r="K3023" t="s">
        <v>37</v>
      </c>
      <c r="L3023" t="s">
        <v>22</v>
      </c>
      <c r="M3023">
        <v>6000.28</v>
      </c>
      <c r="N3023">
        <v>2020</v>
      </c>
      <c r="O3023">
        <v>6</v>
      </c>
    </row>
    <row r="3024" spans="1:15" x14ac:dyDescent="0.3">
      <c r="A3024" s="1">
        <v>44002</v>
      </c>
      <c r="B3024">
        <v>1000014072</v>
      </c>
      <c r="C3024" t="s">
        <v>23</v>
      </c>
      <c r="D3024">
        <v>1</v>
      </c>
      <c r="E3024">
        <v>13000.62</v>
      </c>
      <c r="F3024" t="s">
        <v>16</v>
      </c>
      <c r="G3024" t="s">
        <v>24</v>
      </c>
      <c r="H3024" t="s">
        <v>47</v>
      </c>
      <c r="I3024" t="s">
        <v>65</v>
      </c>
      <c r="J3024" t="s">
        <v>26</v>
      </c>
      <c r="K3024" t="s">
        <v>66</v>
      </c>
      <c r="L3024" t="s">
        <v>22</v>
      </c>
      <c r="M3024">
        <v>13000.62</v>
      </c>
      <c r="N3024">
        <v>2020</v>
      </c>
      <c r="O3024">
        <v>6</v>
      </c>
    </row>
    <row r="3025" spans="1:15" x14ac:dyDescent="0.3">
      <c r="A3025" s="1">
        <v>44002</v>
      </c>
      <c r="B3025">
        <v>1000014291</v>
      </c>
      <c r="C3025" t="s">
        <v>23</v>
      </c>
      <c r="D3025">
        <v>1</v>
      </c>
      <c r="E3025">
        <v>9000.1299999999992</v>
      </c>
      <c r="F3025" t="s">
        <v>16</v>
      </c>
      <c r="G3025" t="s">
        <v>24</v>
      </c>
      <c r="H3025" t="s">
        <v>47</v>
      </c>
      <c r="I3025" t="s">
        <v>48</v>
      </c>
      <c r="J3025" t="s">
        <v>20</v>
      </c>
      <c r="K3025" t="s">
        <v>67</v>
      </c>
      <c r="L3025" t="s">
        <v>28</v>
      </c>
      <c r="M3025">
        <v>9000.1299999999992</v>
      </c>
      <c r="N3025">
        <v>2020</v>
      </c>
      <c r="O3025">
        <v>6</v>
      </c>
    </row>
    <row r="3026" spans="1:15" x14ac:dyDescent="0.3">
      <c r="A3026" s="1">
        <v>44002</v>
      </c>
      <c r="B3026">
        <v>1000014291</v>
      </c>
      <c r="C3026" t="s">
        <v>15</v>
      </c>
      <c r="D3026">
        <v>1</v>
      </c>
      <c r="E3026">
        <v>8000.19</v>
      </c>
      <c r="F3026" t="s">
        <v>16</v>
      </c>
      <c r="G3026" t="s">
        <v>17</v>
      </c>
      <c r="H3026" t="s">
        <v>47</v>
      </c>
      <c r="I3026" t="s">
        <v>48</v>
      </c>
      <c r="J3026" t="s">
        <v>20</v>
      </c>
      <c r="K3026" t="s">
        <v>67</v>
      </c>
      <c r="L3026" t="s">
        <v>28</v>
      </c>
      <c r="M3026">
        <v>8000.19</v>
      </c>
      <c r="N3026">
        <v>2020</v>
      </c>
      <c r="O3026">
        <v>6</v>
      </c>
    </row>
    <row r="3027" spans="1:15" x14ac:dyDescent="0.3">
      <c r="A3027" s="1">
        <v>44002</v>
      </c>
      <c r="B3027">
        <v>1000014452</v>
      </c>
      <c r="C3027" t="s">
        <v>15</v>
      </c>
      <c r="D3027">
        <v>1</v>
      </c>
      <c r="E3027">
        <v>9000.32</v>
      </c>
      <c r="F3027" t="s">
        <v>16</v>
      </c>
      <c r="G3027" t="s">
        <v>17</v>
      </c>
      <c r="H3027" t="s">
        <v>18</v>
      </c>
      <c r="I3027" t="s">
        <v>34</v>
      </c>
      <c r="J3027" t="s">
        <v>36</v>
      </c>
      <c r="K3027" t="s">
        <v>70</v>
      </c>
      <c r="L3027" t="s">
        <v>22</v>
      </c>
      <c r="M3027">
        <v>9000.32</v>
      </c>
      <c r="N3027">
        <v>2020</v>
      </c>
      <c r="O3027">
        <v>6</v>
      </c>
    </row>
    <row r="3028" spans="1:15" x14ac:dyDescent="0.3">
      <c r="A3028" s="1">
        <v>44002</v>
      </c>
      <c r="B3028">
        <v>1000014572</v>
      </c>
      <c r="C3028" t="s">
        <v>23</v>
      </c>
      <c r="D3028">
        <v>2</v>
      </c>
      <c r="E3028">
        <v>14999.95</v>
      </c>
      <c r="F3028" t="s">
        <v>16</v>
      </c>
      <c r="G3028" t="s">
        <v>24</v>
      </c>
      <c r="H3028" t="s">
        <v>18</v>
      </c>
      <c r="I3028" t="s">
        <v>34</v>
      </c>
      <c r="J3028" t="s">
        <v>26</v>
      </c>
      <c r="K3028" t="s">
        <v>35</v>
      </c>
      <c r="L3028" t="s">
        <v>22</v>
      </c>
      <c r="M3028">
        <v>7499.9750000000004</v>
      </c>
      <c r="N3028">
        <v>2020</v>
      </c>
      <c r="O3028">
        <v>6</v>
      </c>
    </row>
    <row r="3029" spans="1:15" x14ac:dyDescent="0.3">
      <c r="A3029" s="1">
        <v>44002</v>
      </c>
      <c r="B3029">
        <v>1000014572</v>
      </c>
      <c r="C3029" t="s">
        <v>15</v>
      </c>
      <c r="D3029">
        <v>2</v>
      </c>
      <c r="E3029">
        <v>16000.27</v>
      </c>
      <c r="F3029" t="s">
        <v>16</v>
      </c>
      <c r="G3029" t="s">
        <v>17</v>
      </c>
      <c r="H3029" t="s">
        <v>18</v>
      </c>
      <c r="I3029" t="s">
        <v>34</v>
      </c>
      <c r="J3029" t="s">
        <v>26</v>
      </c>
      <c r="K3029" t="s">
        <v>35</v>
      </c>
      <c r="L3029" t="s">
        <v>22</v>
      </c>
      <c r="M3029">
        <v>8000.1350000000002</v>
      </c>
      <c r="N3029">
        <v>2020</v>
      </c>
      <c r="O3029">
        <v>6</v>
      </c>
    </row>
    <row r="3030" spans="1:15" x14ac:dyDescent="0.3">
      <c r="A3030" s="1">
        <v>44002</v>
      </c>
      <c r="B3030">
        <v>1000014879</v>
      </c>
      <c r="C3030" t="s">
        <v>23</v>
      </c>
      <c r="D3030">
        <v>2</v>
      </c>
      <c r="E3030">
        <v>43000.88</v>
      </c>
      <c r="F3030" t="s">
        <v>16</v>
      </c>
      <c r="G3030" t="s">
        <v>24</v>
      </c>
      <c r="H3030" t="s">
        <v>18</v>
      </c>
      <c r="I3030" t="s">
        <v>40</v>
      </c>
      <c r="J3030" t="s">
        <v>26</v>
      </c>
      <c r="K3030" t="s">
        <v>41</v>
      </c>
      <c r="L3030" t="s">
        <v>22</v>
      </c>
      <c r="M3030">
        <v>21500.44</v>
      </c>
      <c r="N3030">
        <v>2020</v>
      </c>
      <c r="O3030">
        <v>6</v>
      </c>
    </row>
    <row r="3031" spans="1:15" x14ac:dyDescent="0.3">
      <c r="A3031" s="1">
        <v>44002</v>
      </c>
      <c r="B3031">
        <v>1000014996</v>
      </c>
      <c r="C3031" t="s">
        <v>15</v>
      </c>
      <c r="D3031">
        <v>1</v>
      </c>
      <c r="E3031">
        <v>22000.3</v>
      </c>
      <c r="F3031" t="s">
        <v>16</v>
      </c>
      <c r="G3031" t="s">
        <v>17</v>
      </c>
      <c r="H3031" t="s">
        <v>30</v>
      </c>
      <c r="I3031" t="s">
        <v>57</v>
      </c>
      <c r="J3031" t="s">
        <v>26</v>
      </c>
      <c r="K3031" t="s">
        <v>58</v>
      </c>
      <c r="L3031" t="s">
        <v>22</v>
      </c>
      <c r="M3031">
        <v>22000.3</v>
      </c>
      <c r="N3031">
        <v>2020</v>
      </c>
      <c r="O3031">
        <v>6</v>
      </c>
    </row>
    <row r="3032" spans="1:15" x14ac:dyDescent="0.3">
      <c r="A3032" s="1">
        <v>44002</v>
      </c>
      <c r="B3032">
        <v>1000015013</v>
      </c>
      <c r="C3032" t="s">
        <v>15</v>
      </c>
      <c r="D3032">
        <v>1</v>
      </c>
      <c r="E3032">
        <v>9000.7000000000007</v>
      </c>
      <c r="F3032" t="s">
        <v>16</v>
      </c>
      <c r="G3032" t="s">
        <v>17</v>
      </c>
      <c r="H3032" t="s">
        <v>18</v>
      </c>
      <c r="I3032" t="s">
        <v>19</v>
      </c>
      <c r="J3032" t="s">
        <v>26</v>
      </c>
      <c r="K3032" t="s">
        <v>29</v>
      </c>
      <c r="L3032" t="s">
        <v>22</v>
      </c>
      <c r="M3032">
        <v>9000.7000000000007</v>
      </c>
      <c r="N3032">
        <v>2020</v>
      </c>
      <c r="O3032">
        <v>6</v>
      </c>
    </row>
    <row r="3033" spans="1:15" x14ac:dyDescent="0.3">
      <c r="A3033" s="1">
        <v>44002</v>
      </c>
      <c r="B3033">
        <v>1000015015</v>
      </c>
      <c r="C3033" t="s">
        <v>15</v>
      </c>
      <c r="D3033">
        <v>2</v>
      </c>
      <c r="E3033">
        <v>35000.370000000003</v>
      </c>
      <c r="F3033" t="s">
        <v>16</v>
      </c>
      <c r="G3033" t="s">
        <v>17</v>
      </c>
      <c r="H3033" t="s">
        <v>18</v>
      </c>
      <c r="I3033" t="s">
        <v>61</v>
      </c>
      <c r="J3033" t="s">
        <v>26</v>
      </c>
      <c r="K3033" t="s">
        <v>62</v>
      </c>
      <c r="L3033" t="s">
        <v>22</v>
      </c>
      <c r="M3033">
        <v>17500.185000000001</v>
      </c>
      <c r="N3033">
        <v>2020</v>
      </c>
      <c r="O3033">
        <v>6</v>
      </c>
    </row>
    <row r="3034" spans="1:15" x14ac:dyDescent="0.3">
      <c r="A3034" s="1">
        <v>44002</v>
      </c>
      <c r="B3034">
        <v>1000015203</v>
      </c>
      <c r="C3034" t="s">
        <v>23</v>
      </c>
      <c r="D3034">
        <v>1</v>
      </c>
      <c r="E3034">
        <v>6000.72</v>
      </c>
      <c r="F3034" t="s">
        <v>16</v>
      </c>
      <c r="G3034" t="s">
        <v>24</v>
      </c>
      <c r="H3034" t="s">
        <v>47</v>
      </c>
      <c r="I3034" t="s">
        <v>65</v>
      </c>
      <c r="J3034" t="s">
        <v>26</v>
      </c>
      <c r="K3034" t="s">
        <v>66</v>
      </c>
      <c r="L3034" t="s">
        <v>22</v>
      </c>
      <c r="M3034">
        <v>6000.72</v>
      </c>
      <c r="N3034">
        <v>2020</v>
      </c>
      <c r="O3034">
        <v>6</v>
      </c>
    </row>
    <row r="3035" spans="1:15" x14ac:dyDescent="0.3">
      <c r="A3035" s="1">
        <v>44002</v>
      </c>
      <c r="B3035">
        <v>1000015203</v>
      </c>
      <c r="C3035" t="s">
        <v>42</v>
      </c>
      <c r="D3035">
        <v>2</v>
      </c>
      <c r="E3035">
        <v>42001.08</v>
      </c>
      <c r="F3035" t="s">
        <v>16</v>
      </c>
      <c r="G3035" t="s">
        <v>43</v>
      </c>
      <c r="H3035" t="s">
        <v>47</v>
      </c>
      <c r="I3035" t="s">
        <v>65</v>
      </c>
      <c r="J3035" t="s">
        <v>26</v>
      </c>
      <c r="K3035" t="s">
        <v>66</v>
      </c>
      <c r="L3035" t="s">
        <v>22</v>
      </c>
      <c r="M3035">
        <v>21000.54</v>
      </c>
      <c r="N3035">
        <v>2020</v>
      </c>
      <c r="O3035">
        <v>6</v>
      </c>
    </row>
    <row r="3036" spans="1:15" x14ac:dyDescent="0.3">
      <c r="A3036" s="1">
        <v>44002</v>
      </c>
      <c r="B3036">
        <v>1000017576</v>
      </c>
      <c r="C3036" t="s">
        <v>23</v>
      </c>
      <c r="D3036">
        <v>1</v>
      </c>
      <c r="E3036">
        <v>2000.55</v>
      </c>
      <c r="F3036" t="s">
        <v>16</v>
      </c>
      <c r="G3036" t="s">
        <v>24</v>
      </c>
      <c r="H3036" t="s">
        <v>18</v>
      </c>
      <c r="I3036" t="s">
        <v>19</v>
      </c>
      <c r="J3036" t="s">
        <v>36</v>
      </c>
      <c r="K3036" t="s">
        <v>64</v>
      </c>
      <c r="L3036" t="s">
        <v>22</v>
      </c>
      <c r="M3036">
        <v>2000.55</v>
      </c>
      <c r="N3036">
        <v>2020</v>
      </c>
      <c r="O3036">
        <v>6</v>
      </c>
    </row>
    <row r="3037" spans="1:15" x14ac:dyDescent="0.3">
      <c r="A3037" s="1">
        <v>44002</v>
      </c>
      <c r="B3037">
        <v>1000017688</v>
      </c>
      <c r="C3037" t="s">
        <v>23</v>
      </c>
      <c r="D3037">
        <v>1</v>
      </c>
      <c r="E3037">
        <v>7500.15</v>
      </c>
      <c r="F3037" t="s">
        <v>16</v>
      </c>
      <c r="G3037" t="s">
        <v>24</v>
      </c>
      <c r="H3037" t="s">
        <v>47</v>
      </c>
      <c r="I3037" t="s">
        <v>48</v>
      </c>
      <c r="J3037" t="s">
        <v>36</v>
      </c>
      <c r="K3037" t="s">
        <v>49</v>
      </c>
      <c r="L3037" t="s">
        <v>22</v>
      </c>
      <c r="M3037">
        <v>7500.15</v>
      </c>
      <c r="N3037">
        <v>2020</v>
      </c>
      <c r="O3037">
        <v>6</v>
      </c>
    </row>
    <row r="3038" spans="1:15" x14ac:dyDescent="0.3">
      <c r="A3038" s="1">
        <v>44002</v>
      </c>
      <c r="B3038">
        <v>1000017688</v>
      </c>
      <c r="C3038" t="s">
        <v>15</v>
      </c>
      <c r="D3038">
        <v>1</v>
      </c>
      <c r="E3038">
        <v>6500.06</v>
      </c>
      <c r="F3038" t="s">
        <v>16</v>
      </c>
      <c r="G3038" t="s">
        <v>17</v>
      </c>
      <c r="H3038" t="s">
        <v>47</v>
      </c>
      <c r="I3038" t="s">
        <v>48</v>
      </c>
      <c r="J3038" t="s">
        <v>36</v>
      </c>
      <c r="K3038" t="s">
        <v>49</v>
      </c>
      <c r="L3038" t="s">
        <v>22</v>
      </c>
      <c r="M3038">
        <v>6500.06</v>
      </c>
      <c r="N3038">
        <v>2020</v>
      </c>
      <c r="O3038">
        <v>6</v>
      </c>
    </row>
    <row r="3039" spans="1:15" x14ac:dyDescent="0.3">
      <c r="A3039" s="1">
        <v>44002</v>
      </c>
      <c r="B3039">
        <v>1000017700</v>
      </c>
      <c r="C3039" t="s">
        <v>42</v>
      </c>
      <c r="D3039">
        <v>1</v>
      </c>
      <c r="E3039">
        <v>10000.6</v>
      </c>
      <c r="F3039" t="s">
        <v>16</v>
      </c>
      <c r="G3039" t="s">
        <v>43</v>
      </c>
      <c r="H3039" t="s">
        <v>47</v>
      </c>
      <c r="I3039" t="s">
        <v>65</v>
      </c>
      <c r="J3039" t="s">
        <v>26</v>
      </c>
      <c r="K3039" t="s">
        <v>66</v>
      </c>
      <c r="L3039" t="s">
        <v>22</v>
      </c>
      <c r="M3039">
        <v>10000.6</v>
      </c>
      <c r="N3039">
        <v>2020</v>
      </c>
      <c r="O3039">
        <v>6</v>
      </c>
    </row>
    <row r="3040" spans="1:15" x14ac:dyDescent="0.3">
      <c r="A3040" s="1">
        <v>44003</v>
      </c>
      <c r="B3040">
        <v>1000000028</v>
      </c>
      <c r="C3040" t="s">
        <v>23</v>
      </c>
      <c r="D3040">
        <v>1</v>
      </c>
      <c r="E3040">
        <v>1848.22</v>
      </c>
      <c r="F3040" t="s">
        <v>16</v>
      </c>
      <c r="G3040" t="s">
        <v>24</v>
      </c>
      <c r="H3040" t="s">
        <v>18</v>
      </c>
      <c r="I3040" t="s">
        <v>19</v>
      </c>
      <c r="J3040" t="s">
        <v>20</v>
      </c>
      <c r="K3040" t="s">
        <v>21</v>
      </c>
      <c r="L3040" t="s">
        <v>22</v>
      </c>
      <c r="M3040">
        <v>1848.22</v>
      </c>
      <c r="N3040">
        <v>2020</v>
      </c>
      <c r="O3040">
        <v>6</v>
      </c>
    </row>
    <row r="3041" spans="1:15" x14ac:dyDescent="0.3">
      <c r="A3041" s="1">
        <v>44003</v>
      </c>
      <c r="B3041">
        <v>1000000030</v>
      </c>
      <c r="C3041" t="s">
        <v>15</v>
      </c>
      <c r="D3041">
        <v>3</v>
      </c>
      <c r="E3041">
        <v>35000.78</v>
      </c>
      <c r="F3041" t="s">
        <v>16</v>
      </c>
      <c r="G3041" t="s">
        <v>17</v>
      </c>
      <c r="H3041" t="s">
        <v>47</v>
      </c>
      <c r="I3041" t="s">
        <v>48</v>
      </c>
      <c r="J3041" t="s">
        <v>36</v>
      </c>
      <c r="K3041" t="s">
        <v>49</v>
      </c>
      <c r="L3041" t="s">
        <v>22</v>
      </c>
      <c r="M3041">
        <v>11666.926666666666</v>
      </c>
      <c r="N3041">
        <v>2020</v>
      </c>
      <c r="O3041">
        <v>6</v>
      </c>
    </row>
    <row r="3042" spans="1:15" x14ac:dyDescent="0.3">
      <c r="A3042" s="1">
        <v>44003</v>
      </c>
      <c r="B3042">
        <v>1000000031</v>
      </c>
      <c r="C3042" t="s">
        <v>23</v>
      </c>
      <c r="D3042">
        <v>2</v>
      </c>
      <c r="E3042">
        <v>20000.849999999999</v>
      </c>
      <c r="F3042" t="s">
        <v>16</v>
      </c>
      <c r="G3042" t="s">
        <v>24</v>
      </c>
      <c r="H3042" t="s">
        <v>18</v>
      </c>
      <c r="I3042" t="s">
        <v>19</v>
      </c>
      <c r="J3042" t="s">
        <v>26</v>
      </c>
      <c r="K3042" t="s">
        <v>29</v>
      </c>
      <c r="L3042" t="s">
        <v>28</v>
      </c>
      <c r="M3042">
        <v>10000.424999999999</v>
      </c>
      <c r="N3042">
        <v>2020</v>
      </c>
      <c r="O3042">
        <v>6</v>
      </c>
    </row>
    <row r="3043" spans="1:15" x14ac:dyDescent="0.3">
      <c r="A3043" s="1">
        <v>44003</v>
      </c>
      <c r="B3043">
        <v>1000000031</v>
      </c>
      <c r="C3043" t="s">
        <v>15</v>
      </c>
      <c r="D3043">
        <v>1</v>
      </c>
      <c r="E3043">
        <v>20000.09</v>
      </c>
      <c r="F3043" t="s">
        <v>16</v>
      </c>
      <c r="G3043" t="s">
        <v>17</v>
      </c>
      <c r="H3043" t="s">
        <v>18</v>
      </c>
      <c r="I3043" t="s">
        <v>19</v>
      </c>
      <c r="J3043" t="s">
        <v>26</v>
      </c>
      <c r="K3043" t="s">
        <v>29</v>
      </c>
      <c r="L3043" t="s">
        <v>28</v>
      </c>
      <c r="M3043">
        <v>20000.09</v>
      </c>
      <c r="N3043">
        <v>2020</v>
      </c>
      <c r="O3043">
        <v>6</v>
      </c>
    </row>
    <row r="3044" spans="1:15" x14ac:dyDescent="0.3">
      <c r="A3044" s="1">
        <v>44003</v>
      </c>
      <c r="B3044">
        <v>1000000031</v>
      </c>
      <c r="C3044" t="s">
        <v>42</v>
      </c>
      <c r="D3044">
        <v>1</v>
      </c>
      <c r="E3044">
        <v>1200.19</v>
      </c>
      <c r="F3044" t="s">
        <v>16</v>
      </c>
      <c r="G3044" t="s">
        <v>43</v>
      </c>
      <c r="H3044" t="s">
        <v>18</v>
      </c>
      <c r="I3044" t="s">
        <v>19</v>
      </c>
      <c r="J3044" t="s">
        <v>26</v>
      </c>
      <c r="K3044" t="s">
        <v>29</v>
      </c>
      <c r="L3044" t="s">
        <v>28</v>
      </c>
      <c r="M3044">
        <v>1200.19</v>
      </c>
      <c r="N3044">
        <v>2020</v>
      </c>
      <c r="O3044">
        <v>6</v>
      </c>
    </row>
    <row r="3045" spans="1:15" x14ac:dyDescent="0.3">
      <c r="A3045" s="1">
        <v>44003</v>
      </c>
      <c r="B3045">
        <v>1000000032</v>
      </c>
      <c r="C3045" t="s">
        <v>23</v>
      </c>
      <c r="D3045">
        <v>1</v>
      </c>
      <c r="E3045">
        <v>562.5</v>
      </c>
      <c r="F3045" t="s">
        <v>16</v>
      </c>
      <c r="G3045" t="s">
        <v>24</v>
      </c>
      <c r="H3045" t="s">
        <v>18</v>
      </c>
      <c r="I3045" t="s">
        <v>25</v>
      </c>
      <c r="J3045" t="s">
        <v>26</v>
      </c>
      <c r="K3045" t="s">
        <v>27</v>
      </c>
      <c r="L3045" t="s">
        <v>28</v>
      </c>
      <c r="M3045">
        <v>562.5</v>
      </c>
      <c r="N3045">
        <v>2020</v>
      </c>
      <c r="O3045">
        <v>6</v>
      </c>
    </row>
    <row r="3046" spans="1:15" x14ac:dyDescent="0.3">
      <c r="A3046" s="1">
        <v>44003</v>
      </c>
      <c r="B3046">
        <v>1000000032</v>
      </c>
      <c r="C3046" t="s">
        <v>42</v>
      </c>
      <c r="D3046">
        <v>1</v>
      </c>
      <c r="E3046">
        <v>12000.86</v>
      </c>
      <c r="F3046" t="s">
        <v>16</v>
      </c>
      <c r="G3046" t="s">
        <v>43</v>
      </c>
      <c r="H3046" t="s">
        <v>18</v>
      </c>
      <c r="I3046" t="s">
        <v>25</v>
      </c>
      <c r="J3046" t="s">
        <v>26</v>
      </c>
      <c r="K3046" t="s">
        <v>27</v>
      </c>
      <c r="L3046" t="s">
        <v>28</v>
      </c>
      <c r="M3046">
        <v>12000.86</v>
      </c>
      <c r="N3046">
        <v>2020</v>
      </c>
      <c r="O3046">
        <v>6</v>
      </c>
    </row>
    <row r="3047" spans="1:15" x14ac:dyDescent="0.3">
      <c r="A3047" s="1">
        <v>44003</v>
      </c>
      <c r="B3047">
        <v>1000000033</v>
      </c>
      <c r="C3047" t="s">
        <v>23</v>
      </c>
      <c r="D3047">
        <v>1</v>
      </c>
      <c r="E3047">
        <v>17000.509999999998</v>
      </c>
      <c r="F3047" t="s">
        <v>16</v>
      </c>
      <c r="G3047" t="s">
        <v>24</v>
      </c>
      <c r="H3047" t="s">
        <v>18</v>
      </c>
      <c r="I3047" t="s">
        <v>25</v>
      </c>
      <c r="J3047" t="s">
        <v>26</v>
      </c>
      <c r="K3047" t="s">
        <v>27</v>
      </c>
      <c r="L3047" t="s">
        <v>22</v>
      </c>
      <c r="M3047">
        <v>17000.509999999998</v>
      </c>
      <c r="N3047">
        <v>2020</v>
      </c>
      <c r="O3047">
        <v>6</v>
      </c>
    </row>
    <row r="3048" spans="1:15" x14ac:dyDescent="0.3">
      <c r="A3048" s="1">
        <v>44003</v>
      </c>
      <c r="B3048">
        <v>1000000034</v>
      </c>
      <c r="C3048" t="s">
        <v>23</v>
      </c>
      <c r="D3048">
        <v>1</v>
      </c>
      <c r="E3048">
        <v>6500.68</v>
      </c>
      <c r="F3048" t="s">
        <v>16</v>
      </c>
      <c r="G3048" t="s">
        <v>24</v>
      </c>
      <c r="H3048" t="s">
        <v>18</v>
      </c>
      <c r="I3048" t="s">
        <v>25</v>
      </c>
      <c r="J3048" t="s">
        <v>26</v>
      </c>
      <c r="K3048" t="s">
        <v>27</v>
      </c>
      <c r="L3048" t="s">
        <v>22</v>
      </c>
      <c r="M3048">
        <v>6500.68</v>
      </c>
      <c r="N3048">
        <v>2020</v>
      </c>
      <c r="O3048">
        <v>6</v>
      </c>
    </row>
    <row r="3049" spans="1:15" x14ac:dyDescent="0.3">
      <c r="A3049" s="1">
        <v>44003</v>
      </c>
      <c r="B3049">
        <v>1000000034</v>
      </c>
      <c r="C3049" t="s">
        <v>42</v>
      </c>
      <c r="D3049">
        <v>1</v>
      </c>
      <c r="E3049">
        <v>694.69</v>
      </c>
      <c r="F3049" t="s">
        <v>16</v>
      </c>
      <c r="G3049" t="s">
        <v>43</v>
      </c>
      <c r="H3049" t="s">
        <v>18</v>
      </c>
      <c r="I3049" t="s">
        <v>25</v>
      </c>
      <c r="J3049" t="s">
        <v>26</v>
      </c>
      <c r="K3049" t="s">
        <v>27</v>
      </c>
      <c r="L3049" t="s">
        <v>22</v>
      </c>
      <c r="M3049">
        <v>694.69</v>
      </c>
      <c r="N3049">
        <v>2020</v>
      </c>
      <c r="O3049">
        <v>6</v>
      </c>
    </row>
    <row r="3050" spans="1:15" x14ac:dyDescent="0.3">
      <c r="A3050" s="1">
        <v>44003</v>
      </c>
      <c r="B3050">
        <v>1000000036</v>
      </c>
      <c r="C3050" t="s">
        <v>23</v>
      </c>
      <c r="D3050">
        <v>3</v>
      </c>
      <c r="E3050">
        <v>32894.82</v>
      </c>
      <c r="F3050" t="s">
        <v>16</v>
      </c>
      <c r="G3050" t="s">
        <v>24</v>
      </c>
      <c r="H3050" t="s">
        <v>47</v>
      </c>
      <c r="I3050" t="s">
        <v>48</v>
      </c>
      <c r="J3050" t="s">
        <v>36</v>
      </c>
      <c r="K3050" t="s">
        <v>49</v>
      </c>
      <c r="L3050" t="s">
        <v>28</v>
      </c>
      <c r="M3050">
        <v>10964.94</v>
      </c>
      <c r="N3050">
        <v>2020</v>
      </c>
      <c r="O3050">
        <v>6</v>
      </c>
    </row>
    <row r="3051" spans="1:15" x14ac:dyDescent="0.3">
      <c r="A3051" s="1">
        <v>44003</v>
      </c>
      <c r="B3051">
        <v>1000000037</v>
      </c>
      <c r="C3051" t="s">
        <v>23</v>
      </c>
      <c r="D3051">
        <v>1</v>
      </c>
      <c r="E3051">
        <v>3000.09</v>
      </c>
      <c r="F3051" t="s">
        <v>16</v>
      </c>
      <c r="G3051" t="s">
        <v>24</v>
      </c>
      <c r="H3051" t="s">
        <v>18</v>
      </c>
      <c r="I3051" t="s">
        <v>19</v>
      </c>
      <c r="J3051" t="s">
        <v>20</v>
      </c>
      <c r="K3051" t="s">
        <v>21</v>
      </c>
      <c r="L3051" t="s">
        <v>22</v>
      </c>
      <c r="M3051">
        <v>3000.09</v>
      </c>
      <c r="N3051">
        <v>2020</v>
      </c>
      <c r="O3051">
        <v>6</v>
      </c>
    </row>
    <row r="3052" spans="1:15" x14ac:dyDescent="0.3">
      <c r="A3052" s="1">
        <v>44003</v>
      </c>
      <c r="B3052">
        <v>1000000039</v>
      </c>
      <c r="C3052" t="s">
        <v>15</v>
      </c>
      <c r="D3052">
        <v>1</v>
      </c>
      <c r="E3052">
        <v>10000.69</v>
      </c>
      <c r="F3052" t="s">
        <v>16</v>
      </c>
      <c r="G3052" t="s">
        <v>17</v>
      </c>
      <c r="H3052" t="s">
        <v>18</v>
      </c>
      <c r="I3052" t="s">
        <v>25</v>
      </c>
      <c r="J3052" t="s">
        <v>20</v>
      </c>
      <c r="K3052" t="s">
        <v>51</v>
      </c>
      <c r="L3052" t="s">
        <v>28</v>
      </c>
      <c r="M3052">
        <v>10000.69</v>
      </c>
      <c r="N3052">
        <v>2020</v>
      </c>
      <c r="O3052">
        <v>6</v>
      </c>
    </row>
    <row r="3053" spans="1:15" x14ac:dyDescent="0.3">
      <c r="A3053" s="1">
        <v>44003</v>
      </c>
      <c r="B3053">
        <v>1000000040</v>
      </c>
      <c r="C3053" t="s">
        <v>23</v>
      </c>
      <c r="D3053">
        <v>2</v>
      </c>
      <c r="E3053">
        <v>30698.29</v>
      </c>
      <c r="F3053" t="s">
        <v>16</v>
      </c>
      <c r="G3053" t="s">
        <v>24</v>
      </c>
      <c r="H3053" t="s">
        <v>30</v>
      </c>
      <c r="I3053" t="s">
        <v>31</v>
      </c>
      <c r="J3053" t="s">
        <v>32</v>
      </c>
      <c r="K3053" t="s">
        <v>33</v>
      </c>
      <c r="L3053" t="s">
        <v>28</v>
      </c>
      <c r="M3053">
        <v>15349.145</v>
      </c>
      <c r="N3053">
        <v>2020</v>
      </c>
      <c r="O3053">
        <v>6</v>
      </c>
    </row>
    <row r="3054" spans="1:15" x14ac:dyDescent="0.3">
      <c r="A3054" s="1">
        <v>44003</v>
      </c>
      <c r="B3054">
        <v>1000000040</v>
      </c>
      <c r="C3054" t="s">
        <v>15</v>
      </c>
      <c r="D3054">
        <v>1</v>
      </c>
      <c r="E3054">
        <v>6500.74</v>
      </c>
      <c r="F3054" t="s">
        <v>16</v>
      </c>
      <c r="G3054" t="s">
        <v>17</v>
      </c>
      <c r="H3054" t="s">
        <v>30</v>
      </c>
      <c r="I3054" t="s">
        <v>31</v>
      </c>
      <c r="J3054" t="s">
        <v>32</v>
      </c>
      <c r="K3054" t="s">
        <v>33</v>
      </c>
      <c r="L3054" t="s">
        <v>28</v>
      </c>
      <c r="M3054">
        <v>6500.74</v>
      </c>
      <c r="N3054">
        <v>2020</v>
      </c>
      <c r="O3054">
        <v>6</v>
      </c>
    </row>
    <row r="3055" spans="1:15" x14ac:dyDescent="0.3">
      <c r="A3055" s="1">
        <v>44003</v>
      </c>
      <c r="B3055">
        <v>1000000041</v>
      </c>
      <c r="C3055" t="s">
        <v>23</v>
      </c>
      <c r="D3055">
        <v>1</v>
      </c>
      <c r="E3055">
        <v>8000.12</v>
      </c>
      <c r="F3055" t="s">
        <v>16</v>
      </c>
      <c r="G3055" t="s">
        <v>24</v>
      </c>
      <c r="H3055" t="s">
        <v>30</v>
      </c>
      <c r="I3055" t="s">
        <v>31</v>
      </c>
      <c r="J3055" t="s">
        <v>32</v>
      </c>
      <c r="K3055" t="s">
        <v>33</v>
      </c>
      <c r="L3055" t="s">
        <v>22</v>
      </c>
      <c r="M3055">
        <v>8000.12</v>
      </c>
      <c r="N3055">
        <v>2020</v>
      </c>
      <c r="O3055">
        <v>6</v>
      </c>
    </row>
    <row r="3056" spans="1:15" x14ac:dyDescent="0.3">
      <c r="A3056" s="1">
        <v>44003</v>
      </c>
      <c r="B3056">
        <v>1000000041</v>
      </c>
      <c r="C3056" t="s">
        <v>15</v>
      </c>
      <c r="D3056">
        <v>1</v>
      </c>
      <c r="E3056">
        <v>9500.1200000000008</v>
      </c>
      <c r="F3056" t="s">
        <v>16</v>
      </c>
      <c r="G3056" t="s">
        <v>17</v>
      </c>
      <c r="H3056" t="s">
        <v>30</v>
      </c>
      <c r="I3056" t="s">
        <v>31</v>
      </c>
      <c r="J3056" t="s">
        <v>32</v>
      </c>
      <c r="K3056" t="s">
        <v>33</v>
      </c>
      <c r="L3056" t="s">
        <v>22</v>
      </c>
      <c r="M3056">
        <v>9500.1200000000008</v>
      </c>
      <c r="N3056">
        <v>2020</v>
      </c>
      <c r="O3056">
        <v>6</v>
      </c>
    </row>
    <row r="3057" spans="1:15" x14ac:dyDescent="0.3">
      <c r="A3057" s="1">
        <v>44003</v>
      </c>
      <c r="B3057">
        <v>1000000043</v>
      </c>
      <c r="C3057" t="s">
        <v>23</v>
      </c>
      <c r="D3057">
        <v>3</v>
      </c>
      <c r="E3057">
        <v>19000.62</v>
      </c>
      <c r="F3057" t="s">
        <v>16</v>
      </c>
      <c r="G3057" t="s">
        <v>24</v>
      </c>
      <c r="H3057" t="s">
        <v>30</v>
      </c>
      <c r="I3057" t="s">
        <v>38</v>
      </c>
      <c r="J3057" t="s">
        <v>26</v>
      </c>
      <c r="K3057" t="s">
        <v>39</v>
      </c>
      <c r="L3057" t="s">
        <v>22</v>
      </c>
      <c r="M3057">
        <v>6333.54</v>
      </c>
      <c r="N3057">
        <v>2020</v>
      </c>
      <c r="O3057">
        <v>6</v>
      </c>
    </row>
    <row r="3058" spans="1:15" x14ac:dyDescent="0.3">
      <c r="A3058" s="1">
        <v>44003</v>
      </c>
      <c r="B3058">
        <v>1000000043</v>
      </c>
      <c r="C3058" t="s">
        <v>15</v>
      </c>
      <c r="D3058">
        <v>1</v>
      </c>
      <c r="E3058">
        <v>7000.15</v>
      </c>
      <c r="F3058" t="s">
        <v>16</v>
      </c>
      <c r="G3058" t="s">
        <v>17</v>
      </c>
      <c r="H3058" t="s">
        <v>30</v>
      </c>
      <c r="I3058" t="s">
        <v>38</v>
      </c>
      <c r="J3058" t="s">
        <v>26</v>
      </c>
      <c r="K3058" t="s">
        <v>39</v>
      </c>
      <c r="L3058" t="s">
        <v>22</v>
      </c>
      <c r="M3058">
        <v>7000.15</v>
      </c>
      <c r="N3058">
        <v>2020</v>
      </c>
      <c r="O3058">
        <v>6</v>
      </c>
    </row>
    <row r="3059" spans="1:15" x14ac:dyDescent="0.3">
      <c r="A3059" s="1">
        <v>44003</v>
      </c>
      <c r="B3059">
        <v>1000000044</v>
      </c>
      <c r="C3059" t="s">
        <v>23</v>
      </c>
      <c r="D3059">
        <v>1</v>
      </c>
      <c r="E3059">
        <v>18000.32</v>
      </c>
      <c r="F3059" t="s">
        <v>16</v>
      </c>
      <c r="G3059" t="s">
        <v>24</v>
      </c>
      <c r="H3059" t="s">
        <v>30</v>
      </c>
      <c r="I3059" t="s">
        <v>31</v>
      </c>
      <c r="J3059" t="s">
        <v>36</v>
      </c>
      <c r="K3059" t="s">
        <v>52</v>
      </c>
      <c r="L3059" t="s">
        <v>28</v>
      </c>
      <c r="M3059">
        <v>18000.32</v>
      </c>
      <c r="N3059">
        <v>2020</v>
      </c>
      <c r="O3059">
        <v>6</v>
      </c>
    </row>
    <row r="3060" spans="1:15" x14ac:dyDescent="0.3">
      <c r="A3060" s="1">
        <v>44003</v>
      </c>
      <c r="B3060">
        <v>1000000045</v>
      </c>
      <c r="C3060" t="s">
        <v>23</v>
      </c>
      <c r="D3060">
        <v>2</v>
      </c>
      <c r="E3060">
        <v>6142.88</v>
      </c>
      <c r="F3060" t="s">
        <v>16</v>
      </c>
      <c r="G3060" t="s">
        <v>24</v>
      </c>
      <c r="H3060" t="s">
        <v>47</v>
      </c>
      <c r="I3060" t="s">
        <v>59</v>
      </c>
      <c r="J3060" t="s">
        <v>26</v>
      </c>
      <c r="K3060" t="s">
        <v>60</v>
      </c>
      <c r="L3060" t="s">
        <v>22</v>
      </c>
      <c r="M3060">
        <v>3071.44</v>
      </c>
      <c r="N3060">
        <v>2020</v>
      </c>
      <c r="O3060">
        <v>6</v>
      </c>
    </row>
    <row r="3061" spans="1:15" x14ac:dyDescent="0.3">
      <c r="A3061" s="1">
        <v>44003</v>
      </c>
      <c r="B3061">
        <v>1000000046</v>
      </c>
      <c r="C3061" t="s">
        <v>23</v>
      </c>
      <c r="D3061">
        <v>1</v>
      </c>
      <c r="E3061">
        <v>16000.08</v>
      </c>
      <c r="F3061" t="s">
        <v>16</v>
      </c>
      <c r="G3061" t="s">
        <v>24</v>
      </c>
      <c r="H3061" t="s">
        <v>30</v>
      </c>
      <c r="I3061" t="s">
        <v>38</v>
      </c>
      <c r="J3061" t="s">
        <v>26</v>
      </c>
      <c r="K3061" t="s">
        <v>39</v>
      </c>
      <c r="L3061" t="s">
        <v>22</v>
      </c>
      <c r="M3061">
        <v>16000.08</v>
      </c>
      <c r="N3061">
        <v>2020</v>
      </c>
      <c r="O3061">
        <v>6</v>
      </c>
    </row>
    <row r="3062" spans="1:15" x14ac:dyDescent="0.3">
      <c r="A3062" s="1">
        <v>44003</v>
      </c>
      <c r="B3062">
        <v>1000000050</v>
      </c>
      <c r="C3062" t="s">
        <v>23</v>
      </c>
      <c r="D3062">
        <v>1</v>
      </c>
      <c r="E3062">
        <v>833.95</v>
      </c>
      <c r="F3062" t="s">
        <v>16</v>
      </c>
      <c r="G3062" t="s">
        <v>24</v>
      </c>
      <c r="H3062" t="s">
        <v>18</v>
      </c>
      <c r="I3062" t="s">
        <v>40</v>
      </c>
      <c r="J3062" t="s">
        <v>26</v>
      </c>
      <c r="K3062" t="s">
        <v>41</v>
      </c>
      <c r="L3062" t="s">
        <v>22</v>
      </c>
      <c r="M3062">
        <v>833.95</v>
      </c>
      <c r="N3062">
        <v>2020</v>
      </c>
      <c r="O3062">
        <v>6</v>
      </c>
    </row>
    <row r="3063" spans="1:15" x14ac:dyDescent="0.3">
      <c r="A3063" s="1">
        <v>44003</v>
      </c>
      <c r="B3063">
        <v>1000000054</v>
      </c>
      <c r="C3063" t="s">
        <v>23</v>
      </c>
      <c r="D3063">
        <v>3</v>
      </c>
      <c r="E3063">
        <v>18000.34</v>
      </c>
      <c r="F3063" t="s">
        <v>16</v>
      </c>
      <c r="G3063" t="s">
        <v>24</v>
      </c>
      <c r="H3063" t="s">
        <v>18</v>
      </c>
      <c r="I3063" t="s">
        <v>34</v>
      </c>
      <c r="J3063" t="s">
        <v>26</v>
      </c>
      <c r="K3063" t="s">
        <v>35</v>
      </c>
      <c r="L3063" t="s">
        <v>22</v>
      </c>
      <c r="M3063">
        <v>6000.1133333333337</v>
      </c>
      <c r="N3063">
        <v>2020</v>
      </c>
      <c r="O3063">
        <v>6</v>
      </c>
    </row>
    <row r="3064" spans="1:15" x14ac:dyDescent="0.3">
      <c r="A3064" s="1">
        <v>44003</v>
      </c>
      <c r="B3064">
        <v>1000000056</v>
      </c>
      <c r="C3064" t="s">
        <v>23</v>
      </c>
      <c r="D3064">
        <v>4</v>
      </c>
      <c r="E3064">
        <v>26001.18</v>
      </c>
      <c r="F3064" t="s">
        <v>16</v>
      </c>
      <c r="G3064" t="s">
        <v>24</v>
      </c>
      <c r="H3064" t="s">
        <v>18</v>
      </c>
      <c r="I3064" t="s">
        <v>34</v>
      </c>
      <c r="J3064" t="s">
        <v>26</v>
      </c>
      <c r="K3064" t="s">
        <v>35</v>
      </c>
      <c r="L3064" t="s">
        <v>28</v>
      </c>
      <c r="M3064">
        <v>6500.2950000000001</v>
      </c>
      <c r="N3064">
        <v>2020</v>
      </c>
      <c r="O3064">
        <v>6</v>
      </c>
    </row>
    <row r="3065" spans="1:15" x14ac:dyDescent="0.3">
      <c r="A3065" s="1">
        <v>44003</v>
      </c>
      <c r="B3065">
        <v>1000000056</v>
      </c>
      <c r="C3065" t="s">
        <v>15</v>
      </c>
      <c r="D3065">
        <v>1</v>
      </c>
      <c r="E3065">
        <v>10999.95</v>
      </c>
      <c r="F3065" t="s">
        <v>16</v>
      </c>
      <c r="G3065" t="s">
        <v>17</v>
      </c>
      <c r="H3065" t="s">
        <v>18</v>
      </c>
      <c r="I3065" t="s">
        <v>34</v>
      </c>
      <c r="J3065" t="s">
        <v>26</v>
      </c>
      <c r="K3065" t="s">
        <v>35</v>
      </c>
      <c r="L3065" t="s">
        <v>28</v>
      </c>
      <c r="M3065">
        <v>10999.95</v>
      </c>
      <c r="N3065">
        <v>2020</v>
      </c>
      <c r="O3065">
        <v>6</v>
      </c>
    </row>
    <row r="3066" spans="1:15" x14ac:dyDescent="0.3">
      <c r="A3066" s="1">
        <v>44003</v>
      </c>
      <c r="B3066">
        <v>1000000058</v>
      </c>
      <c r="C3066" t="s">
        <v>23</v>
      </c>
      <c r="D3066">
        <v>1</v>
      </c>
      <c r="E3066">
        <v>3000.26</v>
      </c>
      <c r="F3066" t="s">
        <v>16</v>
      </c>
      <c r="G3066" t="s">
        <v>24</v>
      </c>
      <c r="H3066" t="s">
        <v>18</v>
      </c>
      <c r="I3066" t="s">
        <v>34</v>
      </c>
      <c r="J3066" t="s">
        <v>20</v>
      </c>
      <c r="K3066" t="s">
        <v>44</v>
      </c>
      <c r="L3066" t="s">
        <v>22</v>
      </c>
      <c r="M3066">
        <v>3000.26</v>
      </c>
      <c r="N3066">
        <v>2020</v>
      </c>
      <c r="O3066">
        <v>6</v>
      </c>
    </row>
    <row r="3067" spans="1:15" x14ac:dyDescent="0.3">
      <c r="A3067" s="1">
        <v>44003</v>
      </c>
      <c r="B3067">
        <v>1000000067</v>
      </c>
      <c r="C3067" t="s">
        <v>23</v>
      </c>
      <c r="D3067">
        <v>1</v>
      </c>
      <c r="E3067">
        <v>5000.29</v>
      </c>
      <c r="F3067" t="s">
        <v>16</v>
      </c>
      <c r="G3067" t="s">
        <v>24</v>
      </c>
      <c r="H3067" t="s">
        <v>18</v>
      </c>
      <c r="I3067" t="s">
        <v>25</v>
      </c>
      <c r="J3067" t="s">
        <v>20</v>
      </c>
      <c r="K3067" t="s">
        <v>51</v>
      </c>
      <c r="L3067" t="s">
        <v>22</v>
      </c>
      <c r="M3067">
        <v>5000.29</v>
      </c>
      <c r="N3067">
        <v>2020</v>
      </c>
      <c r="O3067">
        <v>6</v>
      </c>
    </row>
    <row r="3068" spans="1:15" x14ac:dyDescent="0.3">
      <c r="A3068" s="1">
        <v>44003</v>
      </c>
      <c r="B3068">
        <v>1000000068</v>
      </c>
      <c r="C3068" t="s">
        <v>23</v>
      </c>
      <c r="D3068">
        <v>1</v>
      </c>
      <c r="E3068">
        <v>10000.35</v>
      </c>
      <c r="F3068" t="s">
        <v>16</v>
      </c>
      <c r="G3068" t="s">
        <v>24</v>
      </c>
      <c r="H3068" t="s">
        <v>30</v>
      </c>
      <c r="I3068" t="s">
        <v>55</v>
      </c>
      <c r="J3068" t="s">
        <v>26</v>
      </c>
      <c r="K3068" t="s">
        <v>56</v>
      </c>
      <c r="L3068" t="s">
        <v>28</v>
      </c>
      <c r="M3068">
        <v>10000.35</v>
      </c>
      <c r="N3068">
        <v>2020</v>
      </c>
      <c r="O3068">
        <v>6</v>
      </c>
    </row>
    <row r="3069" spans="1:15" x14ac:dyDescent="0.3">
      <c r="A3069" s="1">
        <v>44003</v>
      </c>
      <c r="B3069">
        <v>1000000068</v>
      </c>
      <c r="C3069" t="s">
        <v>15</v>
      </c>
      <c r="D3069">
        <v>1</v>
      </c>
      <c r="E3069">
        <v>1500.34</v>
      </c>
      <c r="F3069" t="s">
        <v>16</v>
      </c>
      <c r="G3069" t="s">
        <v>17</v>
      </c>
      <c r="H3069" t="s">
        <v>30</v>
      </c>
      <c r="I3069" t="s">
        <v>55</v>
      </c>
      <c r="J3069" t="s">
        <v>26</v>
      </c>
      <c r="K3069" t="s">
        <v>56</v>
      </c>
      <c r="L3069" t="s">
        <v>28</v>
      </c>
      <c r="M3069">
        <v>1500.34</v>
      </c>
      <c r="N3069">
        <v>2020</v>
      </c>
      <c r="O3069">
        <v>6</v>
      </c>
    </row>
    <row r="3070" spans="1:15" x14ac:dyDescent="0.3">
      <c r="A3070" s="1">
        <v>44003</v>
      </c>
      <c r="B3070">
        <v>1000000237</v>
      </c>
      <c r="C3070" t="s">
        <v>23</v>
      </c>
      <c r="D3070">
        <v>1</v>
      </c>
      <c r="E3070">
        <v>18000.7</v>
      </c>
      <c r="F3070" t="s">
        <v>16</v>
      </c>
      <c r="G3070" t="s">
        <v>24</v>
      </c>
      <c r="H3070" t="s">
        <v>18</v>
      </c>
      <c r="I3070" t="s">
        <v>40</v>
      </c>
      <c r="J3070" t="s">
        <v>26</v>
      </c>
      <c r="K3070" t="s">
        <v>41</v>
      </c>
      <c r="L3070" t="s">
        <v>22</v>
      </c>
      <c r="M3070">
        <v>18000.7</v>
      </c>
      <c r="N3070">
        <v>2020</v>
      </c>
      <c r="O3070">
        <v>6</v>
      </c>
    </row>
    <row r="3071" spans="1:15" x14ac:dyDescent="0.3">
      <c r="A3071" s="1">
        <v>44003</v>
      </c>
      <c r="B3071">
        <v>1000000566</v>
      </c>
      <c r="C3071" t="s">
        <v>15</v>
      </c>
      <c r="D3071">
        <v>1</v>
      </c>
      <c r="E3071">
        <v>21000.5</v>
      </c>
      <c r="F3071" t="s">
        <v>16</v>
      </c>
      <c r="G3071" t="s">
        <v>17</v>
      </c>
      <c r="H3071" t="s">
        <v>47</v>
      </c>
      <c r="I3071" t="s">
        <v>48</v>
      </c>
      <c r="J3071" t="s">
        <v>36</v>
      </c>
      <c r="K3071" t="s">
        <v>49</v>
      </c>
      <c r="L3071" t="s">
        <v>22</v>
      </c>
      <c r="M3071">
        <v>21000.5</v>
      </c>
      <c r="N3071">
        <v>2020</v>
      </c>
      <c r="O3071">
        <v>6</v>
      </c>
    </row>
    <row r="3072" spans="1:15" x14ac:dyDescent="0.3">
      <c r="A3072" s="1">
        <v>44003</v>
      </c>
      <c r="B3072">
        <v>1000000581</v>
      </c>
      <c r="C3072" t="s">
        <v>42</v>
      </c>
      <c r="D3072">
        <v>1</v>
      </c>
      <c r="E3072">
        <v>705.76</v>
      </c>
      <c r="F3072" t="s">
        <v>16</v>
      </c>
      <c r="G3072" t="s">
        <v>43</v>
      </c>
      <c r="H3072" t="s">
        <v>47</v>
      </c>
      <c r="I3072" t="s">
        <v>48</v>
      </c>
      <c r="J3072" t="s">
        <v>36</v>
      </c>
      <c r="K3072" t="s">
        <v>49</v>
      </c>
      <c r="L3072" t="s">
        <v>22</v>
      </c>
      <c r="M3072">
        <v>705.76</v>
      </c>
      <c r="N3072">
        <v>2020</v>
      </c>
      <c r="O3072">
        <v>6</v>
      </c>
    </row>
    <row r="3073" spans="1:15" x14ac:dyDescent="0.3">
      <c r="A3073" s="1">
        <v>44003</v>
      </c>
      <c r="B3073">
        <v>1000000594</v>
      </c>
      <c r="C3073" t="s">
        <v>15</v>
      </c>
      <c r="D3073">
        <v>1</v>
      </c>
      <c r="E3073">
        <v>20000.47</v>
      </c>
      <c r="F3073" t="s">
        <v>16</v>
      </c>
      <c r="G3073" t="s">
        <v>17</v>
      </c>
      <c r="H3073" t="s">
        <v>18</v>
      </c>
      <c r="I3073" t="s">
        <v>25</v>
      </c>
      <c r="J3073" t="s">
        <v>20</v>
      </c>
      <c r="K3073" t="s">
        <v>51</v>
      </c>
      <c r="L3073" t="s">
        <v>22</v>
      </c>
      <c r="M3073">
        <v>20000.47</v>
      </c>
      <c r="N3073">
        <v>2020</v>
      </c>
      <c r="O3073">
        <v>6</v>
      </c>
    </row>
    <row r="3074" spans="1:15" x14ac:dyDescent="0.3">
      <c r="A3074" s="1">
        <v>44003</v>
      </c>
      <c r="B3074">
        <v>1000000928</v>
      </c>
      <c r="C3074" t="s">
        <v>23</v>
      </c>
      <c r="D3074">
        <v>1</v>
      </c>
      <c r="E3074">
        <v>22000.09</v>
      </c>
      <c r="F3074" t="s">
        <v>16</v>
      </c>
      <c r="G3074" t="s">
        <v>24</v>
      </c>
      <c r="H3074" t="s">
        <v>30</v>
      </c>
      <c r="I3074" t="s">
        <v>57</v>
      </c>
      <c r="J3074" t="s">
        <v>26</v>
      </c>
      <c r="K3074" t="s">
        <v>58</v>
      </c>
      <c r="L3074" t="s">
        <v>22</v>
      </c>
      <c r="M3074">
        <v>22000.09</v>
      </c>
      <c r="N3074">
        <v>2020</v>
      </c>
      <c r="O3074">
        <v>6</v>
      </c>
    </row>
    <row r="3075" spans="1:15" x14ac:dyDescent="0.3">
      <c r="A3075" s="1">
        <v>44003</v>
      </c>
      <c r="B3075">
        <v>1000000928</v>
      </c>
      <c r="C3075" t="s">
        <v>15</v>
      </c>
      <c r="D3075">
        <v>2</v>
      </c>
      <c r="E3075">
        <v>42000.509999999995</v>
      </c>
      <c r="F3075" t="s">
        <v>16</v>
      </c>
      <c r="G3075" t="s">
        <v>17</v>
      </c>
      <c r="H3075" t="s">
        <v>30</v>
      </c>
      <c r="I3075" t="s">
        <v>57</v>
      </c>
      <c r="J3075" t="s">
        <v>26</v>
      </c>
      <c r="K3075" t="s">
        <v>58</v>
      </c>
      <c r="L3075" t="s">
        <v>22</v>
      </c>
      <c r="M3075">
        <v>21000.254999999997</v>
      </c>
      <c r="N3075">
        <v>2020</v>
      </c>
      <c r="O3075">
        <v>6</v>
      </c>
    </row>
    <row r="3076" spans="1:15" x14ac:dyDescent="0.3">
      <c r="A3076" s="1">
        <v>44003</v>
      </c>
      <c r="B3076">
        <v>1000001524</v>
      </c>
      <c r="C3076" t="s">
        <v>15</v>
      </c>
      <c r="D3076">
        <v>1</v>
      </c>
      <c r="E3076">
        <v>9000.25</v>
      </c>
      <c r="F3076" t="s">
        <v>16</v>
      </c>
      <c r="G3076" t="s">
        <v>17</v>
      </c>
      <c r="H3076" t="s">
        <v>18</v>
      </c>
      <c r="I3076" t="s">
        <v>25</v>
      </c>
      <c r="J3076" t="s">
        <v>20</v>
      </c>
      <c r="K3076" t="s">
        <v>51</v>
      </c>
      <c r="L3076" t="s">
        <v>22</v>
      </c>
      <c r="M3076">
        <v>9000.25</v>
      </c>
      <c r="N3076">
        <v>2020</v>
      </c>
      <c r="O3076">
        <v>6</v>
      </c>
    </row>
    <row r="3077" spans="1:15" x14ac:dyDescent="0.3">
      <c r="A3077" s="1">
        <v>44003</v>
      </c>
      <c r="B3077">
        <v>1000003926</v>
      </c>
      <c r="C3077" t="s">
        <v>23</v>
      </c>
      <c r="D3077">
        <v>5</v>
      </c>
      <c r="E3077">
        <v>61501.120000000003</v>
      </c>
      <c r="F3077" t="s">
        <v>16</v>
      </c>
      <c r="G3077" t="s">
        <v>24</v>
      </c>
      <c r="H3077" t="s">
        <v>47</v>
      </c>
      <c r="I3077" t="s">
        <v>48</v>
      </c>
      <c r="J3077" t="s">
        <v>26</v>
      </c>
      <c r="K3077" t="s">
        <v>50</v>
      </c>
      <c r="L3077" t="s">
        <v>28</v>
      </c>
      <c r="M3077">
        <v>12300.224</v>
      </c>
      <c r="N3077">
        <v>2020</v>
      </c>
      <c r="O3077">
        <v>6</v>
      </c>
    </row>
    <row r="3078" spans="1:15" x14ac:dyDescent="0.3">
      <c r="A3078" s="1">
        <v>44003</v>
      </c>
      <c r="B3078">
        <v>1000003989</v>
      </c>
      <c r="C3078" t="s">
        <v>42</v>
      </c>
      <c r="D3078">
        <v>1</v>
      </c>
      <c r="E3078">
        <v>14000.44</v>
      </c>
      <c r="F3078" t="s">
        <v>16</v>
      </c>
      <c r="G3078" t="s">
        <v>43</v>
      </c>
      <c r="H3078" t="s">
        <v>30</v>
      </c>
      <c r="I3078" t="s">
        <v>31</v>
      </c>
      <c r="J3078" t="s">
        <v>36</v>
      </c>
      <c r="K3078" t="s">
        <v>52</v>
      </c>
      <c r="L3078" t="s">
        <v>22</v>
      </c>
      <c r="M3078">
        <v>14000.44</v>
      </c>
      <c r="N3078">
        <v>2020</v>
      </c>
      <c r="O3078">
        <v>6</v>
      </c>
    </row>
    <row r="3079" spans="1:15" x14ac:dyDescent="0.3">
      <c r="A3079" s="1">
        <v>44003</v>
      </c>
      <c r="B3079">
        <v>1000004170</v>
      </c>
      <c r="C3079" t="s">
        <v>23</v>
      </c>
      <c r="D3079">
        <v>5</v>
      </c>
      <c r="E3079">
        <v>56887.15</v>
      </c>
      <c r="F3079" t="s">
        <v>16</v>
      </c>
      <c r="G3079" t="s">
        <v>24</v>
      </c>
      <c r="H3079" t="s">
        <v>18</v>
      </c>
      <c r="I3079" t="s">
        <v>34</v>
      </c>
      <c r="J3079" t="s">
        <v>20</v>
      </c>
      <c r="K3079" t="s">
        <v>44</v>
      </c>
      <c r="L3079" t="s">
        <v>28</v>
      </c>
      <c r="M3079">
        <v>11377.43</v>
      </c>
      <c r="N3079">
        <v>2020</v>
      </c>
      <c r="O3079">
        <v>6</v>
      </c>
    </row>
    <row r="3080" spans="1:15" x14ac:dyDescent="0.3">
      <c r="A3080" s="1">
        <v>44003</v>
      </c>
      <c r="B3080">
        <v>1000005873</v>
      </c>
      <c r="C3080" t="s">
        <v>23</v>
      </c>
      <c r="D3080">
        <v>1</v>
      </c>
      <c r="E3080">
        <v>7000.45</v>
      </c>
      <c r="F3080" t="s">
        <v>16</v>
      </c>
      <c r="G3080" t="s">
        <v>24</v>
      </c>
      <c r="H3080" t="s">
        <v>18</v>
      </c>
      <c r="I3080" t="s">
        <v>19</v>
      </c>
      <c r="J3080" t="s">
        <v>20</v>
      </c>
      <c r="K3080" t="s">
        <v>21</v>
      </c>
      <c r="L3080" t="s">
        <v>28</v>
      </c>
      <c r="M3080">
        <v>7000.45</v>
      </c>
      <c r="N3080">
        <v>2020</v>
      </c>
      <c r="O3080">
        <v>6</v>
      </c>
    </row>
    <row r="3081" spans="1:15" x14ac:dyDescent="0.3">
      <c r="A3081" s="1">
        <v>44003</v>
      </c>
      <c r="B3081">
        <v>1000005873</v>
      </c>
      <c r="C3081" t="s">
        <v>42</v>
      </c>
      <c r="D3081">
        <v>1</v>
      </c>
      <c r="E3081">
        <v>7500.75</v>
      </c>
      <c r="F3081" t="s">
        <v>16</v>
      </c>
      <c r="G3081" t="s">
        <v>43</v>
      </c>
      <c r="H3081" t="s">
        <v>18</v>
      </c>
      <c r="I3081" t="s">
        <v>19</v>
      </c>
      <c r="J3081" t="s">
        <v>20</v>
      </c>
      <c r="K3081" t="s">
        <v>21</v>
      </c>
      <c r="L3081" t="s">
        <v>28</v>
      </c>
      <c r="M3081">
        <v>7500.75</v>
      </c>
      <c r="N3081">
        <v>2020</v>
      </c>
      <c r="O3081">
        <v>6</v>
      </c>
    </row>
    <row r="3082" spans="1:15" x14ac:dyDescent="0.3">
      <c r="A3082" s="1">
        <v>44003</v>
      </c>
      <c r="B3082">
        <v>1000006698</v>
      </c>
      <c r="C3082" t="s">
        <v>15</v>
      </c>
      <c r="D3082">
        <v>1</v>
      </c>
      <c r="E3082">
        <v>17000.02</v>
      </c>
      <c r="F3082" t="s">
        <v>16</v>
      </c>
      <c r="G3082" t="s">
        <v>17</v>
      </c>
      <c r="H3082" t="s">
        <v>30</v>
      </c>
      <c r="I3082" t="s">
        <v>38</v>
      </c>
      <c r="J3082" t="s">
        <v>26</v>
      </c>
      <c r="K3082" t="s">
        <v>39</v>
      </c>
      <c r="L3082" t="s">
        <v>28</v>
      </c>
      <c r="M3082">
        <v>17000.02</v>
      </c>
      <c r="N3082">
        <v>2020</v>
      </c>
      <c r="O3082">
        <v>6</v>
      </c>
    </row>
    <row r="3083" spans="1:15" x14ac:dyDescent="0.3">
      <c r="A3083" s="1">
        <v>44003</v>
      </c>
      <c r="B3083">
        <v>1000006859</v>
      </c>
      <c r="C3083" t="s">
        <v>23</v>
      </c>
      <c r="D3083">
        <v>1</v>
      </c>
      <c r="E3083">
        <v>2500.19</v>
      </c>
      <c r="F3083" t="s">
        <v>16</v>
      </c>
      <c r="G3083" t="s">
        <v>24</v>
      </c>
      <c r="H3083" t="s">
        <v>18</v>
      </c>
      <c r="I3083" t="s">
        <v>61</v>
      </c>
      <c r="J3083" t="s">
        <v>26</v>
      </c>
      <c r="K3083" t="s">
        <v>62</v>
      </c>
      <c r="L3083" t="s">
        <v>22</v>
      </c>
      <c r="M3083">
        <v>2500.19</v>
      </c>
      <c r="N3083">
        <v>2020</v>
      </c>
      <c r="O3083">
        <v>6</v>
      </c>
    </row>
    <row r="3084" spans="1:15" x14ac:dyDescent="0.3">
      <c r="A3084" s="1">
        <v>44003</v>
      </c>
      <c r="B3084">
        <v>1000006867</v>
      </c>
      <c r="C3084" t="s">
        <v>15</v>
      </c>
      <c r="D3084">
        <v>1</v>
      </c>
      <c r="E3084">
        <v>19999.95</v>
      </c>
      <c r="F3084" t="s">
        <v>16</v>
      </c>
      <c r="G3084" t="s">
        <v>17</v>
      </c>
      <c r="H3084" t="s">
        <v>18</v>
      </c>
      <c r="I3084" t="s">
        <v>61</v>
      </c>
      <c r="J3084" t="s">
        <v>26</v>
      </c>
      <c r="K3084" t="s">
        <v>62</v>
      </c>
      <c r="L3084" t="s">
        <v>22</v>
      </c>
      <c r="M3084">
        <v>19999.95</v>
      </c>
      <c r="N3084">
        <v>2020</v>
      </c>
      <c r="O3084">
        <v>6</v>
      </c>
    </row>
    <row r="3085" spans="1:15" x14ac:dyDescent="0.3">
      <c r="A3085" s="1">
        <v>44003</v>
      </c>
      <c r="B3085">
        <v>1000006869</v>
      </c>
      <c r="C3085" t="s">
        <v>23</v>
      </c>
      <c r="D3085">
        <v>1</v>
      </c>
      <c r="E3085">
        <v>5000.18</v>
      </c>
      <c r="F3085" t="s">
        <v>16</v>
      </c>
      <c r="G3085" t="s">
        <v>24</v>
      </c>
      <c r="H3085" t="s">
        <v>18</v>
      </c>
      <c r="I3085" t="s">
        <v>61</v>
      </c>
      <c r="J3085" t="s">
        <v>26</v>
      </c>
      <c r="K3085" t="s">
        <v>62</v>
      </c>
      <c r="L3085" t="s">
        <v>22</v>
      </c>
      <c r="M3085">
        <v>5000.18</v>
      </c>
      <c r="N3085">
        <v>2020</v>
      </c>
      <c r="O3085">
        <v>6</v>
      </c>
    </row>
    <row r="3086" spans="1:15" x14ac:dyDescent="0.3">
      <c r="A3086" s="1">
        <v>44003</v>
      </c>
      <c r="B3086">
        <v>1000007320</v>
      </c>
      <c r="C3086" t="s">
        <v>42</v>
      </c>
      <c r="D3086">
        <v>2</v>
      </c>
      <c r="E3086">
        <v>10000.290000000001</v>
      </c>
      <c r="F3086" t="s">
        <v>16</v>
      </c>
      <c r="G3086" t="s">
        <v>43</v>
      </c>
      <c r="H3086" t="s">
        <v>18</v>
      </c>
      <c r="I3086" t="s">
        <v>34</v>
      </c>
      <c r="J3086" t="s">
        <v>26</v>
      </c>
      <c r="K3086" t="s">
        <v>35</v>
      </c>
      <c r="L3086" t="s">
        <v>22</v>
      </c>
      <c r="M3086">
        <v>5000.1450000000004</v>
      </c>
      <c r="N3086">
        <v>2020</v>
      </c>
      <c r="O3086">
        <v>6</v>
      </c>
    </row>
    <row r="3087" spans="1:15" x14ac:dyDescent="0.3">
      <c r="A3087" s="1">
        <v>44003</v>
      </c>
      <c r="B3087">
        <v>1000008228</v>
      </c>
      <c r="C3087" t="s">
        <v>23</v>
      </c>
      <c r="D3087">
        <v>1</v>
      </c>
      <c r="E3087">
        <v>10000.6</v>
      </c>
      <c r="F3087" t="s">
        <v>16</v>
      </c>
      <c r="G3087" t="s">
        <v>24</v>
      </c>
      <c r="H3087" t="s">
        <v>30</v>
      </c>
      <c r="I3087" t="s">
        <v>31</v>
      </c>
      <c r="J3087" t="s">
        <v>36</v>
      </c>
      <c r="K3087" t="s">
        <v>52</v>
      </c>
      <c r="L3087" t="s">
        <v>22</v>
      </c>
      <c r="M3087">
        <v>10000.6</v>
      </c>
      <c r="N3087">
        <v>2020</v>
      </c>
      <c r="O3087">
        <v>6</v>
      </c>
    </row>
    <row r="3088" spans="1:15" x14ac:dyDescent="0.3">
      <c r="A3088" s="1">
        <v>44003</v>
      </c>
      <c r="B3088">
        <v>1000008239</v>
      </c>
      <c r="C3088" t="s">
        <v>23</v>
      </c>
      <c r="D3088">
        <v>1</v>
      </c>
      <c r="E3088">
        <v>16000.56</v>
      </c>
      <c r="F3088" t="s">
        <v>16</v>
      </c>
      <c r="G3088" t="s">
        <v>24</v>
      </c>
      <c r="H3088" t="s">
        <v>18</v>
      </c>
      <c r="I3088" t="s">
        <v>61</v>
      </c>
      <c r="J3088" t="s">
        <v>26</v>
      </c>
      <c r="K3088" t="s">
        <v>62</v>
      </c>
      <c r="L3088" t="s">
        <v>28</v>
      </c>
      <c r="M3088">
        <v>16000.56</v>
      </c>
      <c r="N3088">
        <v>2020</v>
      </c>
      <c r="O3088">
        <v>6</v>
      </c>
    </row>
    <row r="3089" spans="1:15" x14ac:dyDescent="0.3">
      <c r="A3089" s="1">
        <v>44003</v>
      </c>
      <c r="B3089">
        <v>1000008239</v>
      </c>
      <c r="C3089" t="s">
        <v>15</v>
      </c>
      <c r="D3089">
        <v>2</v>
      </c>
      <c r="E3089">
        <v>30000.77</v>
      </c>
      <c r="F3089" t="s">
        <v>16</v>
      </c>
      <c r="G3089" t="s">
        <v>17</v>
      </c>
      <c r="H3089" t="s">
        <v>18</v>
      </c>
      <c r="I3089" t="s">
        <v>61</v>
      </c>
      <c r="J3089" t="s">
        <v>26</v>
      </c>
      <c r="K3089" t="s">
        <v>62</v>
      </c>
      <c r="L3089" t="s">
        <v>28</v>
      </c>
      <c r="M3089">
        <v>15000.385</v>
      </c>
      <c r="N3089">
        <v>2020</v>
      </c>
      <c r="O3089">
        <v>6</v>
      </c>
    </row>
    <row r="3090" spans="1:15" x14ac:dyDescent="0.3">
      <c r="A3090" s="1">
        <v>44003</v>
      </c>
      <c r="B3090">
        <v>1000008542</v>
      </c>
      <c r="C3090" t="s">
        <v>42</v>
      </c>
      <c r="D3090">
        <v>3</v>
      </c>
      <c r="E3090">
        <v>39501.350000000006</v>
      </c>
      <c r="F3090" t="s">
        <v>16</v>
      </c>
      <c r="G3090" t="s">
        <v>43</v>
      </c>
      <c r="H3090" t="s">
        <v>18</v>
      </c>
      <c r="I3090" t="s">
        <v>40</v>
      </c>
      <c r="J3090" t="s">
        <v>26</v>
      </c>
      <c r="K3090" t="s">
        <v>41</v>
      </c>
      <c r="L3090" t="s">
        <v>22</v>
      </c>
      <c r="M3090">
        <v>13167.116666666669</v>
      </c>
      <c r="N3090">
        <v>2020</v>
      </c>
      <c r="O3090">
        <v>6</v>
      </c>
    </row>
    <row r="3091" spans="1:15" x14ac:dyDescent="0.3">
      <c r="A3091" s="1">
        <v>44003</v>
      </c>
      <c r="B3091">
        <v>1000010814</v>
      </c>
      <c r="C3091" t="s">
        <v>15</v>
      </c>
      <c r="D3091">
        <v>2</v>
      </c>
      <c r="E3091">
        <v>20000.61</v>
      </c>
      <c r="F3091" t="s">
        <v>16</v>
      </c>
      <c r="G3091" t="s">
        <v>17</v>
      </c>
      <c r="H3091" t="s">
        <v>18</v>
      </c>
      <c r="I3091" t="s">
        <v>61</v>
      </c>
      <c r="J3091" t="s">
        <v>32</v>
      </c>
      <c r="K3091" t="s">
        <v>63</v>
      </c>
      <c r="L3091" t="s">
        <v>22</v>
      </c>
      <c r="M3091">
        <v>10000.305</v>
      </c>
      <c r="N3091">
        <v>2020</v>
      </c>
      <c r="O3091">
        <v>6</v>
      </c>
    </row>
    <row r="3092" spans="1:15" x14ac:dyDescent="0.3">
      <c r="A3092" s="1">
        <v>44003</v>
      </c>
      <c r="B3092">
        <v>1000010815</v>
      </c>
      <c r="C3092" t="s">
        <v>23</v>
      </c>
      <c r="D3092">
        <v>1</v>
      </c>
      <c r="E3092">
        <v>5000.0600000000004</v>
      </c>
      <c r="F3092" t="s">
        <v>16</v>
      </c>
      <c r="G3092" t="s">
        <v>24</v>
      </c>
      <c r="H3092" t="s">
        <v>18</v>
      </c>
      <c r="I3092" t="s">
        <v>61</v>
      </c>
      <c r="J3092" t="s">
        <v>26</v>
      </c>
      <c r="K3092" t="s">
        <v>62</v>
      </c>
      <c r="L3092" t="s">
        <v>22</v>
      </c>
      <c r="M3092">
        <v>5000.0600000000004</v>
      </c>
      <c r="N3092">
        <v>2020</v>
      </c>
      <c r="O3092">
        <v>6</v>
      </c>
    </row>
    <row r="3093" spans="1:15" x14ac:dyDescent="0.3">
      <c r="A3093" s="1">
        <v>44003</v>
      </c>
      <c r="B3093">
        <v>1000010837</v>
      </c>
      <c r="C3093" t="s">
        <v>23</v>
      </c>
      <c r="D3093">
        <v>1</v>
      </c>
      <c r="E3093">
        <v>6000.65</v>
      </c>
      <c r="F3093" t="s">
        <v>16</v>
      </c>
      <c r="G3093" t="s">
        <v>24</v>
      </c>
      <c r="H3093" t="s">
        <v>18</v>
      </c>
      <c r="I3093" t="s">
        <v>61</v>
      </c>
      <c r="J3093" t="s">
        <v>26</v>
      </c>
      <c r="K3093" t="s">
        <v>62</v>
      </c>
      <c r="L3093" t="s">
        <v>22</v>
      </c>
      <c r="M3093">
        <v>6000.65</v>
      </c>
      <c r="N3093">
        <v>2020</v>
      </c>
      <c r="O3093">
        <v>6</v>
      </c>
    </row>
    <row r="3094" spans="1:15" x14ac:dyDescent="0.3">
      <c r="A3094" s="1">
        <v>44003</v>
      </c>
      <c r="B3094">
        <v>1000010837</v>
      </c>
      <c r="C3094" t="s">
        <v>42</v>
      </c>
      <c r="D3094">
        <v>1</v>
      </c>
      <c r="E3094">
        <v>2000.26</v>
      </c>
      <c r="F3094" t="s">
        <v>16</v>
      </c>
      <c r="G3094" t="s">
        <v>43</v>
      </c>
      <c r="H3094" t="s">
        <v>18</v>
      </c>
      <c r="I3094" t="s">
        <v>61</v>
      </c>
      <c r="J3094" t="s">
        <v>26</v>
      </c>
      <c r="K3094" t="s">
        <v>62</v>
      </c>
      <c r="L3094" t="s">
        <v>22</v>
      </c>
      <c r="M3094">
        <v>2000.26</v>
      </c>
      <c r="N3094">
        <v>2020</v>
      </c>
      <c r="O3094">
        <v>6</v>
      </c>
    </row>
    <row r="3095" spans="1:15" x14ac:dyDescent="0.3">
      <c r="A3095" s="1">
        <v>44003</v>
      </c>
      <c r="B3095">
        <v>1000010881</v>
      </c>
      <c r="C3095" t="s">
        <v>15</v>
      </c>
      <c r="D3095">
        <v>1</v>
      </c>
      <c r="E3095">
        <v>8000.53</v>
      </c>
      <c r="F3095" t="s">
        <v>16</v>
      </c>
      <c r="G3095" t="s">
        <v>17</v>
      </c>
      <c r="H3095" t="s">
        <v>47</v>
      </c>
      <c r="I3095" t="s">
        <v>48</v>
      </c>
      <c r="J3095" t="s">
        <v>26</v>
      </c>
      <c r="K3095" t="s">
        <v>50</v>
      </c>
      <c r="L3095" t="s">
        <v>22</v>
      </c>
      <c r="M3095">
        <v>8000.53</v>
      </c>
      <c r="N3095">
        <v>2020</v>
      </c>
      <c r="O3095">
        <v>6</v>
      </c>
    </row>
    <row r="3096" spans="1:15" x14ac:dyDescent="0.3">
      <c r="A3096" s="1">
        <v>44003</v>
      </c>
      <c r="B3096">
        <v>1000011538</v>
      </c>
      <c r="C3096" t="s">
        <v>23</v>
      </c>
      <c r="D3096">
        <v>1</v>
      </c>
      <c r="E3096">
        <v>12000.5</v>
      </c>
      <c r="F3096" t="s">
        <v>16</v>
      </c>
      <c r="G3096" t="s">
        <v>24</v>
      </c>
      <c r="H3096" t="s">
        <v>18</v>
      </c>
      <c r="I3096" t="s">
        <v>40</v>
      </c>
      <c r="J3096" t="s">
        <v>20</v>
      </c>
      <c r="K3096" t="s">
        <v>68</v>
      </c>
      <c r="L3096" t="s">
        <v>22</v>
      </c>
      <c r="M3096">
        <v>12000.5</v>
      </c>
      <c r="N3096">
        <v>2020</v>
      </c>
      <c r="O3096">
        <v>6</v>
      </c>
    </row>
    <row r="3097" spans="1:15" x14ac:dyDescent="0.3">
      <c r="A3097" s="1">
        <v>44003</v>
      </c>
      <c r="B3097">
        <v>1000011698</v>
      </c>
      <c r="C3097" t="s">
        <v>23</v>
      </c>
      <c r="D3097">
        <v>1</v>
      </c>
      <c r="E3097">
        <v>2500.27</v>
      </c>
      <c r="F3097" t="s">
        <v>16</v>
      </c>
      <c r="G3097" t="s">
        <v>24</v>
      </c>
      <c r="H3097" t="s">
        <v>18</v>
      </c>
      <c r="I3097" t="s">
        <v>34</v>
      </c>
      <c r="J3097" t="s">
        <v>20</v>
      </c>
      <c r="K3097" t="s">
        <v>44</v>
      </c>
      <c r="L3097" t="s">
        <v>22</v>
      </c>
      <c r="M3097">
        <v>2500.27</v>
      </c>
      <c r="N3097">
        <v>2020</v>
      </c>
      <c r="O3097">
        <v>6</v>
      </c>
    </row>
    <row r="3098" spans="1:15" x14ac:dyDescent="0.3">
      <c r="A3098" s="1">
        <v>44003</v>
      </c>
      <c r="B3098">
        <v>1000012099</v>
      </c>
      <c r="C3098" t="s">
        <v>15</v>
      </c>
      <c r="D3098">
        <v>4</v>
      </c>
      <c r="E3098">
        <v>88002.240000000005</v>
      </c>
      <c r="F3098" t="s">
        <v>16</v>
      </c>
      <c r="G3098" t="s">
        <v>17</v>
      </c>
      <c r="H3098" t="s">
        <v>18</v>
      </c>
      <c r="I3098" t="s">
        <v>19</v>
      </c>
      <c r="J3098" t="s">
        <v>20</v>
      </c>
      <c r="K3098" t="s">
        <v>21</v>
      </c>
      <c r="L3098" t="s">
        <v>22</v>
      </c>
      <c r="M3098">
        <v>22000.560000000001</v>
      </c>
      <c r="N3098">
        <v>2020</v>
      </c>
      <c r="O3098">
        <v>6</v>
      </c>
    </row>
    <row r="3099" spans="1:15" x14ac:dyDescent="0.3">
      <c r="A3099" s="1">
        <v>44003</v>
      </c>
      <c r="B3099">
        <v>1000012112</v>
      </c>
      <c r="C3099" t="s">
        <v>23</v>
      </c>
      <c r="D3099">
        <v>2</v>
      </c>
      <c r="E3099">
        <v>35000.81</v>
      </c>
      <c r="F3099" t="s">
        <v>16</v>
      </c>
      <c r="G3099" t="s">
        <v>24</v>
      </c>
      <c r="H3099" t="s">
        <v>18</v>
      </c>
      <c r="I3099" t="s">
        <v>19</v>
      </c>
      <c r="J3099" t="s">
        <v>36</v>
      </c>
      <c r="K3099" t="s">
        <v>64</v>
      </c>
      <c r="L3099" t="s">
        <v>28</v>
      </c>
      <c r="M3099">
        <v>17500.404999999999</v>
      </c>
      <c r="N3099">
        <v>2020</v>
      </c>
      <c r="O3099">
        <v>6</v>
      </c>
    </row>
    <row r="3100" spans="1:15" x14ac:dyDescent="0.3">
      <c r="A3100" s="1">
        <v>44003</v>
      </c>
      <c r="B3100">
        <v>1000012112</v>
      </c>
      <c r="C3100" t="s">
        <v>15</v>
      </c>
      <c r="D3100">
        <v>2</v>
      </c>
      <c r="E3100">
        <v>31000.829999999998</v>
      </c>
      <c r="F3100" t="s">
        <v>16</v>
      </c>
      <c r="G3100" t="s">
        <v>17</v>
      </c>
      <c r="H3100" t="s">
        <v>18</v>
      </c>
      <c r="I3100" t="s">
        <v>19</v>
      </c>
      <c r="J3100" t="s">
        <v>36</v>
      </c>
      <c r="K3100" t="s">
        <v>64</v>
      </c>
      <c r="L3100" t="s">
        <v>28</v>
      </c>
      <c r="M3100">
        <v>15500.414999999999</v>
      </c>
      <c r="N3100">
        <v>2020</v>
      </c>
      <c r="O3100">
        <v>6</v>
      </c>
    </row>
    <row r="3101" spans="1:15" x14ac:dyDescent="0.3">
      <c r="A3101" s="1">
        <v>44003</v>
      </c>
      <c r="B3101">
        <v>1000012112</v>
      </c>
      <c r="C3101" t="s">
        <v>42</v>
      </c>
      <c r="D3101">
        <v>1</v>
      </c>
      <c r="E3101">
        <v>10000.030000000001</v>
      </c>
      <c r="F3101" t="s">
        <v>16</v>
      </c>
      <c r="G3101" t="s">
        <v>43</v>
      </c>
      <c r="H3101" t="s">
        <v>18</v>
      </c>
      <c r="I3101" t="s">
        <v>19</v>
      </c>
      <c r="J3101" t="s">
        <v>36</v>
      </c>
      <c r="K3101" t="s">
        <v>64</v>
      </c>
      <c r="L3101" t="s">
        <v>28</v>
      </c>
      <c r="M3101">
        <v>10000.030000000001</v>
      </c>
      <c r="N3101">
        <v>2020</v>
      </c>
      <c r="O3101">
        <v>6</v>
      </c>
    </row>
    <row r="3102" spans="1:15" x14ac:dyDescent="0.3">
      <c r="A3102" s="1">
        <v>44003</v>
      </c>
      <c r="B3102">
        <v>1000012126</v>
      </c>
      <c r="C3102" t="s">
        <v>23</v>
      </c>
      <c r="D3102">
        <v>2</v>
      </c>
      <c r="E3102">
        <v>14000.94</v>
      </c>
      <c r="F3102" t="s">
        <v>16</v>
      </c>
      <c r="G3102" t="s">
        <v>24</v>
      </c>
      <c r="H3102" t="s">
        <v>18</v>
      </c>
      <c r="I3102" t="s">
        <v>19</v>
      </c>
      <c r="J3102" t="s">
        <v>26</v>
      </c>
      <c r="K3102" t="s">
        <v>29</v>
      </c>
      <c r="L3102" t="s">
        <v>22</v>
      </c>
      <c r="M3102">
        <v>7000.47</v>
      </c>
      <c r="N3102">
        <v>2020</v>
      </c>
      <c r="O3102">
        <v>6</v>
      </c>
    </row>
    <row r="3103" spans="1:15" x14ac:dyDescent="0.3">
      <c r="A3103" s="1">
        <v>44003</v>
      </c>
      <c r="B3103">
        <v>1000012234</v>
      </c>
      <c r="C3103" t="s">
        <v>15</v>
      </c>
      <c r="D3103">
        <v>2</v>
      </c>
      <c r="E3103">
        <v>29000.43</v>
      </c>
      <c r="F3103" t="s">
        <v>16</v>
      </c>
      <c r="G3103" t="s">
        <v>17</v>
      </c>
      <c r="H3103" t="s">
        <v>18</v>
      </c>
      <c r="I3103" t="s">
        <v>25</v>
      </c>
      <c r="J3103" t="s">
        <v>26</v>
      </c>
      <c r="K3103" t="s">
        <v>27</v>
      </c>
      <c r="L3103" t="s">
        <v>22</v>
      </c>
      <c r="M3103">
        <v>14500.215</v>
      </c>
      <c r="N3103">
        <v>2020</v>
      </c>
      <c r="O3103">
        <v>6</v>
      </c>
    </row>
    <row r="3104" spans="1:15" x14ac:dyDescent="0.3">
      <c r="A3104" s="1">
        <v>44003</v>
      </c>
      <c r="B3104">
        <v>1000012234</v>
      </c>
      <c r="C3104" t="s">
        <v>42</v>
      </c>
      <c r="D3104">
        <v>1</v>
      </c>
      <c r="E3104">
        <v>18000.12</v>
      </c>
      <c r="F3104" t="s">
        <v>16</v>
      </c>
      <c r="G3104" t="s">
        <v>43</v>
      </c>
      <c r="H3104" t="s">
        <v>18</v>
      </c>
      <c r="I3104" t="s">
        <v>25</v>
      </c>
      <c r="J3104" t="s">
        <v>26</v>
      </c>
      <c r="K3104" t="s">
        <v>27</v>
      </c>
      <c r="L3104" t="s">
        <v>22</v>
      </c>
      <c r="M3104">
        <v>18000.12</v>
      </c>
      <c r="N3104">
        <v>2020</v>
      </c>
      <c r="O3104">
        <v>6</v>
      </c>
    </row>
    <row r="3105" spans="1:15" x14ac:dyDescent="0.3">
      <c r="A3105" s="1">
        <v>44003</v>
      </c>
      <c r="B3105">
        <v>1000012313</v>
      </c>
      <c r="C3105" t="s">
        <v>23</v>
      </c>
      <c r="D3105">
        <v>1</v>
      </c>
      <c r="E3105">
        <v>17000.349999999999</v>
      </c>
      <c r="F3105" t="s">
        <v>16</v>
      </c>
      <c r="G3105" t="s">
        <v>24</v>
      </c>
      <c r="H3105" t="s">
        <v>47</v>
      </c>
      <c r="I3105" t="s">
        <v>65</v>
      </c>
      <c r="J3105" t="s">
        <v>26</v>
      </c>
      <c r="K3105" t="s">
        <v>66</v>
      </c>
      <c r="L3105" t="s">
        <v>22</v>
      </c>
      <c r="M3105">
        <v>17000.349999999999</v>
      </c>
      <c r="N3105">
        <v>2020</v>
      </c>
      <c r="O3105">
        <v>6</v>
      </c>
    </row>
    <row r="3106" spans="1:15" x14ac:dyDescent="0.3">
      <c r="A3106" s="1">
        <v>44003</v>
      </c>
      <c r="B3106">
        <v>1000012675</v>
      </c>
      <c r="C3106" t="s">
        <v>23</v>
      </c>
      <c r="D3106">
        <v>1</v>
      </c>
      <c r="E3106">
        <v>7500.39</v>
      </c>
      <c r="F3106" t="s">
        <v>16</v>
      </c>
      <c r="G3106" t="s">
        <v>24</v>
      </c>
      <c r="H3106" t="s">
        <v>18</v>
      </c>
      <c r="I3106" t="s">
        <v>34</v>
      </c>
      <c r="J3106" t="s">
        <v>26</v>
      </c>
      <c r="K3106" t="s">
        <v>35</v>
      </c>
      <c r="L3106" t="s">
        <v>22</v>
      </c>
      <c r="M3106">
        <v>7500.39</v>
      </c>
      <c r="N3106">
        <v>2020</v>
      </c>
      <c r="O3106">
        <v>6</v>
      </c>
    </row>
    <row r="3107" spans="1:15" x14ac:dyDescent="0.3">
      <c r="A3107" s="1">
        <v>44003</v>
      </c>
      <c r="B3107">
        <v>1000012675</v>
      </c>
      <c r="C3107" t="s">
        <v>15</v>
      </c>
      <c r="D3107">
        <v>1</v>
      </c>
      <c r="E3107">
        <v>13000.12</v>
      </c>
      <c r="F3107" t="s">
        <v>16</v>
      </c>
      <c r="G3107" t="s">
        <v>17</v>
      </c>
      <c r="H3107" t="s">
        <v>18</v>
      </c>
      <c r="I3107" t="s">
        <v>34</v>
      </c>
      <c r="J3107" t="s">
        <v>26</v>
      </c>
      <c r="K3107" t="s">
        <v>35</v>
      </c>
      <c r="L3107" t="s">
        <v>22</v>
      </c>
      <c r="M3107">
        <v>13000.12</v>
      </c>
      <c r="N3107">
        <v>2020</v>
      </c>
      <c r="O3107">
        <v>6</v>
      </c>
    </row>
    <row r="3108" spans="1:15" x14ac:dyDescent="0.3">
      <c r="A3108" s="1">
        <v>44003</v>
      </c>
      <c r="B3108">
        <v>1000013526</v>
      </c>
      <c r="C3108" t="s">
        <v>23</v>
      </c>
      <c r="D3108">
        <v>2</v>
      </c>
      <c r="E3108">
        <v>28500.21</v>
      </c>
      <c r="F3108" t="s">
        <v>16</v>
      </c>
      <c r="G3108" t="s">
        <v>24</v>
      </c>
      <c r="H3108" t="s">
        <v>47</v>
      </c>
      <c r="I3108" t="s">
        <v>65</v>
      </c>
      <c r="J3108" t="s">
        <v>26</v>
      </c>
      <c r="K3108" t="s">
        <v>66</v>
      </c>
      <c r="L3108" t="s">
        <v>22</v>
      </c>
      <c r="M3108">
        <v>14250.105</v>
      </c>
      <c r="N3108">
        <v>2020</v>
      </c>
      <c r="O3108">
        <v>6</v>
      </c>
    </row>
    <row r="3109" spans="1:15" x14ac:dyDescent="0.3">
      <c r="A3109" s="1">
        <v>44003</v>
      </c>
      <c r="B3109">
        <v>1000013607</v>
      </c>
      <c r="C3109" t="s">
        <v>15</v>
      </c>
      <c r="D3109">
        <v>1</v>
      </c>
      <c r="E3109">
        <v>10500.47</v>
      </c>
      <c r="F3109" t="s">
        <v>16</v>
      </c>
      <c r="G3109" t="s">
        <v>17</v>
      </c>
      <c r="H3109" t="s">
        <v>18</v>
      </c>
      <c r="I3109" t="s">
        <v>25</v>
      </c>
      <c r="J3109" t="s">
        <v>26</v>
      </c>
      <c r="K3109" t="s">
        <v>27</v>
      </c>
      <c r="L3109" t="s">
        <v>22</v>
      </c>
      <c r="M3109">
        <v>10500.47</v>
      </c>
      <c r="N3109">
        <v>2020</v>
      </c>
      <c r="O3109">
        <v>6</v>
      </c>
    </row>
    <row r="3110" spans="1:15" x14ac:dyDescent="0.3">
      <c r="A3110" s="1">
        <v>44003</v>
      </c>
      <c r="B3110">
        <v>1000014072</v>
      </c>
      <c r="C3110" t="s">
        <v>15</v>
      </c>
      <c r="D3110">
        <v>1</v>
      </c>
      <c r="E3110">
        <v>17000.34</v>
      </c>
      <c r="F3110" t="s">
        <v>16</v>
      </c>
      <c r="G3110" t="s">
        <v>17</v>
      </c>
      <c r="H3110" t="s">
        <v>47</v>
      </c>
      <c r="I3110" t="s">
        <v>65</v>
      </c>
      <c r="J3110" t="s">
        <v>26</v>
      </c>
      <c r="K3110" t="s">
        <v>66</v>
      </c>
      <c r="L3110" t="s">
        <v>22</v>
      </c>
      <c r="M3110">
        <v>17000.34</v>
      </c>
      <c r="N3110">
        <v>2020</v>
      </c>
      <c r="O3110">
        <v>6</v>
      </c>
    </row>
    <row r="3111" spans="1:15" x14ac:dyDescent="0.3">
      <c r="A3111" s="1">
        <v>44003</v>
      </c>
      <c r="B3111">
        <v>1000014273</v>
      </c>
      <c r="C3111" t="s">
        <v>23</v>
      </c>
      <c r="D3111">
        <v>2</v>
      </c>
      <c r="E3111">
        <v>14001.099999999999</v>
      </c>
      <c r="F3111" t="s">
        <v>16</v>
      </c>
      <c r="G3111" t="s">
        <v>24</v>
      </c>
      <c r="H3111" t="s">
        <v>18</v>
      </c>
      <c r="I3111" t="s">
        <v>19</v>
      </c>
      <c r="J3111" t="s">
        <v>20</v>
      </c>
      <c r="K3111" t="s">
        <v>21</v>
      </c>
      <c r="L3111" t="s">
        <v>22</v>
      </c>
      <c r="M3111">
        <v>7000.5499999999993</v>
      </c>
      <c r="N3111">
        <v>2020</v>
      </c>
      <c r="O3111">
        <v>6</v>
      </c>
    </row>
    <row r="3112" spans="1:15" x14ac:dyDescent="0.3">
      <c r="A3112" s="1">
        <v>44003</v>
      </c>
      <c r="B3112">
        <v>1000014291</v>
      </c>
      <c r="C3112" t="s">
        <v>42</v>
      </c>
      <c r="D3112">
        <v>2</v>
      </c>
      <c r="E3112">
        <v>31000.68</v>
      </c>
      <c r="F3112" t="s">
        <v>16</v>
      </c>
      <c r="G3112" t="s">
        <v>43</v>
      </c>
      <c r="H3112" t="s">
        <v>47</v>
      </c>
      <c r="I3112" t="s">
        <v>48</v>
      </c>
      <c r="J3112" t="s">
        <v>20</v>
      </c>
      <c r="K3112" t="s">
        <v>67</v>
      </c>
      <c r="L3112" t="s">
        <v>28</v>
      </c>
      <c r="M3112">
        <v>15500.34</v>
      </c>
      <c r="N3112">
        <v>2020</v>
      </c>
      <c r="O3112">
        <v>6</v>
      </c>
    </row>
    <row r="3113" spans="1:15" x14ac:dyDescent="0.3">
      <c r="A3113" s="1">
        <v>44003</v>
      </c>
      <c r="B3113">
        <v>1000014452</v>
      </c>
      <c r="C3113" t="s">
        <v>15</v>
      </c>
      <c r="D3113">
        <v>1</v>
      </c>
      <c r="E3113">
        <v>19999.95</v>
      </c>
      <c r="F3113" t="s">
        <v>16</v>
      </c>
      <c r="G3113" t="s">
        <v>17</v>
      </c>
      <c r="H3113" t="s">
        <v>18</v>
      </c>
      <c r="I3113" t="s">
        <v>34</v>
      </c>
      <c r="J3113" t="s">
        <v>36</v>
      </c>
      <c r="K3113" t="s">
        <v>70</v>
      </c>
      <c r="L3113" t="s">
        <v>22</v>
      </c>
      <c r="M3113">
        <v>19999.95</v>
      </c>
      <c r="N3113">
        <v>2020</v>
      </c>
      <c r="O3113">
        <v>6</v>
      </c>
    </row>
    <row r="3114" spans="1:15" x14ac:dyDescent="0.3">
      <c r="A3114" s="1">
        <v>44003</v>
      </c>
      <c r="B3114">
        <v>1000014530</v>
      </c>
      <c r="C3114" t="s">
        <v>15</v>
      </c>
      <c r="D3114">
        <v>1</v>
      </c>
      <c r="E3114">
        <v>25000.16</v>
      </c>
      <c r="F3114" t="s">
        <v>16</v>
      </c>
      <c r="G3114" t="s">
        <v>17</v>
      </c>
      <c r="H3114" t="s">
        <v>47</v>
      </c>
      <c r="I3114" t="s">
        <v>65</v>
      </c>
      <c r="J3114" t="s">
        <v>26</v>
      </c>
      <c r="K3114" t="s">
        <v>66</v>
      </c>
      <c r="L3114" t="s">
        <v>22</v>
      </c>
      <c r="M3114">
        <v>25000.16</v>
      </c>
      <c r="N3114">
        <v>2020</v>
      </c>
      <c r="O3114">
        <v>6</v>
      </c>
    </row>
    <row r="3115" spans="1:15" x14ac:dyDescent="0.3">
      <c r="A3115" s="1">
        <v>44003</v>
      </c>
      <c r="B3115">
        <v>1000014572</v>
      </c>
      <c r="C3115" t="s">
        <v>23</v>
      </c>
      <c r="D3115">
        <v>2</v>
      </c>
      <c r="E3115">
        <v>36000.78</v>
      </c>
      <c r="F3115" t="s">
        <v>16</v>
      </c>
      <c r="G3115" t="s">
        <v>24</v>
      </c>
      <c r="H3115" t="s">
        <v>18</v>
      </c>
      <c r="I3115" t="s">
        <v>34</v>
      </c>
      <c r="J3115" t="s">
        <v>26</v>
      </c>
      <c r="K3115" t="s">
        <v>35</v>
      </c>
      <c r="L3115" t="s">
        <v>22</v>
      </c>
      <c r="M3115">
        <v>18000.39</v>
      </c>
      <c r="N3115">
        <v>2020</v>
      </c>
      <c r="O3115">
        <v>6</v>
      </c>
    </row>
    <row r="3116" spans="1:15" x14ac:dyDescent="0.3">
      <c r="A3116" s="1">
        <v>44003</v>
      </c>
      <c r="B3116">
        <v>1000014588</v>
      </c>
      <c r="C3116" t="s">
        <v>42</v>
      </c>
      <c r="D3116">
        <v>1</v>
      </c>
      <c r="E3116">
        <v>8000.75</v>
      </c>
      <c r="F3116" t="s">
        <v>16</v>
      </c>
      <c r="G3116" t="s">
        <v>43</v>
      </c>
      <c r="H3116" t="s">
        <v>18</v>
      </c>
      <c r="I3116" t="s">
        <v>40</v>
      </c>
      <c r="J3116" t="s">
        <v>20</v>
      </c>
      <c r="K3116" t="s">
        <v>68</v>
      </c>
      <c r="L3116" t="s">
        <v>22</v>
      </c>
      <c r="M3116">
        <v>8000.75</v>
      </c>
      <c r="N3116">
        <v>2020</v>
      </c>
      <c r="O3116">
        <v>6</v>
      </c>
    </row>
    <row r="3117" spans="1:15" x14ac:dyDescent="0.3">
      <c r="A3117" s="1">
        <v>44003</v>
      </c>
      <c r="B3117">
        <v>1000014879</v>
      </c>
      <c r="C3117" t="s">
        <v>23</v>
      </c>
      <c r="D3117">
        <v>1</v>
      </c>
      <c r="E3117">
        <v>8000.71</v>
      </c>
      <c r="F3117" t="s">
        <v>16</v>
      </c>
      <c r="G3117" t="s">
        <v>24</v>
      </c>
      <c r="H3117" t="s">
        <v>18</v>
      </c>
      <c r="I3117" t="s">
        <v>40</v>
      </c>
      <c r="J3117" t="s">
        <v>26</v>
      </c>
      <c r="K3117" t="s">
        <v>41</v>
      </c>
      <c r="L3117" t="s">
        <v>22</v>
      </c>
      <c r="M3117">
        <v>8000.71</v>
      </c>
      <c r="N3117">
        <v>2020</v>
      </c>
      <c r="O3117">
        <v>6</v>
      </c>
    </row>
    <row r="3118" spans="1:15" x14ac:dyDescent="0.3">
      <c r="A3118" s="1">
        <v>44003</v>
      </c>
      <c r="B3118">
        <v>1000014996</v>
      </c>
      <c r="C3118" t="s">
        <v>15</v>
      </c>
      <c r="D3118">
        <v>1</v>
      </c>
      <c r="E3118">
        <v>16000.75</v>
      </c>
      <c r="F3118" t="s">
        <v>16</v>
      </c>
      <c r="G3118" t="s">
        <v>17</v>
      </c>
      <c r="H3118" t="s">
        <v>30</v>
      </c>
      <c r="I3118" t="s">
        <v>57</v>
      </c>
      <c r="J3118" t="s">
        <v>26</v>
      </c>
      <c r="K3118" t="s">
        <v>58</v>
      </c>
      <c r="L3118" t="s">
        <v>22</v>
      </c>
      <c r="M3118">
        <v>16000.75</v>
      </c>
      <c r="N3118">
        <v>2020</v>
      </c>
      <c r="O3118">
        <v>6</v>
      </c>
    </row>
    <row r="3119" spans="1:15" x14ac:dyDescent="0.3">
      <c r="A3119" s="1">
        <v>44003</v>
      </c>
      <c r="B3119">
        <v>1000015015</v>
      </c>
      <c r="C3119" t="s">
        <v>15</v>
      </c>
      <c r="D3119">
        <v>1</v>
      </c>
      <c r="E3119">
        <v>20000.07</v>
      </c>
      <c r="F3119" t="s">
        <v>16</v>
      </c>
      <c r="G3119" t="s">
        <v>17</v>
      </c>
      <c r="H3119" t="s">
        <v>18</v>
      </c>
      <c r="I3119" t="s">
        <v>61</v>
      </c>
      <c r="J3119" t="s">
        <v>26</v>
      </c>
      <c r="K3119" t="s">
        <v>62</v>
      </c>
      <c r="L3119" t="s">
        <v>22</v>
      </c>
      <c r="M3119">
        <v>20000.07</v>
      </c>
      <c r="N3119">
        <v>2020</v>
      </c>
      <c r="O3119">
        <v>6</v>
      </c>
    </row>
    <row r="3120" spans="1:15" x14ac:dyDescent="0.3">
      <c r="A3120" s="1">
        <v>44003</v>
      </c>
      <c r="B3120">
        <v>1000015133</v>
      </c>
      <c r="C3120" t="s">
        <v>15</v>
      </c>
      <c r="D3120">
        <v>1</v>
      </c>
      <c r="E3120">
        <v>10000.48</v>
      </c>
      <c r="F3120" t="s">
        <v>16</v>
      </c>
      <c r="G3120" t="s">
        <v>17</v>
      </c>
      <c r="H3120" t="s">
        <v>30</v>
      </c>
      <c r="I3120" t="s">
        <v>31</v>
      </c>
      <c r="J3120" t="s">
        <v>36</v>
      </c>
      <c r="K3120" t="s">
        <v>52</v>
      </c>
      <c r="L3120" t="s">
        <v>22</v>
      </c>
      <c r="M3120">
        <v>10000.48</v>
      </c>
      <c r="N3120">
        <v>2020</v>
      </c>
      <c r="O3120">
        <v>6</v>
      </c>
    </row>
    <row r="3121" spans="1:15" x14ac:dyDescent="0.3">
      <c r="A3121" s="1">
        <v>44003</v>
      </c>
      <c r="B3121">
        <v>1000017576</v>
      </c>
      <c r="C3121" t="s">
        <v>42</v>
      </c>
      <c r="D3121">
        <v>1</v>
      </c>
      <c r="E3121">
        <v>15000.17</v>
      </c>
      <c r="F3121" t="s">
        <v>16</v>
      </c>
      <c r="G3121" t="s">
        <v>43</v>
      </c>
      <c r="H3121" t="s">
        <v>18</v>
      </c>
      <c r="I3121" t="s">
        <v>19</v>
      </c>
      <c r="J3121" t="s">
        <v>36</v>
      </c>
      <c r="K3121" t="s">
        <v>64</v>
      </c>
      <c r="L3121" t="s">
        <v>22</v>
      </c>
      <c r="M3121">
        <v>15000.17</v>
      </c>
      <c r="N3121">
        <v>2020</v>
      </c>
      <c r="O3121">
        <v>6</v>
      </c>
    </row>
    <row r="3122" spans="1:15" x14ac:dyDescent="0.3">
      <c r="A3122" s="1">
        <v>44003</v>
      </c>
      <c r="B3122">
        <v>1000017700</v>
      </c>
      <c r="C3122" t="s">
        <v>15</v>
      </c>
      <c r="D3122">
        <v>1</v>
      </c>
      <c r="E3122">
        <v>5500.29</v>
      </c>
      <c r="F3122" t="s">
        <v>16</v>
      </c>
      <c r="G3122" t="s">
        <v>17</v>
      </c>
      <c r="H3122" t="s">
        <v>47</v>
      </c>
      <c r="I3122" t="s">
        <v>65</v>
      </c>
      <c r="J3122" t="s">
        <v>26</v>
      </c>
      <c r="K3122" t="s">
        <v>66</v>
      </c>
      <c r="L3122" t="s">
        <v>22</v>
      </c>
      <c r="M3122">
        <v>5500.29</v>
      </c>
      <c r="N3122">
        <v>2020</v>
      </c>
      <c r="O3122">
        <v>6</v>
      </c>
    </row>
    <row r="3123" spans="1:15" x14ac:dyDescent="0.3">
      <c r="A3123" s="1">
        <v>44004</v>
      </c>
      <c r="B3123">
        <v>1000000029</v>
      </c>
      <c r="C3123" t="s">
        <v>23</v>
      </c>
      <c r="D3123">
        <v>2</v>
      </c>
      <c r="E3123">
        <v>1701.4699999999998</v>
      </c>
      <c r="F3123" t="s">
        <v>16</v>
      </c>
      <c r="G3123" t="s">
        <v>24</v>
      </c>
      <c r="H3123" t="s">
        <v>18</v>
      </c>
      <c r="I3123" t="s">
        <v>19</v>
      </c>
      <c r="J3123" t="s">
        <v>20</v>
      </c>
      <c r="K3123" t="s">
        <v>21</v>
      </c>
      <c r="L3123" t="s">
        <v>22</v>
      </c>
      <c r="M3123">
        <v>850.7349999999999</v>
      </c>
      <c r="N3123">
        <v>2020</v>
      </c>
      <c r="O3123">
        <v>6</v>
      </c>
    </row>
    <row r="3124" spans="1:15" x14ac:dyDescent="0.3">
      <c r="A3124" s="1">
        <v>44004</v>
      </c>
      <c r="B3124">
        <v>1000000029</v>
      </c>
      <c r="C3124" t="s">
        <v>15</v>
      </c>
      <c r="D3124">
        <v>3</v>
      </c>
      <c r="E3124">
        <v>19335.600000000002</v>
      </c>
      <c r="F3124" t="s">
        <v>16</v>
      </c>
      <c r="G3124" t="s">
        <v>17</v>
      </c>
      <c r="H3124" t="s">
        <v>18</v>
      </c>
      <c r="I3124" t="s">
        <v>19</v>
      </c>
      <c r="J3124" t="s">
        <v>20</v>
      </c>
      <c r="K3124" t="s">
        <v>21</v>
      </c>
      <c r="L3124" t="s">
        <v>22</v>
      </c>
      <c r="M3124">
        <v>6445.2000000000007</v>
      </c>
      <c r="N3124">
        <v>2020</v>
      </c>
      <c r="O3124">
        <v>6</v>
      </c>
    </row>
    <row r="3125" spans="1:15" x14ac:dyDescent="0.3">
      <c r="A3125" s="1">
        <v>44004</v>
      </c>
      <c r="B3125">
        <v>1000000030</v>
      </c>
      <c r="C3125" t="s">
        <v>23</v>
      </c>
      <c r="D3125">
        <v>2</v>
      </c>
      <c r="E3125">
        <v>17001.170000000002</v>
      </c>
      <c r="F3125" t="s">
        <v>16</v>
      </c>
      <c r="G3125" t="s">
        <v>24</v>
      </c>
      <c r="H3125" t="s">
        <v>47</v>
      </c>
      <c r="I3125" t="s">
        <v>48</v>
      </c>
      <c r="J3125" t="s">
        <v>36</v>
      </c>
      <c r="K3125" t="s">
        <v>49</v>
      </c>
      <c r="L3125" t="s">
        <v>22</v>
      </c>
      <c r="M3125">
        <v>8500.5850000000009</v>
      </c>
      <c r="N3125">
        <v>2020</v>
      </c>
      <c r="O3125">
        <v>6</v>
      </c>
    </row>
    <row r="3126" spans="1:15" x14ac:dyDescent="0.3">
      <c r="A3126" s="1">
        <v>44004</v>
      </c>
      <c r="B3126">
        <v>1000000031</v>
      </c>
      <c r="C3126" t="s">
        <v>15</v>
      </c>
      <c r="D3126">
        <v>1</v>
      </c>
      <c r="E3126">
        <v>22000.07</v>
      </c>
      <c r="F3126" t="s">
        <v>16</v>
      </c>
      <c r="G3126" t="s">
        <v>17</v>
      </c>
      <c r="H3126" t="s">
        <v>18</v>
      </c>
      <c r="I3126" t="s">
        <v>19</v>
      </c>
      <c r="J3126" t="s">
        <v>26</v>
      </c>
      <c r="K3126" t="s">
        <v>29</v>
      </c>
      <c r="L3126" t="s">
        <v>28</v>
      </c>
      <c r="M3126">
        <v>22000.07</v>
      </c>
      <c r="N3126">
        <v>2020</v>
      </c>
      <c r="O3126">
        <v>6</v>
      </c>
    </row>
    <row r="3127" spans="1:15" x14ac:dyDescent="0.3">
      <c r="A3127" s="1">
        <v>44004</v>
      </c>
      <c r="B3127">
        <v>1000000032</v>
      </c>
      <c r="C3127" t="s">
        <v>15</v>
      </c>
      <c r="D3127">
        <v>2</v>
      </c>
      <c r="E3127">
        <v>30000.910000000003</v>
      </c>
      <c r="F3127" t="s">
        <v>16</v>
      </c>
      <c r="G3127" t="s">
        <v>17</v>
      </c>
      <c r="H3127" t="s">
        <v>18</v>
      </c>
      <c r="I3127" t="s">
        <v>25</v>
      </c>
      <c r="J3127" t="s">
        <v>26</v>
      </c>
      <c r="K3127" t="s">
        <v>27</v>
      </c>
      <c r="L3127" t="s">
        <v>28</v>
      </c>
      <c r="M3127">
        <v>15000.455000000002</v>
      </c>
      <c r="N3127">
        <v>2020</v>
      </c>
      <c r="O3127">
        <v>6</v>
      </c>
    </row>
    <row r="3128" spans="1:15" x14ac:dyDescent="0.3">
      <c r="A3128" s="1">
        <v>44004</v>
      </c>
      <c r="B3128">
        <v>1000000033</v>
      </c>
      <c r="C3128" t="s">
        <v>23</v>
      </c>
      <c r="D3128">
        <v>1</v>
      </c>
      <c r="E3128">
        <v>4000</v>
      </c>
      <c r="F3128" t="s">
        <v>16</v>
      </c>
      <c r="G3128" t="s">
        <v>24</v>
      </c>
      <c r="H3128" t="s">
        <v>18</v>
      </c>
      <c r="I3128" t="s">
        <v>25</v>
      </c>
      <c r="J3128" t="s">
        <v>26</v>
      </c>
      <c r="K3128" t="s">
        <v>27</v>
      </c>
      <c r="L3128" t="s">
        <v>22</v>
      </c>
      <c r="M3128">
        <v>4000</v>
      </c>
      <c r="N3128">
        <v>2020</v>
      </c>
      <c r="O3128">
        <v>6</v>
      </c>
    </row>
    <row r="3129" spans="1:15" x14ac:dyDescent="0.3">
      <c r="A3129" s="1">
        <v>44004</v>
      </c>
      <c r="B3129">
        <v>1000000033</v>
      </c>
      <c r="C3129" t="s">
        <v>15</v>
      </c>
      <c r="D3129">
        <v>1</v>
      </c>
      <c r="E3129">
        <v>5500.07</v>
      </c>
      <c r="F3129" t="s">
        <v>16</v>
      </c>
      <c r="G3129" t="s">
        <v>17</v>
      </c>
      <c r="H3129" t="s">
        <v>18</v>
      </c>
      <c r="I3129" t="s">
        <v>25</v>
      </c>
      <c r="J3129" t="s">
        <v>26</v>
      </c>
      <c r="K3129" t="s">
        <v>27</v>
      </c>
      <c r="L3129" t="s">
        <v>22</v>
      </c>
      <c r="M3129">
        <v>5500.07</v>
      </c>
      <c r="N3129">
        <v>2020</v>
      </c>
      <c r="O3129">
        <v>6</v>
      </c>
    </row>
    <row r="3130" spans="1:15" x14ac:dyDescent="0.3">
      <c r="A3130" s="1">
        <v>44004</v>
      </c>
      <c r="B3130">
        <v>1000000034</v>
      </c>
      <c r="C3130" t="s">
        <v>15</v>
      </c>
      <c r="D3130">
        <v>2</v>
      </c>
      <c r="E3130">
        <v>50000.38</v>
      </c>
      <c r="F3130" t="s">
        <v>16</v>
      </c>
      <c r="G3130" t="s">
        <v>17</v>
      </c>
      <c r="H3130" t="s">
        <v>18</v>
      </c>
      <c r="I3130" t="s">
        <v>25</v>
      </c>
      <c r="J3130" t="s">
        <v>26</v>
      </c>
      <c r="K3130" t="s">
        <v>27</v>
      </c>
      <c r="L3130" t="s">
        <v>22</v>
      </c>
      <c r="M3130">
        <v>25000.19</v>
      </c>
      <c r="N3130">
        <v>2020</v>
      </c>
      <c r="O3130">
        <v>6</v>
      </c>
    </row>
    <row r="3131" spans="1:15" x14ac:dyDescent="0.3">
      <c r="A3131" s="1">
        <v>44004</v>
      </c>
      <c r="B3131">
        <v>1000000035</v>
      </c>
      <c r="C3131" t="s">
        <v>15</v>
      </c>
      <c r="D3131">
        <v>1</v>
      </c>
      <c r="E3131">
        <v>1038.53</v>
      </c>
      <c r="F3131" t="s">
        <v>16</v>
      </c>
      <c r="G3131" t="s">
        <v>17</v>
      </c>
      <c r="H3131" t="s">
        <v>18</v>
      </c>
      <c r="I3131" t="s">
        <v>25</v>
      </c>
      <c r="J3131" t="s">
        <v>36</v>
      </c>
      <c r="K3131" t="s">
        <v>37</v>
      </c>
      <c r="L3131" t="s">
        <v>22</v>
      </c>
      <c r="M3131">
        <v>1038.53</v>
      </c>
      <c r="N3131">
        <v>2020</v>
      </c>
      <c r="O3131">
        <v>6</v>
      </c>
    </row>
    <row r="3132" spans="1:15" x14ac:dyDescent="0.3">
      <c r="A3132" s="1">
        <v>44004</v>
      </c>
      <c r="B3132">
        <v>1000000036</v>
      </c>
      <c r="C3132" t="s">
        <v>23</v>
      </c>
      <c r="D3132">
        <v>2</v>
      </c>
      <c r="E3132">
        <v>14877.98</v>
      </c>
      <c r="F3132" t="s">
        <v>16</v>
      </c>
      <c r="G3132" t="s">
        <v>24</v>
      </c>
      <c r="H3132" t="s">
        <v>47</v>
      </c>
      <c r="I3132" t="s">
        <v>48</v>
      </c>
      <c r="J3132" t="s">
        <v>36</v>
      </c>
      <c r="K3132" t="s">
        <v>49</v>
      </c>
      <c r="L3132" t="s">
        <v>28</v>
      </c>
      <c r="M3132">
        <v>7438.99</v>
      </c>
      <c r="N3132">
        <v>2020</v>
      </c>
      <c r="O3132">
        <v>6</v>
      </c>
    </row>
    <row r="3133" spans="1:15" x14ac:dyDescent="0.3">
      <c r="A3133" s="1">
        <v>44004</v>
      </c>
      <c r="B3133">
        <v>1000000043</v>
      </c>
      <c r="C3133" t="s">
        <v>23</v>
      </c>
      <c r="D3133">
        <v>1</v>
      </c>
      <c r="E3133">
        <v>12000.29</v>
      </c>
      <c r="F3133" t="s">
        <v>16</v>
      </c>
      <c r="G3133" t="s">
        <v>24</v>
      </c>
      <c r="H3133" t="s">
        <v>30</v>
      </c>
      <c r="I3133" t="s">
        <v>38</v>
      </c>
      <c r="J3133" t="s">
        <v>26</v>
      </c>
      <c r="K3133" t="s">
        <v>39</v>
      </c>
      <c r="L3133" t="s">
        <v>22</v>
      </c>
      <c r="M3133">
        <v>12000.29</v>
      </c>
      <c r="N3133">
        <v>2020</v>
      </c>
      <c r="O3133">
        <v>6</v>
      </c>
    </row>
    <row r="3134" spans="1:15" x14ac:dyDescent="0.3">
      <c r="A3134" s="1">
        <v>44004</v>
      </c>
      <c r="B3134">
        <v>1000000043</v>
      </c>
      <c r="C3134" t="s">
        <v>15</v>
      </c>
      <c r="D3134">
        <v>1</v>
      </c>
      <c r="E3134">
        <v>774.21</v>
      </c>
      <c r="F3134" t="s">
        <v>16</v>
      </c>
      <c r="G3134" t="s">
        <v>17</v>
      </c>
      <c r="H3134" t="s">
        <v>30</v>
      </c>
      <c r="I3134" t="s">
        <v>38</v>
      </c>
      <c r="J3134" t="s">
        <v>26</v>
      </c>
      <c r="K3134" t="s">
        <v>39</v>
      </c>
      <c r="L3134" t="s">
        <v>22</v>
      </c>
      <c r="M3134">
        <v>774.21</v>
      </c>
      <c r="N3134">
        <v>2020</v>
      </c>
      <c r="O3134">
        <v>6</v>
      </c>
    </row>
    <row r="3135" spans="1:15" x14ac:dyDescent="0.3">
      <c r="A3135" s="1">
        <v>44004</v>
      </c>
      <c r="B3135">
        <v>1000000044</v>
      </c>
      <c r="C3135" t="s">
        <v>15</v>
      </c>
      <c r="D3135">
        <v>1</v>
      </c>
      <c r="E3135">
        <v>500.22</v>
      </c>
      <c r="F3135" t="s">
        <v>16</v>
      </c>
      <c r="G3135" t="s">
        <v>17</v>
      </c>
      <c r="H3135" t="s">
        <v>30</v>
      </c>
      <c r="I3135" t="s">
        <v>31</v>
      </c>
      <c r="J3135" t="s">
        <v>36</v>
      </c>
      <c r="K3135" t="s">
        <v>52</v>
      </c>
      <c r="L3135" t="s">
        <v>28</v>
      </c>
      <c r="M3135">
        <v>500.22</v>
      </c>
      <c r="N3135">
        <v>2020</v>
      </c>
      <c r="O3135">
        <v>6</v>
      </c>
    </row>
    <row r="3136" spans="1:15" x14ac:dyDescent="0.3">
      <c r="A3136" s="1">
        <v>44004</v>
      </c>
      <c r="B3136">
        <v>1000000045</v>
      </c>
      <c r="C3136" t="s">
        <v>23</v>
      </c>
      <c r="D3136">
        <v>2</v>
      </c>
      <c r="E3136">
        <v>27000.79</v>
      </c>
      <c r="F3136" t="s">
        <v>16</v>
      </c>
      <c r="G3136" t="s">
        <v>24</v>
      </c>
      <c r="H3136" t="s">
        <v>47</v>
      </c>
      <c r="I3136" t="s">
        <v>59</v>
      </c>
      <c r="J3136" t="s">
        <v>26</v>
      </c>
      <c r="K3136" t="s">
        <v>60</v>
      </c>
      <c r="L3136" t="s">
        <v>22</v>
      </c>
      <c r="M3136">
        <v>13500.395</v>
      </c>
      <c r="N3136">
        <v>2020</v>
      </c>
      <c r="O3136">
        <v>6</v>
      </c>
    </row>
    <row r="3137" spans="1:15" x14ac:dyDescent="0.3">
      <c r="A3137" s="1">
        <v>44004</v>
      </c>
      <c r="B3137">
        <v>1000000045</v>
      </c>
      <c r="C3137" t="s">
        <v>15</v>
      </c>
      <c r="D3137">
        <v>1</v>
      </c>
      <c r="E3137">
        <v>9000.2800000000007</v>
      </c>
      <c r="F3137" t="s">
        <v>16</v>
      </c>
      <c r="G3137" t="s">
        <v>17</v>
      </c>
      <c r="H3137" t="s">
        <v>47</v>
      </c>
      <c r="I3137" t="s">
        <v>59</v>
      </c>
      <c r="J3137" t="s">
        <v>26</v>
      </c>
      <c r="K3137" t="s">
        <v>60</v>
      </c>
      <c r="L3137" t="s">
        <v>22</v>
      </c>
      <c r="M3137">
        <v>9000.2800000000007</v>
      </c>
      <c r="N3137">
        <v>2020</v>
      </c>
      <c r="O3137">
        <v>6</v>
      </c>
    </row>
    <row r="3138" spans="1:15" x14ac:dyDescent="0.3">
      <c r="A3138" s="1">
        <v>44004</v>
      </c>
      <c r="B3138">
        <v>1000000046</v>
      </c>
      <c r="C3138" t="s">
        <v>23</v>
      </c>
      <c r="D3138">
        <v>2</v>
      </c>
      <c r="E3138">
        <v>10500.380000000001</v>
      </c>
      <c r="F3138" t="s">
        <v>16</v>
      </c>
      <c r="G3138" t="s">
        <v>24</v>
      </c>
      <c r="H3138" t="s">
        <v>30</v>
      </c>
      <c r="I3138" t="s">
        <v>38</v>
      </c>
      <c r="J3138" t="s">
        <v>26</v>
      </c>
      <c r="K3138" t="s">
        <v>39</v>
      </c>
      <c r="L3138" t="s">
        <v>22</v>
      </c>
      <c r="M3138">
        <v>5250.1900000000005</v>
      </c>
      <c r="N3138">
        <v>2020</v>
      </c>
      <c r="O3138">
        <v>6</v>
      </c>
    </row>
    <row r="3139" spans="1:15" x14ac:dyDescent="0.3">
      <c r="A3139" s="1">
        <v>44004</v>
      </c>
      <c r="B3139">
        <v>1000000049</v>
      </c>
      <c r="C3139" t="s">
        <v>42</v>
      </c>
      <c r="D3139">
        <v>1</v>
      </c>
      <c r="E3139">
        <v>558.51</v>
      </c>
      <c r="F3139" t="s">
        <v>16</v>
      </c>
      <c r="G3139" t="s">
        <v>43</v>
      </c>
      <c r="H3139" t="s">
        <v>18</v>
      </c>
      <c r="I3139" t="s">
        <v>40</v>
      </c>
      <c r="J3139" t="s">
        <v>26</v>
      </c>
      <c r="K3139" t="s">
        <v>41</v>
      </c>
      <c r="L3139" t="s">
        <v>22</v>
      </c>
      <c r="M3139">
        <v>558.51</v>
      </c>
      <c r="N3139">
        <v>2020</v>
      </c>
      <c r="O3139">
        <v>6</v>
      </c>
    </row>
    <row r="3140" spans="1:15" x14ac:dyDescent="0.3">
      <c r="A3140" s="1">
        <v>44004</v>
      </c>
      <c r="B3140">
        <v>1000000051</v>
      </c>
      <c r="C3140" t="s">
        <v>42</v>
      </c>
      <c r="D3140">
        <v>1</v>
      </c>
      <c r="E3140">
        <v>5000.0200000000004</v>
      </c>
      <c r="F3140" t="s">
        <v>16</v>
      </c>
      <c r="G3140" t="s">
        <v>43</v>
      </c>
      <c r="H3140" t="s">
        <v>18</v>
      </c>
      <c r="I3140" t="s">
        <v>34</v>
      </c>
      <c r="J3140" t="s">
        <v>20</v>
      </c>
      <c r="K3140" t="s">
        <v>44</v>
      </c>
      <c r="L3140" t="s">
        <v>22</v>
      </c>
      <c r="M3140">
        <v>5000.0200000000004</v>
      </c>
      <c r="N3140">
        <v>2020</v>
      </c>
      <c r="O3140">
        <v>6</v>
      </c>
    </row>
    <row r="3141" spans="1:15" x14ac:dyDescent="0.3">
      <c r="A3141" s="1">
        <v>44004</v>
      </c>
      <c r="B3141">
        <v>1000000054</v>
      </c>
      <c r="C3141" t="s">
        <v>23</v>
      </c>
      <c r="D3141">
        <v>3</v>
      </c>
      <c r="E3141">
        <v>34000.42</v>
      </c>
      <c r="F3141" t="s">
        <v>16</v>
      </c>
      <c r="G3141" t="s">
        <v>24</v>
      </c>
      <c r="H3141" t="s">
        <v>18</v>
      </c>
      <c r="I3141" t="s">
        <v>34</v>
      </c>
      <c r="J3141" t="s">
        <v>26</v>
      </c>
      <c r="K3141" t="s">
        <v>35</v>
      </c>
      <c r="L3141" t="s">
        <v>22</v>
      </c>
      <c r="M3141">
        <v>11333.473333333333</v>
      </c>
      <c r="N3141">
        <v>2020</v>
      </c>
      <c r="O3141">
        <v>6</v>
      </c>
    </row>
    <row r="3142" spans="1:15" x14ac:dyDescent="0.3">
      <c r="A3142" s="1">
        <v>44004</v>
      </c>
      <c r="B3142">
        <v>1000000056</v>
      </c>
      <c r="C3142" t="s">
        <v>23</v>
      </c>
      <c r="D3142">
        <v>1</v>
      </c>
      <c r="E3142">
        <v>13000.72</v>
      </c>
      <c r="F3142" t="s">
        <v>16</v>
      </c>
      <c r="G3142" t="s">
        <v>24</v>
      </c>
      <c r="H3142" t="s">
        <v>18</v>
      </c>
      <c r="I3142" t="s">
        <v>34</v>
      </c>
      <c r="J3142" t="s">
        <v>26</v>
      </c>
      <c r="K3142" t="s">
        <v>35</v>
      </c>
      <c r="L3142" t="s">
        <v>28</v>
      </c>
      <c r="M3142">
        <v>13000.72</v>
      </c>
      <c r="N3142">
        <v>2020</v>
      </c>
      <c r="O3142">
        <v>6</v>
      </c>
    </row>
    <row r="3143" spans="1:15" x14ac:dyDescent="0.3">
      <c r="A3143" s="1">
        <v>44004</v>
      </c>
      <c r="B3143">
        <v>1000000056</v>
      </c>
      <c r="C3143" t="s">
        <v>15</v>
      </c>
      <c r="D3143">
        <v>2</v>
      </c>
      <c r="E3143">
        <v>22001.32</v>
      </c>
      <c r="F3143" t="s">
        <v>16</v>
      </c>
      <c r="G3143" t="s">
        <v>17</v>
      </c>
      <c r="H3143" t="s">
        <v>18</v>
      </c>
      <c r="I3143" t="s">
        <v>34</v>
      </c>
      <c r="J3143" t="s">
        <v>26</v>
      </c>
      <c r="K3143" t="s">
        <v>35</v>
      </c>
      <c r="L3143" t="s">
        <v>28</v>
      </c>
      <c r="M3143">
        <v>11000.66</v>
      </c>
      <c r="N3143">
        <v>2020</v>
      </c>
      <c r="O3143">
        <v>6</v>
      </c>
    </row>
    <row r="3144" spans="1:15" x14ac:dyDescent="0.3">
      <c r="A3144" s="1">
        <v>44004</v>
      </c>
      <c r="B3144">
        <v>1000000067</v>
      </c>
      <c r="C3144" t="s">
        <v>23</v>
      </c>
      <c r="D3144">
        <v>2</v>
      </c>
      <c r="E3144">
        <v>18847.580000000002</v>
      </c>
      <c r="F3144" t="s">
        <v>16</v>
      </c>
      <c r="G3144" t="s">
        <v>24</v>
      </c>
      <c r="H3144" t="s">
        <v>18</v>
      </c>
      <c r="I3144" t="s">
        <v>25</v>
      </c>
      <c r="J3144" t="s">
        <v>20</v>
      </c>
      <c r="K3144" t="s">
        <v>51</v>
      </c>
      <c r="L3144" t="s">
        <v>22</v>
      </c>
      <c r="M3144">
        <v>9423.7900000000009</v>
      </c>
      <c r="N3144">
        <v>2020</v>
      </c>
      <c r="O3144">
        <v>6</v>
      </c>
    </row>
    <row r="3145" spans="1:15" x14ac:dyDescent="0.3">
      <c r="A3145" s="1">
        <v>44004</v>
      </c>
      <c r="B3145">
        <v>1000000067</v>
      </c>
      <c r="C3145" t="s">
        <v>15</v>
      </c>
      <c r="D3145">
        <v>1</v>
      </c>
      <c r="E3145">
        <v>16000.72</v>
      </c>
      <c r="F3145" t="s">
        <v>16</v>
      </c>
      <c r="G3145" t="s">
        <v>17</v>
      </c>
      <c r="H3145" t="s">
        <v>18</v>
      </c>
      <c r="I3145" t="s">
        <v>25</v>
      </c>
      <c r="J3145" t="s">
        <v>20</v>
      </c>
      <c r="K3145" t="s">
        <v>51</v>
      </c>
      <c r="L3145" t="s">
        <v>22</v>
      </c>
      <c r="M3145">
        <v>16000.72</v>
      </c>
      <c r="N3145">
        <v>2020</v>
      </c>
      <c r="O3145">
        <v>6</v>
      </c>
    </row>
    <row r="3146" spans="1:15" x14ac:dyDescent="0.3">
      <c r="A3146" s="1">
        <v>44004</v>
      </c>
      <c r="B3146">
        <v>1000000068</v>
      </c>
      <c r="C3146" t="s">
        <v>15</v>
      </c>
      <c r="D3146">
        <v>1</v>
      </c>
      <c r="E3146">
        <v>1113.18</v>
      </c>
      <c r="F3146" t="s">
        <v>16</v>
      </c>
      <c r="G3146" t="s">
        <v>17</v>
      </c>
      <c r="H3146" t="s">
        <v>30</v>
      </c>
      <c r="I3146" t="s">
        <v>55</v>
      </c>
      <c r="J3146" t="s">
        <v>26</v>
      </c>
      <c r="K3146" t="s">
        <v>56</v>
      </c>
      <c r="L3146" t="s">
        <v>28</v>
      </c>
      <c r="M3146">
        <v>1113.18</v>
      </c>
      <c r="N3146">
        <v>2020</v>
      </c>
      <c r="O3146">
        <v>6</v>
      </c>
    </row>
    <row r="3147" spans="1:15" x14ac:dyDescent="0.3">
      <c r="A3147" s="1">
        <v>44004</v>
      </c>
      <c r="B3147">
        <v>1000000237</v>
      </c>
      <c r="C3147" t="s">
        <v>42</v>
      </c>
      <c r="D3147">
        <v>1</v>
      </c>
      <c r="E3147">
        <v>14000.77</v>
      </c>
      <c r="F3147" t="s">
        <v>16</v>
      </c>
      <c r="G3147" t="s">
        <v>43</v>
      </c>
      <c r="H3147" t="s">
        <v>18</v>
      </c>
      <c r="I3147" t="s">
        <v>40</v>
      </c>
      <c r="J3147" t="s">
        <v>26</v>
      </c>
      <c r="K3147" t="s">
        <v>41</v>
      </c>
      <c r="L3147" t="s">
        <v>22</v>
      </c>
      <c r="M3147">
        <v>14000.77</v>
      </c>
      <c r="N3147">
        <v>2020</v>
      </c>
      <c r="O3147">
        <v>6</v>
      </c>
    </row>
    <row r="3148" spans="1:15" x14ac:dyDescent="0.3">
      <c r="A3148" s="1">
        <v>44004</v>
      </c>
      <c r="B3148">
        <v>1000000566</v>
      </c>
      <c r="C3148" t="s">
        <v>23</v>
      </c>
      <c r="D3148">
        <v>2</v>
      </c>
      <c r="E3148">
        <v>22500.47</v>
      </c>
      <c r="F3148" t="s">
        <v>16</v>
      </c>
      <c r="G3148" t="s">
        <v>24</v>
      </c>
      <c r="H3148" t="s">
        <v>47</v>
      </c>
      <c r="I3148" t="s">
        <v>48</v>
      </c>
      <c r="J3148" t="s">
        <v>36</v>
      </c>
      <c r="K3148" t="s">
        <v>49</v>
      </c>
      <c r="L3148" t="s">
        <v>22</v>
      </c>
      <c r="M3148">
        <v>11250.235000000001</v>
      </c>
      <c r="N3148">
        <v>2020</v>
      </c>
      <c r="O3148">
        <v>6</v>
      </c>
    </row>
    <row r="3149" spans="1:15" x14ac:dyDescent="0.3">
      <c r="A3149" s="1">
        <v>44004</v>
      </c>
      <c r="B3149">
        <v>1000000576</v>
      </c>
      <c r="C3149" t="s">
        <v>42</v>
      </c>
      <c r="D3149">
        <v>1</v>
      </c>
      <c r="E3149">
        <v>782.26</v>
      </c>
      <c r="F3149" t="s">
        <v>16</v>
      </c>
      <c r="G3149" t="s">
        <v>43</v>
      </c>
      <c r="H3149" t="s">
        <v>18</v>
      </c>
      <c r="I3149" t="s">
        <v>25</v>
      </c>
      <c r="J3149" t="s">
        <v>36</v>
      </c>
      <c r="K3149" t="s">
        <v>37</v>
      </c>
      <c r="L3149" t="s">
        <v>22</v>
      </c>
      <c r="M3149">
        <v>782.26</v>
      </c>
      <c r="N3149">
        <v>2020</v>
      </c>
      <c r="O3149">
        <v>6</v>
      </c>
    </row>
    <row r="3150" spans="1:15" x14ac:dyDescent="0.3">
      <c r="A3150" s="1">
        <v>44004</v>
      </c>
      <c r="B3150">
        <v>1000000594</v>
      </c>
      <c r="C3150" t="s">
        <v>15</v>
      </c>
      <c r="D3150">
        <v>2</v>
      </c>
      <c r="E3150">
        <v>32000.59</v>
      </c>
      <c r="F3150" t="s">
        <v>16</v>
      </c>
      <c r="G3150" t="s">
        <v>17</v>
      </c>
      <c r="H3150" t="s">
        <v>18</v>
      </c>
      <c r="I3150" t="s">
        <v>25</v>
      </c>
      <c r="J3150" t="s">
        <v>20</v>
      </c>
      <c r="K3150" t="s">
        <v>51</v>
      </c>
      <c r="L3150" t="s">
        <v>22</v>
      </c>
      <c r="M3150">
        <v>16000.295</v>
      </c>
      <c r="N3150">
        <v>2020</v>
      </c>
      <c r="O3150">
        <v>6</v>
      </c>
    </row>
    <row r="3151" spans="1:15" x14ac:dyDescent="0.3">
      <c r="A3151" s="1">
        <v>44004</v>
      </c>
      <c r="B3151">
        <v>1000001524</v>
      </c>
      <c r="C3151" t="s">
        <v>15</v>
      </c>
      <c r="D3151">
        <v>1</v>
      </c>
      <c r="E3151">
        <v>15000.34</v>
      </c>
      <c r="F3151" t="s">
        <v>16</v>
      </c>
      <c r="G3151" t="s">
        <v>17</v>
      </c>
      <c r="H3151" t="s">
        <v>18</v>
      </c>
      <c r="I3151" t="s">
        <v>25</v>
      </c>
      <c r="J3151" t="s">
        <v>20</v>
      </c>
      <c r="K3151" t="s">
        <v>51</v>
      </c>
      <c r="L3151" t="s">
        <v>22</v>
      </c>
      <c r="M3151">
        <v>15000.34</v>
      </c>
      <c r="N3151">
        <v>2020</v>
      </c>
      <c r="O3151">
        <v>6</v>
      </c>
    </row>
    <row r="3152" spans="1:15" x14ac:dyDescent="0.3">
      <c r="A3152" s="1">
        <v>44004</v>
      </c>
      <c r="B3152">
        <v>1000003489</v>
      </c>
      <c r="C3152" t="s">
        <v>23</v>
      </c>
      <c r="D3152">
        <v>1</v>
      </c>
      <c r="E3152">
        <v>18000.28</v>
      </c>
      <c r="F3152" t="s">
        <v>16</v>
      </c>
      <c r="G3152" t="s">
        <v>24</v>
      </c>
      <c r="H3152" t="s">
        <v>47</v>
      </c>
      <c r="I3152" t="s">
        <v>48</v>
      </c>
      <c r="J3152" t="s">
        <v>26</v>
      </c>
      <c r="K3152" t="s">
        <v>50</v>
      </c>
      <c r="L3152" t="s">
        <v>22</v>
      </c>
      <c r="M3152">
        <v>18000.28</v>
      </c>
      <c r="N3152">
        <v>2020</v>
      </c>
      <c r="O3152">
        <v>6</v>
      </c>
    </row>
    <row r="3153" spans="1:15" x14ac:dyDescent="0.3">
      <c r="A3153" s="1">
        <v>44004</v>
      </c>
      <c r="B3153">
        <v>1000003803</v>
      </c>
      <c r="C3153" t="s">
        <v>23</v>
      </c>
      <c r="D3153">
        <v>1</v>
      </c>
      <c r="E3153">
        <v>1657.69</v>
      </c>
      <c r="F3153" t="s">
        <v>16</v>
      </c>
      <c r="G3153" t="s">
        <v>24</v>
      </c>
      <c r="H3153" t="s">
        <v>30</v>
      </c>
      <c r="I3153" t="s">
        <v>31</v>
      </c>
      <c r="J3153" t="s">
        <v>36</v>
      </c>
      <c r="K3153" t="s">
        <v>52</v>
      </c>
      <c r="L3153" t="s">
        <v>22</v>
      </c>
      <c r="M3153">
        <v>1657.69</v>
      </c>
      <c r="N3153">
        <v>2020</v>
      </c>
      <c r="O3153">
        <v>6</v>
      </c>
    </row>
    <row r="3154" spans="1:15" x14ac:dyDescent="0.3">
      <c r="A3154" s="1">
        <v>44004</v>
      </c>
      <c r="B3154">
        <v>1000003926</v>
      </c>
      <c r="C3154" t="s">
        <v>23</v>
      </c>
      <c r="D3154">
        <v>5</v>
      </c>
      <c r="E3154">
        <v>42015.19</v>
      </c>
      <c r="F3154" t="s">
        <v>16</v>
      </c>
      <c r="G3154" t="s">
        <v>24</v>
      </c>
      <c r="H3154" t="s">
        <v>47</v>
      </c>
      <c r="I3154" t="s">
        <v>48</v>
      </c>
      <c r="J3154" t="s">
        <v>26</v>
      </c>
      <c r="K3154" t="s">
        <v>50</v>
      </c>
      <c r="L3154" t="s">
        <v>28</v>
      </c>
      <c r="M3154">
        <v>8403.0380000000005</v>
      </c>
      <c r="N3154">
        <v>2020</v>
      </c>
      <c r="O3154">
        <v>6</v>
      </c>
    </row>
    <row r="3155" spans="1:15" x14ac:dyDescent="0.3">
      <c r="A3155" s="1">
        <v>44004</v>
      </c>
      <c r="B3155">
        <v>1000003926</v>
      </c>
      <c r="C3155" t="s">
        <v>15</v>
      </c>
      <c r="D3155">
        <v>1</v>
      </c>
      <c r="E3155">
        <v>10000.56</v>
      </c>
      <c r="F3155" t="s">
        <v>16</v>
      </c>
      <c r="G3155" t="s">
        <v>17</v>
      </c>
      <c r="H3155" t="s">
        <v>47</v>
      </c>
      <c r="I3155" t="s">
        <v>48</v>
      </c>
      <c r="J3155" t="s">
        <v>26</v>
      </c>
      <c r="K3155" t="s">
        <v>50</v>
      </c>
      <c r="L3155" t="s">
        <v>28</v>
      </c>
      <c r="M3155">
        <v>10000.56</v>
      </c>
      <c r="N3155">
        <v>2020</v>
      </c>
      <c r="O3155">
        <v>6</v>
      </c>
    </row>
    <row r="3156" spans="1:15" x14ac:dyDescent="0.3">
      <c r="A3156" s="1">
        <v>44004</v>
      </c>
      <c r="B3156">
        <v>1000003989</v>
      </c>
      <c r="C3156" t="s">
        <v>23</v>
      </c>
      <c r="D3156">
        <v>1</v>
      </c>
      <c r="E3156">
        <v>7000.62</v>
      </c>
      <c r="F3156" t="s">
        <v>16</v>
      </c>
      <c r="G3156" t="s">
        <v>24</v>
      </c>
      <c r="H3156" t="s">
        <v>30</v>
      </c>
      <c r="I3156" t="s">
        <v>31</v>
      </c>
      <c r="J3156" t="s">
        <v>36</v>
      </c>
      <c r="K3156" t="s">
        <v>52</v>
      </c>
      <c r="L3156" t="s">
        <v>22</v>
      </c>
      <c r="M3156">
        <v>7000.62</v>
      </c>
      <c r="N3156">
        <v>2020</v>
      </c>
      <c r="O3156">
        <v>6</v>
      </c>
    </row>
    <row r="3157" spans="1:15" x14ac:dyDescent="0.3">
      <c r="A3157" s="1">
        <v>44004</v>
      </c>
      <c r="B3157">
        <v>1000004170</v>
      </c>
      <c r="C3157" t="s">
        <v>23</v>
      </c>
      <c r="D3157">
        <v>3</v>
      </c>
      <c r="E3157">
        <v>40000.97</v>
      </c>
      <c r="F3157" t="s">
        <v>16</v>
      </c>
      <c r="G3157" t="s">
        <v>24</v>
      </c>
      <c r="H3157" t="s">
        <v>18</v>
      </c>
      <c r="I3157" t="s">
        <v>34</v>
      </c>
      <c r="J3157" t="s">
        <v>20</v>
      </c>
      <c r="K3157" t="s">
        <v>44</v>
      </c>
      <c r="L3157" t="s">
        <v>28</v>
      </c>
      <c r="M3157">
        <v>13333.656666666668</v>
      </c>
      <c r="N3157">
        <v>2020</v>
      </c>
      <c r="O3157">
        <v>6</v>
      </c>
    </row>
    <row r="3158" spans="1:15" x14ac:dyDescent="0.3">
      <c r="A3158" s="1">
        <v>44004</v>
      </c>
      <c r="B3158">
        <v>1000004256</v>
      </c>
      <c r="C3158" t="s">
        <v>23</v>
      </c>
      <c r="D3158">
        <v>1</v>
      </c>
      <c r="E3158">
        <v>1034.08</v>
      </c>
      <c r="F3158" t="s">
        <v>16</v>
      </c>
      <c r="G3158" t="s">
        <v>24</v>
      </c>
      <c r="H3158" t="s">
        <v>18</v>
      </c>
      <c r="I3158" t="s">
        <v>40</v>
      </c>
      <c r="J3158" t="s">
        <v>26</v>
      </c>
      <c r="K3158" t="s">
        <v>41</v>
      </c>
      <c r="L3158" t="s">
        <v>22</v>
      </c>
      <c r="M3158">
        <v>1034.08</v>
      </c>
      <c r="N3158">
        <v>2020</v>
      </c>
      <c r="O3158">
        <v>6</v>
      </c>
    </row>
    <row r="3159" spans="1:15" x14ac:dyDescent="0.3">
      <c r="A3159" s="1">
        <v>44004</v>
      </c>
      <c r="B3159">
        <v>1000004256</v>
      </c>
      <c r="C3159" t="s">
        <v>42</v>
      </c>
      <c r="D3159">
        <v>2</v>
      </c>
      <c r="E3159">
        <v>17000.46</v>
      </c>
      <c r="F3159" t="s">
        <v>16</v>
      </c>
      <c r="G3159" t="s">
        <v>43</v>
      </c>
      <c r="H3159" t="s">
        <v>18</v>
      </c>
      <c r="I3159" t="s">
        <v>40</v>
      </c>
      <c r="J3159" t="s">
        <v>26</v>
      </c>
      <c r="K3159" t="s">
        <v>41</v>
      </c>
      <c r="L3159" t="s">
        <v>22</v>
      </c>
      <c r="M3159">
        <v>8500.23</v>
      </c>
      <c r="N3159">
        <v>2020</v>
      </c>
      <c r="O3159">
        <v>6</v>
      </c>
    </row>
    <row r="3160" spans="1:15" x14ac:dyDescent="0.3">
      <c r="A3160" s="1">
        <v>44004</v>
      </c>
      <c r="B3160">
        <v>1000005873</v>
      </c>
      <c r="C3160" t="s">
        <v>23</v>
      </c>
      <c r="D3160">
        <v>1</v>
      </c>
      <c r="E3160">
        <v>14000.06</v>
      </c>
      <c r="F3160" t="s">
        <v>16</v>
      </c>
      <c r="G3160" t="s">
        <v>24</v>
      </c>
      <c r="H3160" t="s">
        <v>18</v>
      </c>
      <c r="I3160" t="s">
        <v>19</v>
      </c>
      <c r="J3160" t="s">
        <v>20</v>
      </c>
      <c r="K3160" t="s">
        <v>21</v>
      </c>
      <c r="L3160" t="s">
        <v>28</v>
      </c>
      <c r="M3160">
        <v>14000.06</v>
      </c>
      <c r="N3160">
        <v>2020</v>
      </c>
      <c r="O3160">
        <v>6</v>
      </c>
    </row>
    <row r="3161" spans="1:15" x14ac:dyDescent="0.3">
      <c r="A3161" s="1">
        <v>44004</v>
      </c>
      <c r="B3161">
        <v>1000005873</v>
      </c>
      <c r="C3161" t="s">
        <v>15</v>
      </c>
      <c r="D3161">
        <v>2</v>
      </c>
      <c r="E3161">
        <v>21600.54</v>
      </c>
      <c r="F3161" t="s">
        <v>16</v>
      </c>
      <c r="G3161" t="s">
        <v>17</v>
      </c>
      <c r="H3161" t="s">
        <v>18</v>
      </c>
      <c r="I3161" t="s">
        <v>19</v>
      </c>
      <c r="J3161" t="s">
        <v>20</v>
      </c>
      <c r="K3161" t="s">
        <v>21</v>
      </c>
      <c r="L3161" t="s">
        <v>28</v>
      </c>
      <c r="M3161">
        <v>10800.27</v>
      </c>
      <c r="N3161">
        <v>2020</v>
      </c>
      <c r="O3161">
        <v>6</v>
      </c>
    </row>
    <row r="3162" spans="1:15" x14ac:dyDescent="0.3">
      <c r="A3162" s="1">
        <v>44004</v>
      </c>
      <c r="B3162">
        <v>1000006698</v>
      </c>
      <c r="C3162" t="s">
        <v>15</v>
      </c>
      <c r="D3162">
        <v>1</v>
      </c>
      <c r="E3162">
        <v>11999.97</v>
      </c>
      <c r="F3162" t="s">
        <v>16</v>
      </c>
      <c r="G3162" t="s">
        <v>17</v>
      </c>
      <c r="H3162" t="s">
        <v>30</v>
      </c>
      <c r="I3162" t="s">
        <v>38</v>
      </c>
      <c r="J3162" t="s">
        <v>26</v>
      </c>
      <c r="K3162" t="s">
        <v>39</v>
      </c>
      <c r="L3162" t="s">
        <v>28</v>
      </c>
      <c r="M3162">
        <v>11999.97</v>
      </c>
      <c r="N3162">
        <v>2020</v>
      </c>
      <c r="O3162">
        <v>6</v>
      </c>
    </row>
    <row r="3163" spans="1:15" x14ac:dyDescent="0.3">
      <c r="A3163" s="1">
        <v>44004</v>
      </c>
      <c r="B3163">
        <v>1000007320</v>
      </c>
      <c r="C3163" t="s">
        <v>15</v>
      </c>
      <c r="D3163">
        <v>1</v>
      </c>
      <c r="E3163">
        <v>25000.09</v>
      </c>
      <c r="F3163" t="s">
        <v>16</v>
      </c>
      <c r="G3163" t="s">
        <v>17</v>
      </c>
      <c r="H3163" t="s">
        <v>18</v>
      </c>
      <c r="I3163" t="s">
        <v>34</v>
      </c>
      <c r="J3163" t="s">
        <v>26</v>
      </c>
      <c r="K3163" t="s">
        <v>35</v>
      </c>
      <c r="L3163" t="s">
        <v>22</v>
      </c>
      <c r="M3163">
        <v>25000.09</v>
      </c>
      <c r="N3163">
        <v>2020</v>
      </c>
      <c r="O3163">
        <v>6</v>
      </c>
    </row>
    <row r="3164" spans="1:15" x14ac:dyDescent="0.3">
      <c r="A3164" s="1">
        <v>44004</v>
      </c>
      <c r="B3164">
        <v>1000008228</v>
      </c>
      <c r="C3164" t="s">
        <v>23</v>
      </c>
      <c r="D3164">
        <v>1</v>
      </c>
      <c r="E3164">
        <v>8000.48</v>
      </c>
      <c r="F3164" t="s">
        <v>16</v>
      </c>
      <c r="G3164" t="s">
        <v>24</v>
      </c>
      <c r="H3164" t="s">
        <v>30</v>
      </c>
      <c r="I3164" t="s">
        <v>31</v>
      </c>
      <c r="J3164" t="s">
        <v>36</v>
      </c>
      <c r="K3164" t="s">
        <v>52</v>
      </c>
      <c r="L3164" t="s">
        <v>22</v>
      </c>
      <c r="M3164">
        <v>8000.48</v>
      </c>
      <c r="N3164">
        <v>2020</v>
      </c>
      <c r="O3164">
        <v>6</v>
      </c>
    </row>
    <row r="3165" spans="1:15" x14ac:dyDescent="0.3">
      <c r="A3165" s="1">
        <v>44004</v>
      </c>
      <c r="B3165">
        <v>1000008542</v>
      </c>
      <c r="C3165" t="s">
        <v>42</v>
      </c>
      <c r="D3165">
        <v>1</v>
      </c>
      <c r="E3165">
        <v>8000.09</v>
      </c>
      <c r="F3165" t="s">
        <v>16</v>
      </c>
      <c r="G3165" t="s">
        <v>43</v>
      </c>
      <c r="H3165" t="s">
        <v>18</v>
      </c>
      <c r="I3165" t="s">
        <v>40</v>
      </c>
      <c r="J3165" t="s">
        <v>26</v>
      </c>
      <c r="K3165" t="s">
        <v>41</v>
      </c>
      <c r="L3165" t="s">
        <v>22</v>
      </c>
      <c r="M3165">
        <v>8000.09</v>
      </c>
      <c r="N3165">
        <v>2020</v>
      </c>
      <c r="O3165">
        <v>6</v>
      </c>
    </row>
    <row r="3166" spans="1:15" x14ac:dyDescent="0.3">
      <c r="A3166" s="1">
        <v>44004</v>
      </c>
      <c r="B3166">
        <v>1000008957</v>
      </c>
      <c r="C3166" t="s">
        <v>23</v>
      </c>
      <c r="D3166">
        <v>1</v>
      </c>
      <c r="E3166">
        <v>3000.15</v>
      </c>
      <c r="F3166" t="s">
        <v>16</v>
      </c>
      <c r="G3166" t="s">
        <v>24</v>
      </c>
      <c r="H3166" t="s">
        <v>18</v>
      </c>
      <c r="I3166" t="s">
        <v>34</v>
      </c>
      <c r="J3166" t="s">
        <v>20</v>
      </c>
      <c r="K3166" t="s">
        <v>44</v>
      </c>
      <c r="L3166" t="s">
        <v>22</v>
      </c>
      <c r="M3166">
        <v>3000.15</v>
      </c>
      <c r="N3166">
        <v>2020</v>
      </c>
      <c r="O3166">
        <v>6</v>
      </c>
    </row>
    <row r="3167" spans="1:15" x14ac:dyDescent="0.3">
      <c r="A3167" s="1">
        <v>44004</v>
      </c>
      <c r="B3167">
        <v>1000010814</v>
      </c>
      <c r="C3167" t="s">
        <v>42</v>
      </c>
      <c r="D3167">
        <v>1</v>
      </c>
      <c r="E3167">
        <v>13000.39</v>
      </c>
      <c r="F3167" t="s">
        <v>16</v>
      </c>
      <c r="G3167" t="s">
        <v>43</v>
      </c>
      <c r="H3167" t="s">
        <v>18</v>
      </c>
      <c r="I3167" t="s">
        <v>61</v>
      </c>
      <c r="J3167" t="s">
        <v>32</v>
      </c>
      <c r="K3167" t="s">
        <v>63</v>
      </c>
      <c r="L3167" t="s">
        <v>22</v>
      </c>
      <c r="M3167">
        <v>13000.39</v>
      </c>
      <c r="N3167">
        <v>2020</v>
      </c>
      <c r="O3167">
        <v>6</v>
      </c>
    </row>
    <row r="3168" spans="1:15" x14ac:dyDescent="0.3">
      <c r="A3168" s="1">
        <v>44004</v>
      </c>
      <c r="B3168">
        <v>1000010881</v>
      </c>
      <c r="C3168" t="s">
        <v>23</v>
      </c>
      <c r="D3168">
        <v>1</v>
      </c>
      <c r="E3168">
        <v>5500.71</v>
      </c>
      <c r="F3168" t="s">
        <v>16</v>
      </c>
      <c r="G3168" t="s">
        <v>24</v>
      </c>
      <c r="H3168" t="s">
        <v>47</v>
      </c>
      <c r="I3168" t="s">
        <v>48</v>
      </c>
      <c r="J3168" t="s">
        <v>26</v>
      </c>
      <c r="K3168" t="s">
        <v>50</v>
      </c>
      <c r="L3168" t="s">
        <v>22</v>
      </c>
      <c r="M3168">
        <v>5500.71</v>
      </c>
      <c r="N3168">
        <v>2020</v>
      </c>
      <c r="O3168">
        <v>6</v>
      </c>
    </row>
    <row r="3169" spans="1:15" x14ac:dyDescent="0.3">
      <c r="A3169" s="1">
        <v>44004</v>
      </c>
      <c r="B3169">
        <v>1000011538</v>
      </c>
      <c r="C3169" t="s">
        <v>15</v>
      </c>
      <c r="D3169">
        <v>1</v>
      </c>
      <c r="E3169">
        <v>16000.15</v>
      </c>
      <c r="F3169" t="s">
        <v>16</v>
      </c>
      <c r="G3169" t="s">
        <v>17</v>
      </c>
      <c r="H3169" t="s">
        <v>18</v>
      </c>
      <c r="I3169" t="s">
        <v>40</v>
      </c>
      <c r="J3169" t="s">
        <v>20</v>
      </c>
      <c r="K3169" t="s">
        <v>68</v>
      </c>
      <c r="L3169" t="s">
        <v>22</v>
      </c>
      <c r="M3169">
        <v>16000.15</v>
      </c>
      <c r="N3169">
        <v>2020</v>
      </c>
      <c r="O3169">
        <v>6</v>
      </c>
    </row>
    <row r="3170" spans="1:15" x14ac:dyDescent="0.3">
      <c r="A3170" s="1">
        <v>44004</v>
      </c>
      <c r="B3170">
        <v>1000011697</v>
      </c>
      <c r="C3170" t="s">
        <v>23</v>
      </c>
      <c r="D3170">
        <v>2</v>
      </c>
      <c r="E3170">
        <v>20000.760000000002</v>
      </c>
      <c r="F3170" t="s">
        <v>16</v>
      </c>
      <c r="G3170" t="s">
        <v>24</v>
      </c>
      <c r="H3170" t="s">
        <v>18</v>
      </c>
      <c r="I3170" t="s">
        <v>34</v>
      </c>
      <c r="J3170" t="s">
        <v>20</v>
      </c>
      <c r="K3170" t="s">
        <v>44</v>
      </c>
      <c r="L3170" t="s">
        <v>22</v>
      </c>
      <c r="M3170">
        <v>10000.380000000001</v>
      </c>
      <c r="N3170">
        <v>2020</v>
      </c>
      <c r="O3170">
        <v>6</v>
      </c>
    </row>
    <row r="3171" spans="1:15" x14ac:dyDescent="0.3">
      <c r="A3171" s="1">
        <v>44004</v>
      </c>
      <c r="B3171">
        <v>1000011828</v>
      </c>
      <c r="C3171" t="s">
        <v>23</v>
      </c>
      <c r="D3171">
        <v>1</v>
      </c>
      <c r="E3171">
        <v>5000.04</v>
      </c>
      <c r="F3171" t="s">
        <v>16</v>
      </c>
      <c r="G3171" t="s">
        <v>24</v>
      </c>
      <c r="H3171" t="s">
        <v>18</v>
      </c>
      <c r="I3171" t="s">
        <v>19</v>
      </c>
      <c r="J3171" t="s">
        <v>20</v>
      </c>
      <c r="K3171" t="s">
        <v>21</v>
      </c>
      <c r="L3171" t="s">
        <v>22</v>
      </c>
      <c r="M3171">
        <v>5000.04</v>
      </c>
      <c r="N3171">
        <v>2020</v>
      </c>
      <c r="O3171">
        <v>6</v>
      </c>
    </row>
    <row r="3172" spans="1:15" x14ac:dyDescent="0.3">
      <c r="A3172" s="1">
        <v>44004</v>
      </c>
      <c r="B3172">
        <v>1000012096</v>
      </c>
      <c r="C3172" t="s">
        <v>23</v>
      </c>
      <c r="D3172">
        <v>1</v>
      </c>
      <c r="E3172">
        <v>6500.07</v>
      </c>
      <c r="F3172" t="s">
        <v>16</v>
      </c>
      <c r="G3172" t="s">
        <v>24</v>
      </c>
      <c r="H3172" t="s">
        <v>18</v>
      </c>
      <c r="I3172" t="s">
        <v>19</v>
      </c>
      <c r="J3172" t="s">
        <v>26</v>
      </c>
      <c r="K3172" t="s">
        <v>29</v>
      </c>
      <c r="L3172" t="s">
        <v>22</v>
      </c>
      <c r="M3172">
        <v>6500.07</v>
      </c>
      <c r="N3172">
        <v>2020</v>
      </c>
      <c r="O3172">
        <v>6</v>
      </c>
    </row>
    <row r="3173" spans="1:15" x14ac:dyDescent="0.3">
      <c r="A3173" s="1">
        <v>44004</v>
      </c>
      <c r="B3173">
        <v>1000012096</v>
      </c>
      <c r="C3173" t="s">
        <v>15</v>
      </c>
      <c r="D3173">
        <v>1</v>
      </c>
      <c r="E3173">
        <v>5000.67</v>
      </c>
      <c r="F3173" t="s">
        <v>16</v>
      </c>
      <c r="G3173" t="s">
        <v>17</v>
      </c>
      <c r="H3173" t="s">
        <v>18</v>
      </c>
      <c r="I3173" t="s">
        <v>19</v>
      </c>
      <c r="J3173" t="s">
        <v>26</v>
      </c>
      <c r="K3173" t="s">
        <v>29</v>
      </c>
      <c r="L3173" t="s">
        <v>22</v>
      </c>
      <c r="M3173">
        <v>5000.67</v>
      </c>
      <c r="N3173">
        <v>2020</v>
      </c>
      <c r="O3173">
        <v>6</v>
      </c>
    </row>
    <row r="3174" spans="1:15" x14ac:dyDescent="0.3">
      <c r="A3174" s="1">
        <v>44004</v>
      </c>
      <c r="B3174">
        <v>1000012096</v>
      </c>
      <c r="C3174" t="s">
        <v>42</v>
      </c>
      <c r="D3174">
        <v>1</v>
      </c>
      <c r="E3174">
        <v>13000.77</v>
      </c>
      <c r="F3174" t="s">
        <v>16</v>
      </c>
      <c r="G3174" t="s">
        <v>43</v>
      </c>
      <c r="H3174" t="s">
        <v>18</v>
      </c>
      <c r="I3174" t="s">
        <v>19</v>
      </c>
      <c r="J3174" t="s">
        <v>26</v>
      </c>
      <c r="K3174" t="s">
        <v>29</v>
      </c>
      <c r="L3174" t="s">
        <v>22</v>
      </c>
      <c r="M3174">
        <v>13000.77</v>
      </c>
      <c r="N3174">
        <v>2020</v>
      </c>
      <c r="O3174">
        <v>6</v>
      </c>
    </row>
    <row r="3175" spans="1:15" x14ac:dyDescent="0.3">
      <c r="A3175" s="1">
        <v>44004</v>
      </c>
      <c r="B3175">
        <v>1000012099</v>
      </c>
      <c r="C3175" t="s">
        <v>23</v>
      </c>
      <c r="D3175">
        <v>2</v>
      </c>
      <c r="E3175">
        <v>45000.69</v>
      </c>
      <c r="F3175" t="s">
        <v>16</v>
      </c>
      <c r="G3175" t="s">
        <v>24</v>
      </c>
      <c r="H3175" t="s">
        <v>18</v>
      </c>
      <c r="I3175" t="s">
        <v>19</v>
      </c>
      <c r="J3175" t="s">
        <v>20</v>
      </c>
      <c r="K3175" t="s">
        <v>21</v>
      </c>
      <c r="L3175" t="s">
        <v>22</v>
      </c>
      <c r="M3175">
        <v>22500.345000000001</v>
      </c>
      <c r="N3175">
        <v>2020</v>
      </c>
      <c r="O3175">
        <v>6</v>
      </c>
    </row>
    <row r="3176" spans="1:15" x14ac:dyDescent="0.3">
      <c r="A3176" s="1">
        <v>44004</v>
      </c>
      <c r="B3176">
        <v>1000012099</v>
      </c>
      <c r="C3176" t="s">
        <v>15</v>
      </c>
      <c r="D3176">
        <v>2</v>
      </c>
      <c r="E3176">
        <v>49000.44</v>
      </c>
      <c r="F3176" t="s">
        <v>16</v>
      </c>
      <c r="G3176" t="s">
        <v>17</v>
      </c>
      <c r="H3176" t="s">
        <v>18</v>
      </c>
      <c r="I3176" t="s">
        <v>19</v>
      </c>
      <c r="J3176" t="s">
        <v>20</v>
      </c>
      <c r="K3176" t="s">
        <v>21</v>
      </c>
      <c r="L3176" t="s">
        <v>22</v>
      </c>
      <c r="M3176">
        <v>24500.22</v>
      </c>
      <c r="N3176">
        <v>2020</v>
      </c>
      <c r="O3176">
        <v>6</v>
      </c>
    </row>
    <row r="3177" spans="1:15" x14ac:dyDescent="0.3">
      <c r="A3177" s="1">
        <v>44004</v>
      </c>
      <c r="B3177">
        <v>1000012112</v>
      </c>
      <c r="C3177" t="s">
        <v>23</v>
      </c>
      <c r="D3177">
        <v>1</v>
      </c>
      <c r="E3177">
        <v>7500.51</v>
      </c>
      <c r="F3177" t="s">
        <v>16</v>
      </c>
      <c r="G3177" t="s">
        <v>24</v>
      </c>
      <c r="H3177" t="s">
        <v>18</v>
      </c>
      <c r="I3177" t="s">
        <v>19</v>
      </c>
      <c r="J3177" t="s">
        <v>36</v>
      </c>
      <c r="K3177" t="s">
        <v>64</v>
      </c>
      <c r="L3177" t="s">
        <v>28</v>
      </c>
      <c r="M3177">
        <v>7500.51</v>
      </c>
      <c r="N3177">
        <v>2020</v>
      </c>
      <c r="O3177">
        <v>6</v>
      </c>
    </row>
    <row r="3178" spans="1:15" x14ac:dyDescent="0.3">
      <c r="A3178" s="1">
        <v>44004</v>
      </c>
      <c r="B3178">
        <v>1000012124</v>
      </c>
      <c r="C3178" t="s">
        <v>15</v>
      </c>
      <c r="D3178">
        <v>1</v>
      </c>
      <c r="E3178">
        <v>9999.93</v>
      </c>
      <c r="F3178" t="s">
        <v>16</v>
      </c>
      <c r="G3178" t="s">
        <v>17</v>
      </c>
      <c r="H3178" t="s">
        <v>18</v>
      </c>
      <c r="I3178" t="s">
        <v>19</v>
      </c>
      <c r="J3178" t="s">
        <v>26</v>
      </c>
      <c r="K3178" t="s">
        <v>29</v>
      </c>
      <c r="L3178" t="s">
        <v>22</v>
      </c>
      <c r="M3178">
        <v>9999.93</v>
      </c>
      <c r="N3178">
        <v>2020</v>
      </c>
      <c r="O3178">
        <v>6</v>
      </c>
    </row>
    <row r="3179" spans="1:15" x14ac:dyDescent="0.3">
      <c r="A3179" s="1">
        <v>44004</v>
      </c>
      <c r="B3179">
        <v>1000012126</v>
      </c>
      <c r="C3179" t="s">
        <v>15</v>
      </c>
      <c r="D3179">
        <v>2</v>
      </c>
      <c r="E3179">
        <v>35001.149999999994</v>
      </c>
      <c r="F3179" t="s">
        <v>16</v>
      </c>
      <c r="G3179" t="s">
        <v>17</v>
      </c>
      <c r="H3179" t="s">
        <v>18</v>
      </c>
      <c r="I3179" t="s">
        <v>19</v>
      </c>
      <c r="J3179" t="s">
        <v>26</v>
      </c>
      <c r="K3179" t="s">
        <v>29</v>
      </c>
      <c r="L3179" t="s">
        <v>22</v>
      </c>
      <c r="M3179">
        <v>17500.574999999997</v>
      </c>
      <c r="N3179">
        <v>2020</v>
      </c>
      <c r="O3179">
        <v>6</v>
      </c>
    </row>
    <row r="3180" spans="1:15" x14ac:dyDescent="0.3">
      <c r="A3180" s="1">
        <v>44004</v>
      </c>
      <c r="B3180">
        <v>1000012234</v>
      </c>
      <c r="C3180" t="s">
        <v>23</v>
      </c>
      <c r="D3180">
        <v>1</v>
      </c>
      <c r="E3180">
        <v>5000.51</v>
      </c>
      <c r="F3180" t="s">
        <v>16</v>
      </c>
      <c r="G3180" t="s">
        <v>24</v>
      </c>
      <c r="H3180" t="s">
        <v>18</v>
      </c>
      <c r="I3180" t="s">
        <v>25</v>
      </c>
      <c r="J3180" t="s">
        <v>26</v>
      </c>
      <c r="K3180" t="s">
        <v>27</v>
      </c>
      <c r="L3180" t="s">
        <v>22</v>
      </c>
      <c r="M3180">
        <v>5000.51</v>
      </c>
      <c r="N3180">
        <v>2020</v>
      </c>
      <c r="O3180">
        <v>6</v>
      </c>
    </row>
    <row r="3181" spans="1:15" x14ac:dyDescent="0.3">
      <c r="A3181" s="1">
        <v>44004</v>
      </c>
      <c r="B3181">
        <v>1000012313</v>
      </c>
      <c r="C3181" t="s">
        <v>23</v>
      </c>
      <c r="D3181">
        <v>1</v>
      </c>
      <c r="E3181">
        <v>8000.02</v>
      </c>
      <c r="F3181" t="s">
        <v>16</v>
      </c>
      <c r="G3181" t="s">
        <v>24</v>
      </c>
      <c r="H3181" t="s">
        <v>47</v>
      </c>
      <c r="I3181" t="s">
        <v>65</v>
      </c>
      <c r="J3181" t="s">
        <v>26</v>
      </c>
      <c r="K3181" t="s">
        <v>66</v>
      </c>
      <c r="L3181" t="s">
        <v>22</v>
      </c>
      <c r="M3181">
        <v>8000.02</v>
      </c>
      <c r="N3181">
        <v>2020</v>
      </c>
      <c r="O3181">
        <v>6</v>
      </c>
    </row>
    <row r="3182" spans="1:15" x14ac:dyDescent="0.3">
      <c r="A3182" s="1">
        <v>44004</v>
      </c>
      <c r="B3182">
        <v>1000012446</v>
      </c>
      <c r="C3182" t="s">
        <v>23</v>
      </c>
      <c r="D3182">
        <v>1</v>
      </c>
      <c r="E3182">
        <v>604.30999999999995</v>
      </c>
      <c r="F3182" t="s">
        <v>16</v>
      </c>
      <c r="G3182" t="s">
        <v>24</v>
      </c>
      <c r="H3182" t="s">
        <v>30</v>
      </c>
      <c r="I3182" t="s">
        <v>31</v>
      </c>
      <c r="J3182" t="s">
        <v>36</v>
      </c>
      <c r="K3182" t="s">
        <v>52</v>
      </c>
      <c r="L3182" t="s">
        <v>22</v>
      </c>
      <c r="M3182">
        <v>604.30999999999995</v>
      </c>
      <c r="N3182">
        <v>2020</v>
      </c>
      <c r="O3182">
        <v>6</v>
      </c>
    </row>
    <row r="3183" spans="1:15" x14ac:dyDescent="0.3">
      <c r="A3183" s="1">
        <v>44004</v>
      </c>
      <c r="B3183">
        <v>1000012446</v>
      </c>
      <c r="C3183" t="s">
        <v>15</v>
      </c>
      <c r="D3183">
        <v>1</v>
      </c>
      <c r="E3183">
        <v>10000.66</v>
      </c>
      <c r="F3183" t="s">
        <v>16</v>
      </c>
      <c r="G3183" t="s">
        <v>17</v>
      </c>
      <c r="H3183" t="s">
        <v>30</v>
      </c>
      <c r="I3183" t="s">
        <v>31</v>
      </c>
      <c r="J3183" t="s">
        <v>36</v>
      </c>
      <c r="K3183" t="s">
        <v>52</v>
      </c>
      <c r="L3183" t="s">
        <v>22</v>
      </c>
      <c r="M3183">
        <v>10000.66</v>
      </c>
      <c r="N3183">
        <v>2020</v>
      </c>
      <c r="O3183">
        <v>6</v>
      </c>
    </row>
    <row r="3184" spans="1:15" x14ac:dyDescent="0.3">
      <c r="A3184" s="1">
        <v>44004</v>
      </c>
      <c r="B3184">
        <v>1000012675</v>
      </c>
      <c r="C3184" t="s">
        <v>15</v>
      </c>
      <c r="D3184">
        <v>1</v>
      </c>
      <c r="E3184">
        <v>20000.14</v>
      </c>
      <c r="F3184" t="s">
        <v>16</v>
      </c>
      <c r="G3184" t="s">
        <v>17</v>
      </c>
      <c r="H3184" t="s">
        <v>18</v>
      </c>
      <c r="I3184" t="s">
        <v>34</v>
      </c>
      <c r="J3184" t="s">
        <v>26</v>
      </c>
      <c r="K3184" t="s">
        <v>35</v>
      </c>
      <c r="L3184" t="s">
        <v>22</v>
      </c>
      <c r="M3184">
        <v>20000.14</v>
      </c>
      <c r="N3184">
        <v>2020</v>
      </c>
      <c r="O3184">
        <v>6</v>
      </c>
    </row>
    <row r="3185" spans="1:15" x14ac:dyDescent="0.3">
      <c r="A3185" s="1">
        <v>44004</v>
      </c>
      <c r="B3185">
        <v>1000013607</v>
      </c>
      <c r="C3185" t="s">
        <v>23</v>
      </c>
      <c r="D3185">
        <v>2</v>
      </c>
      <c r="E3185">
        <v>32500.15</v>
      </c>
      <c r="F3185" t="s">
        <v>16</v>
      </c>
      <c r="G3185" t="s">
        <v>24</v>
      </c>
      <c r="H3185" t="s">
        <v>18</v>
      </c>
      <c r="I3185" t="s">
        <v>25</v>
      </c>
      <c r="J3185" t="s">
        <v>26</v>
      </c>
      <c r="K3185" t="s">
        <v>27</v>
      </c>
      <c r="L3185" t="s">
        <v>22</v>
      </c>
      <c r="M3185">
        <v>16250.075000000001</v>
      </c>
      <c r="N3185">
        <v>2020</v>
      </c>
      <c r="O3185">
        <v>6</v>
      </c>
    </row>
    <row r="3186" spans="1:15" x14ac:dyDescent="0.3">
      <c r="A3186" s="1">
        <v>44004</v>
      </c>
      <c r="B3186">
        <v>1000014037</v>
      </c>
      <c r="C3186" t="s">
        <v>15</v>
      </c>
      <c r="D3186">
        <v>1</v>
      </c>
      <c r="E3186">
        <v>12000.56</v>
      </c>
      <c r="F3186" t="s">
        <v>16</v>
      </c>
      <c r="G3186" t="s">
        <v>17</v>
      </c>
      <c r="H3186" t="s">
        <v>18</v>
      </c>
      <c r="I3186" t="s">
        <v>25</v>
      </c>
      <c r="J3186" t="s">
        <v>36</v>
      </c>
      <c r="K3186" t="s">
        <v>37</v>
      </c>
      <c r="L3186" t="s">
        <v>22</v>
      </c>
      <c r="M3186">
        <v>12000.56</v>
      </c>
      <c r="N3186">
        <v>2020</v>
      </c>
      <c r="O3186">
        <v>6</v>
      </c>
    </row>
    <row r="3187" spans="1:15" x14ac:dyDescent="0.3">
      <c r="A3187" s="1">
        <v>44004</v>
      </c>
      <c r="B3187">
        <v>1000014072</v>
      </c>
      <c r="C3187" t="s">
        <v>15</v>
      </c>
      <c r="D3187">
        <v>1</v>
      </c>
      <c r="E3187">
        <v>27000.27</v>
      </c>
      <c r="F3187" t="s">
        <v>16</v>
      </c>
      <c r="G3187" t="s">
        <v>17</v>
      </c>
      <c r="H3187" t="s">
        <v>47</v>
      </c>
      <c r="I3187" t="s">
        <v>65</v>
      </c>
      <c r="J3187" t="s">
        <v>26</v>
      </c>
      <c r="K3187" t="s">
        <v>66</v>
      </c>
      <c r="L3187" t="s">
        <v>22</v>
      </c>
      <c r="M3187">
        <v>27000.27</v>
      </c>
      <c r="N3187">
        <v>2020</v>
      </c>
      <c r="O3187">
        <v>6</v>
      </c>
    </row>
    <row r="3188" spans="1:15" x14ac:dyDescent="0.3">
      <c r="A3188" s="1">
        <v>44004</v>
      </c>
      <c r="B3188">
        <v>1000014273</v>
      </c>
      <c r="C3188" t="s">
        <v>23</v>
      </c>
      <c r="D3188">
        <v>2</v>
      </c>
      <c r="E3188">
        <v>21500.9</v>
      </c>
      <c r="F3188" t="s">
        <v>16</v>
      </c>
      <c r="G3188" t="s">
        <v>24</v>
      </c>
      <c r="H3188" t="s">
        <v>18</v>
      </c>
      <c r="I3188" t="s">
        <v>19</v>
      </c>
      <c r="J3188" t="s">
        <v>20</v>
      </c>
      <c r="K3188" t="s">
        <v>21</v>
      </c>
      <c r="L3188" t="s">
        <v>22</v>
      </c>
      <c r="M3188">
        <v>10750.45</v>
      </c>
      <c r="N3188">
        <v>2020</v>
      </c>
      <c r="O3188">
        <v>6</v>
      </c>
    </row>
    <row r="3189" spans="1:15" x14ac:dyDescent="0.3">
      <c r="A3189" s="1">
        <v>44004</v>
      </c>
      <c r="B3189">
        <v>1000014291</v>
      </c>
      <c r="C3189" t="s">
        <v>23</v>
      </c>
      <c r="D3189">
        <v>2</v>
      </c>
      <c r="E3189">
        <v>23000.5</v>
      </c>
      <c r="F3189" t="s">
        <v>16</v>
      </c>
      <c r="G3189" t="s">
        <v>24</v>
      </c>
      <c r="H3189" t="s">
        <v>47</v>
      </c>
      <c r="I3189" t="s">
        <v>48</v>
      </c>
      <c r="J3189" t="s">
        <v>20</v>
      </c>
      <c r="K3189" t="s">
        <v>67</v>
      </c>
      <c r="L3189" t="s">
        <v>28</v>
      </c>
      <c r="M3189">
        <v>11500.25</v>
      </c>
      <c r="N3189">
        <v>2020</v>
      </c>
      <c r="O3189">
        <v>6</v>
      </c>
    </row>
    <row r="3190" spans="1:15" x14ac:dyDescent="0.3">
      <c r="A3190" s="1">
        <v>44004</v>
      </c>
      <c r="B3190">
        <v>1000014291</v>
      </c>
      <c r="C3190" t="s">
        <v>15</v>
      </c>
      <c r="D3190">
        <v>1</v>
      </c>
      <c r="E3190">
        <v>1000.49</v>
      </c>
      <c r="F3190" t="s">
        <v>16</v>
      </c>
      <c r="G3190" t="s">
        <v>17</v>
      </c>
      <c r="H3190" t="s">
        <v>47</v>
      </c>
      <c r="I3190" t="s">
        <v>48</v>
      </c>
      <c r="J3190" t="s">
        <v>20</v>
      </c>
      <c r="K3190" t="s">
        <v>67</v>
      </c>
      <c r="L3190" t="s">
        <v>28</v>
      </c>
      <c r="M3190">
        <v>1000.49</v>
      </c>
      <c r="N3190">
        <v>2020</v>
      </c>
      <c r="O3190">
        <v>6</v>
      </c>
    </row>
    <row r="3191" spans="1:15" x14ac:dyDescent="0.3">
      <c r="A3191" s="1">
        <v>44004</v>
      </c>
      <c r="B3191">
        <v>1000014291</v>
      </c>
      <c r="C3191" t="s">
        <v>42</v>
      </c>
      <c r="D3191">
        <v>1</v>
      </c>
      <c r="E3191">
        <v>11000.06</v>
      </c>
      <c r="F3191" t="s">
        <v>16</v>
      </c>
      <c r="G3191" t="s">
        <v>43</v>
      </c>
      <c r="H3191" t="s">
        <v>47</v>
      </c>
      <c r="I3191" t="s">
        <v>48</v>
      </c>
      <c r="J3191" t="s">
        <v>20</v>
      </c>
      <c r="K3191" t="s">
        <v>67</v>
      </c>
      <c r="L3191" t="s">
        <v>28</v>
      </c>
      <c r="M3191">
        <v>11000.06</v>
      </c>
      <c r="N3191">
        <v>2020</v>
      </c>
      <c r="O3191">
        <v>6</v>
      </c>
    </row>
    <row r="3192" spans="1:15" x14ac:dyDescent="0.3">
      <c r="A3192" s="1">
        <v>44004</v>
      </c>
      <c r="B3192">
        <v>1000014452</v>
      </c>
      <c r="C3192" t="s">
        <v>23</v>
      </c>
      <c r="D3192">
        <v>1</v>
      </c>
      <c r="E3192">
        <v>14000.29</v>
      </c>
      <c r="F3192" t="s">
        <v>16</v>
      </c>
      <c r="G3192" t="s">
        <v>24</v>
      </c>
      <c r="H3192" t="s">
        <v>18</v>
      </c>
      <c r="I3192" t="s">
        <v>34</v>
      </c>
      <c r="J3192" t="s">
        <v>36</v>
      </c>
      <c r="K3192" t="s">
        <v>70</v>
      </c>
      <c r="L3192" t="s">
        <v>22</v>
      </c>
      <c r="M3192">
        <v>14000.29</v>
      </c>
      <c r="N3192">
        <v>2020</v>
      </c>
      <c r="O3192">
        <v>6</v>
      </c>
    </row>
    <row r="3193" spans="1:15" x14ac:dyDescent="0.3">
      <c r="A3193" s="1">
        <v>44004</v>
      </c>
      <c r="B3193">
        <v>1000014572</v>
      </c>
      <c r="C3193" t="s">
        <v>23</v>
      </c>
      <c r="D3193">
        <v>1</v>
      </c>
      <c r="E3193">
        <v>21000.26</v>
      </c>
      <c r="F3193" t="s">
        <v>16</v>
      </c>
      <c r="G3193" t="s">
        <v>24</v>
      </c>
      <c r="H3193" t="s">
        <v>18</v>
      </c>
      <c r="I3193" t="s">
        <v>34</v>
      </c>
      <c r="J3193" t="s">
        <v>26</v>
      </c>
      <c r="K3193" t="s">
        <v>35</v>
      </c>
      <c r="L3193" t="s">
        <v>22</v>
      </c>
      <c r="M3193">
        <v>21000.26</v>
      </c>
      <c r="N3193">
        <v>2020</v>
      </c>
      <c r="O3193">
        <v>6</v>
      </c>
    </row>
    <row r="3194" spans="1:15" x14ac:dyDescent="0.3">
      <c r="A3194" s="1">
        <v>44004</v>
      </c>
      <c r="B3194">
        <v>1000014572</v>
      </c>
      <c r="C3194" t="s">
        <v>15</v>
      </c>
      <c r="D3194">
        <v>2</v>
      </c>
      <c r="E3194">
        <v>35000.89</v>
      </c>
      <c r="F3194" t="s">
        <v>16</v>
      </c>
      <c r="G3194" t="s">
        <v>17</v>
      </c>
      <c r="H3194" t="s">
        <v>18</v>
      </c>
      <c r="I3194" t="s">
        <v>34</v>
      </c>
      <c r="J3194" t="s">
        <v>26</v>
      </c>
      <c r="K3194" t="s">
        <v>35</v>
      </c>
      <c r="L3194" t="s">
        <v>22</v>
      </c>
      <c r="M3194">
        <v>17500.445</v>
      </c>
      <c r="N3194">
        <v>2020</v>
      </c>
      <c r="O3194">
        <v>6</v>
      </c>
    </row>
    <row r="3195" spans="1:15" x14ac:dyDescent="0.3">
      <c r="A3195" s="1">
        <v>44004</v>
      </c>
      <c r="B3195">
        <v>1000014572</v>
      </c>
      <c r="C3195" t="s">
        <v>42</v>
      </c>
      <c r="D3195">
        <v>1</v>
      </c>
      <c r="E3195">
        <v>7000.18</v>
      </c>
      <c r="F3195" t="s">
        <v>16</v>
      </c>
      <c r="G3195" t="s">
        <v>43</v>
      </c>
      <c r="H3195" t="s">
        <v>18</v>
      </c>
      <c r="I3195" t="s">
        <v>34</v>
      </c>
      <c r="J3195" t="s">
        <v>26</v>
      </c>
      <c r="K3195" t="s">
        <v>35</v>
      </c>
      <c r="L3195" t="s">
        <v>22</v>
      </c>
      <c r="M3195">
        <v>7000.18</v>
      </c>
      <c r="N3195">
        <v>2020</v>
      </c>
      <c r="O3195">
        <v>6</v>
      </c>
    </row>
    <row r="3196" spans="1:15" x14ac:dyDescent="0.3">
      <c r="A3196" s="1">
        <v>44004</v>
      </c>
      <c r="B3196">
        <v>1000014588</v>
      </c>
      <c r="C3196" t="s">
        <v>23</v>
      </c>
      <c r="D3196">
        <v>1</v>
      </c>
      <c r="E3196">
        <v>6500.38</v>
      </c>
      <c r="F3196" t="s">
        <v>16</v>
      </c>
      <c r="G3196" t="s">
        <v>24</v>
      </c>
      <c r="H3196" t="s">
        <v>18</v>
      </c>
      <c r="I3196" t="s">
        <v>40</v>
      </c>
      <c r="J3196" t="s">
        <v>20</v>
      </c>
      <c r="K3196" t="s">
        <v>68</v>
      </c>
      <c r="L3196" t="s">
        <v>22</v>
      </c>
      <c r="M3196">
        <v>6500.38</v>
      </c>
      <c r="N3196">
        <v>2020</v>
      </c>
      <c r="O3196">
        <v>6</v>
      </c>
    </row>
    <row r="3197" spans="1:15" x14ac:dyDescent="0.3">
      <c r="A3197" s="1">
        <v>44004</v>
      </c>
      <c r="B3197">
        <v>1000014588</v>
      </c>
      <c r="C3197" t="s">
        <v>42</v>
      </c>
      <c r="D3197">
        <v>1</v>
      </c>
      <c r="E3197">
        <v>21000.14</v>
      </c>
      <c r="F3197" t="s">
        <v>16</v>
      </c>
      <c r="G3197" t="s">
        <v>43</v>
      </c>
      <c r="H3197" t="s">
        <v>18</v>
      </c>
      <c r="I3197" t="s">
        <v>40</v>
      </c>
      <c r="J3197" t="s">
        <v>20</v>
      </c>
      <c r="K3197" t="s">
        <v>68</v>
      </c>
      <c r="L3197" t="s">
        <v>22</v>
      </c>
      <c r="M3197">
        <v>21000.14</v>
      </c>
      <c r="N3197">
        <v>2020</v>
      </c>
      <c r="O3197">
        <v>6</v>
      </c>
    </row>
    <row r="3198" spans="1:15" x14ac:dyDescent="0.3">
      <c r="A3198" s="1">
        <v>44004</v>
      </c>
      <c r="B3198">
        <v>1000014879</v>
      </c>
      <c r="C3198" t="s">
        <v>23</v>
      </c>
      <c r="D3198">
        <v>2</v>
      </c>
      <c r="E3198">
        <v>34000.639999999999</v>
      </c>
      <c r="F3198" t="s">
        <v>16</v>
      </c>
      <c r="G3198" t="s">
        <v>24</v>
      </c>
      <c r="H3198" t="s">
        <v>18</v>
      </c>
      <c r="I3198" t="s">
        <v>40</v>
      </c>
      <c r="J3198" t="s">
        <v>26</v>
      </c>
      <c r="K3198" t="s">
        <v>41</v>
      </c>
      <c r="L3198" t="s">
        <v>22</v>
      </c>
      <c r="M3198">
        <v>17000.32</v>
      </c>
      <c r="N3198">
        <v>2020</v>
      </c>
      <c r="O3198">
        <v>6</v>
      </c>
    </row>
    <row r="3199" spans="1:15" x14ac:dyDescent="0.3">
      <c r="A3199" s="1">
        <v>44004</v>
      </c>
      <c r="B3199">
        <v>1000014996</v>
      </c>
      <c r="C3199" t="s">
        <v>23</v>
      </c>
      <c r="D3199">
        <v>1</v>
      </c>
      <c r="E3199">
        <v>7000.09</v>
      </c>
      <c r="F3199" t="s">
        <v>16</v>
      </c>
      <c r="G3199" t="s">
        <v>24</v>
      </c>
      <c r="H3199" t="s">
        <v>30</v>
      </c>
      <c r="I3199" t="s">
        <v>57</v>
      </c>
      <c r="J3199" t="s">
        <v>26</v>
      </c>
      <c r="K3199" t="s">
        <v>58</v>
      </c>
      <c r="L3199" t="s">
        <v>22</v>
      </c>
      <c r="M3199">
        <v>7000.09</v>
      </c>
      <c r="N3199">
        <v>2020</v>
      </c>
      <c r="O3199">
        <v>6</v>
      </c>
    </row>
    <row r="3200" spans="1:15" x14ac:dyDescent="0.3">
      <c r="A3200" s="1">
        <v>44004</v>
      </c>
      <c r="B3200">
        <v>1000015015</v>
      </c>
      <c r="C3200" t="s">
        <v>15</v>
      </c>
      <c r="D3200">
        <v>1</v>
      </c>
      <c r="E3200">
        <v>5000.6099999999997</v>
      </c>
      <c r="F3200" t="s">
        <v>16</v>
      </c>
      <c r="G3200" t="s">
        <v>17</v>
      </c>
      <c r="H3200" t="s">
        <v>18</v>
      </c>
      <c r="I3200" t="s">
        <v>61</v>
      </c>
      <c r="J3200" t="s">
        <v>26</v>
      </c>
      <c r="K3200" t="s">
        <v>62</v>
      </c>
      <c r="L3200" t="s">
        <v>22</v>
      </c>
      <c r="M3200">
        <v>5000.6099999999997</v>
      </c>
      <c r="N3200">
        <v>2020</v>
      </c>
      <c r="O3200">
        <v>6</v>
      </c>
    </row>
    <row r="3201" spans="1:15" x14ac:dyDescent="0.3">
      <c r="A3201" s="1">
        <v>44004</v>
      </c>
      <c r="B3201">
        <v>1000015015</v>
      </c>
      <c r="C3201" t="s">
        <v>42</v>
      </c>
      <c r="D3201">
        <v>1</v>
      </c>
      <c r="E3201">
        <v>6999.96</v>
      </c>
      <c r="F3201" t="s">
        <v>16</v>
      </c>
      <c r="G3201" t="s">
        <v>43</v>
      </c>
      <c r="H3201" t="s">
        <v>18</v>
      </c>
      <c r="I3201" t="s">
        <v>61</v>
      </c>
      <c r="J3201" t="s">
        <v>26</v>
      </c>
      <c r="K3201" t="s">
        <v>62</v>
      </c>
      <c r="L3201" t="s">
        <v>22</v>
      </c>
      <c r="M3201">
        <v>6999.96</v>
      </c>
      <c r="N3201">
        <v>2020</v>
      </c>
      <c r="O3201">
        <v>6</v>
      </c>
    </row>
    <row r="3202" spans="1:15" x14ac:dyDescent="0.3">
      <c r="A3202" s="1">
        <v>44004</v>
      </c>
      <c r="B3202">
        <v>1000015203</v>
      </c>
      <c r="C3202" t="s">
        <v>42</v>
      </c>
      <c r="D3202">
        <v>1</v>
      </c>
      <c r="E3202">
        <v>22000.12</v>
      </c>
      <c r="F3202" t="s">
        <v>16</v>
      </c>
      <c r="G3202" t="s">
        <v>43</v>
      </c>
      <c r="H3202" t="s">
        <v>47</v>
      </c>
      <c r="I3202" t="s">
        <v>65</v>
      </c>
      <c r="J3202" t="s">
        <v>26</v>
      </c>
      <c r="K3202" t="s">
        <v>66</v>
      </c>
      <c r="L3202" t="s">
        <v>22</v>
      </c>
      <c r="M3202">
        <v>22000.12</v>
      </c>
      <c r="N3202">
        <v>2020</v>
      </c>
      <c r="O3202">
        <v>6</v>
      </c>
    </row>
    <row r="3203" spans="1:15" x14ac:dyDescent="0.3">
      <c r="A3203" s="1">
        <v>44004</v>
      </c>
      <c r="B3203">
        <v>1000015788</v>
      </c>
      <c r="C3203" t="s">
        <v>15</v>
      </c>
      <c r="D3203">
        <v>1</v>
      </c>
      <c r="E3203">
        <v>11000.11</v>
      </c>
      <c r="F3203" t="s">
        <v>16</v>
      </c>
      <c r="G3203" t="s">
        <v>17</v>
      </c>
      <c r="H3203" t="s">
        <v>30</v>
      </c>
      <c r="I3203" t="s">
        <v>31</v>
      </c>
      <c r="J3203" t="s">
        <v>36</v>
      </c>
      <c r="K3203" t="s">
        <v>52</v>
      </c>
      <c r="L3203" t="s">
        <v>22</v>
      </c>
      <c r="M3203">
        <v>11000.11</v>
      </c>
      <c r="N3203">
        <v>2020</v>
      </c>
      <c r="O3203">
        <v>6</v>
      </c>
    </row>
    <row r="3204" spans="1:15" x14ac:dyDescent="0.3">
      <c r="A3204" s="1">
        <v>44004</v>
      </c>
      <c r="B3204">
        <v>1000017576</v>
      </c>
      <c r="C3204" t="s">
        <v>15</v>
      </c>
      <c r="D3204">
        <v>1</v>
      </c>
      <c r="E3204">
        <v>25000.55</v>
      </c>
      <c r="F3204" t="s">
        <v>16</v>
      </c>
      <c r="G3204" t="s">
        <v>17</v>
      </c>
      <c r="H3204" t="s">
        <v>18</v>
      </c>
      <c r="I3204" t="s">
        <v>19</v>
      </c>
      <c r="J3204" t="s">
        <v>36</v>
      </c>
      <c r="K3204" t="s">
        <v>64</v>
      </c>
      <c r="L3204" t="s">
        <v>22</v>
      </c>
      <c r="M3204">
        <v>25000.55</v>
      </c>
      <c r="N3204">
        <v>2020</v>
      </c>
      <c r="O3204">
        <v>6</v>
      </c>
    </row>
    <row r="3205" spans="1:15" x14ac:dyDescent="0.3">
      <c r="A3205" s="1">
        <v>44004</v>
      </c>
      <c r="B3205">
        <v>1000017700</v>
      </c>
      <c r="C3205" t="s">
        <v>15</v>
      </c>
      <c r="D3205">
        <v>3</v>
      </c>
      <c r="E3205">
        <v>33001.03</v>
      </c>
      <c r="F3205" t="s">
        <v>16</v>
      </c>
      <c r="G3205" t="s">
        <v>17</v>
      </c>
      <c r="H3205" t="s">
        <v>47</v>
      </c>
      <c r="I3205" t="s">
        <v>65</v>
      </c>
      <c r="J3205" t="s">
        <v>26</v>
      </c>
      <c r="K3205" t="s">
        <v>66</v>
      </c>
      <c r="L3205" t="s">
        <v>22</v>
      </c>
      <c r="M3205">
        <v>11000.343333333332</v>
      </c>
      <c r="N3205">
        <v>2020</v>
      </c>
      <c r="O3205">
        <v>6</v>
      </c>
    </row>
    <row r="3206" spans="1:15" x14ac:dyDescent="0.3">
      <c r="A3206" s="1">
        <v>44004</v>
      </c>
      <c r="B3206">
        <v>1000017700</v>
      </c>
      <c r="C3206" t="s">
        <v>42</v>
      </c>
      <c r="D3206">
        <v>2</v>
      </c>
      <c r="E3206">
        <v>36001.229999999996</v>
      </c>
      <c r="F3206" t="s">
        <v>16</v>
      </c>
      <c r="G3206" t="s">
        <v>43</v>
      </c>
      <c r="H3206" t="s">
        <v>47</v>
      </c>
      <c r="I3206" t="s">
        <v>65</v>
      </c>
      <c r="J3206" t="s">
        <v>26</v>
      </c>
      <c r="K3206" t="s">
        <v>66</v>
      </c>
      <c r="L3206" t="s">
        <v>22</v>
      </c>
      <c r="M3206">
        <v>18000.614999999998</v>
      </c>
      <c r="N3206">
        <v>2020</v>
      </c>
      <c r="O3206">
        <v>6</v>
      </c>
    </row>
    <row r="3207" spans="1:15" x14ac:dyDescent="0.3">
      <c r="A3207" s="1">
        <v>44004</v>
      </c>
      <c r="B3207">
        <v>1000018132</v>
      </c>
      <c r="C3207" t="s">
        <v>23</v>
      </c>
      <c r="D3207">
        <v>2</v>
      </c>
      <c r="E3207">
        <v>28000.74</v>
      </c>
      <c r="F3207" t="s">
        <v>16</v>
      </c>
      <c r="G3207" t="s">
        <v>24</v>
      </c>
      <c r="H3207" t="s">
        <v>47</v>
      </c>
      <c r="I3207" t="s">
        <v>65</v>
      </c>
      <c r="J3207" t="s">
        <v>26</v>
      </c>
      <c r="K3207" t="s">
        <v>66</v>
      </c>
      <c r="L3207" t="s">
        <v>22</v>
      </c>
      <c r="M3207">
        <v>14000.37</v>
      </c>
      <c r="N3207">
        <v>2020</v>
      </c>
      <c r="O3207">
        <v>6</v>
      </c>
    </row>
    <row r="3208" spans="1:15" x14ac:dyDescent="0.3">
      <c r="A3208" s="1">
        <v>44004</v>
      </c>
      <c r="B3208">
        <v>1000018134</v>
      </c>
      <c r="C3208" t="s">
        <v>15</v>
      </c>
      <c r="D3208">
        <v>1</v>
      </c>
      <c r="E3208">
        <v>10500.26</v>
      </c>
      <c r="F3208" t="s">
        <v>16</v>
      </c>
      <c r="G3208" t="s">
        <v>17</v>
      </c>
      <c r="H3208" t="s">
        <v>18</v>
      </c>
      <c r="I3208" t="s">
        <v>40</v>
      </c>
      <c r="J3208" t="s">
        <v>26</v>
      </c>
      <c r="K3208" t="s">
        <v>41</v>
      </c>
      <c r="L3208" t="s">
        <v>22</v>
      </c>
      <c r="M3208">
        <v>10500.26</v>
      </c>
      <c r="N3208">
        <v>2020</v>
      </c>
      <c r="O3208">
        <v>6</v>
      </c>
    </row>
    <row r="3209" spans="1:15" x14ac:dyDescent="0.3">
      <c r="A3209" s="1">
        <v>44005</v>
      </c>
      <c r="B3209">
        <v>1000000029</v>
      </c>
      <c r="C3209" t="s">
        <v>23</v>
      </c>
      <c r="D3209">
        <v>1</v>
      </c>
      <c r="E3209">
        <v>500.48</v>
      </c>
      <c r="F3209" t="s">
        <v>16</v>
      </c>
      <c r="G3209" t="s">
        <v>24</v>
      </c>
      <c r="H3209" t="s">
        <v>18</v>
      </c>
      <c r="I3209" t="s">
        <v>19</v>
      </c>
      <c r="J3209" t="s">
        <v>20</v>
      </c>
      <c r="K3209" t="s">
        <v>21</v>
      </c>
      <c r="L3209" t="s">
        <v>22</v>
      </c>
      <c r="M3209">
        <v>500.48</v>
      </c>
      <c r="N3209">
        <v>2020</v>
      </c>
      <c r="O3209">
        <v>6</v>
      </c>
    </row>
    <row r="3210" spans="1:15" x14ac:dyDescent="0.3">
      <c r="A3210" s="1">
        <v>44005</v>
      </c>
      <c r="B3210">
        <v>1000000029</v>
      </c>
      <c r="C3210" t="s">
        <v>42</v>
      </c>
      <c r="D3210">
        <v>1</v>
      </c>
      <c r="E3210">
        <v>2999.98</v>
      </c>
      <c r="F3210" t="s">
        <v>16</v>
      </c>
      <c r="G3210" t="s">
        <v>43</v>
      </c>
      <c r="H3210" t="s">
        <v>18</v>
      </c>
      <c r="I3210" t="s">
        <v>19</v>
      </c>
      <c r="J3210" t="s">
        <v>20</v>
      </c>
      <c r="K3210" t="s">
        <v>21</v>
      </c>
      <c r="L3210" t="s">
        <v>22</v>
      </c>
      <c r="M3210">
        <v>2999.98</v>
      </c>
      <c r="N3210">
        <v>2020</v>
      </c>
      <c r="O3210">
        <v>6</v>
      </c>
    </row>
    <row r="3211" spans="1:15" x14ac:dyDescent="0.3">
      <c r="A3211" s="1">
        <v>44005</v>
      </c>
      <c r="B3211">
        <v>1000000030</v>
      </c>
      <c r="C3211" t="s">
        <v>23</v>
      </c>
      <c r="D3211">
        <v>2</v>
      </c>
      <c r="E3211">
        <v>16500.46</v>
      </c>
      <c r="F3211" t="s">
        <v>16</v>
      </c>
      <c r="G3211" t="s">
        <v>24</v>
      </c>
      <c r="H3211" t="s">
        <v>47</v>
      </c>
      <c r="I3211" t="s">
        <v>48</v>
      </c>
      <c r="J3211" t="s">
        <v>36</v>
      </c>
      <c r="K3211" t="s">
        <v>49</v>
      </c>
      <c r="L3211" t="s">
        <v>22</v>
      </c>
      <c r="M3211">
        <v>8250.23</v>
      </c>
      <c r="N3211">
        <v>2020</v>
      </c>
      <c r="O3211">
        <v>6</v>
      </c>
    </row>
    <row r="3212" spans="1:15" x14ac:dyDescent="0.3">
      <c r="A3212" s="1">
        <v>44005</v>
      </c>
      <c r="B3212">
        <v>1000000031</v>
      </c>
      <c r="C3212" t="s">
        <v>23</v>
      </c>
      <c r="D3212">
        <v>1</v>
      </c>
      <c r="E3212">
        <v>4000.4</v>
      </c>
      <c r="F3212" t="s">
        <v>16</v>
      </c>
      <c r="G3212" t="s">
        <v>24</v>
      </c>
      <c r="H3212" t="s">
        <v>18</v>
      </c>
      <c r="I3212" t="s">
        <v>19</v>
      </c>
      <c r="J3212" t="s">
        <v>26</v>
      </c>
      <c r="K3212" t="s">
        <v>29</v>
      </c>
      <c r="L3212" t="s">
        <v>28</v>
      </c>
      <c r="M3212">
        <v>4000.4</v>
      </c>
      <c r="N3212">
        <v>2020</v>
      </c>
      <c r="O3212">
        <v>6</v>
      </c>
    </row>
    <row r="3213" spans="1:15" x14ac:dyDescent="0.3">
      <c r="A3213" s="1">
        <v>44005</v>
      </c>
      <c r="B3213">
        <v>1000000032</v>
      </c>
      <c r="C3213" t="s">
        <v>23</v>
      </c>
      <c r="D3213">
        <v>2</v>
      </c>
      <c r="E3213">
        <v>25143.530000000002</v>
      </c>
      <c r="F3213" t="s">
        <v>16</v>
      </c>
      <c r="G3213" t="s">
        <v>24</v>
      </c>
      <c r="H3213" t="s">
        <v>18</v>
      </c>
      <c r="I3213" t="s">
        <v>25</v>
      </c>
      <c r="J3213" t="s">
        <v>26</v>
      </c>
      <c r="K3213" t="s">
        <v>27</v>
      </c>
      <c r="L3213" t="s">
        <v>28</v>
      </c>
      <c r="M3213">
        <v>12571.765000000001</v>
      </c>
      <c r="N3213">
        <v>2020</v>
      </c>
      <c r="O3213">
        <v>6</v>
      </c>
    </row>
    <row r="3214" spans="1:15" x14ac:dyDescent="0.3">
      <c r="A3214" s="1">
        <v>44005</v>
      </c>
      <c r="B3214">
        <v>1000000032</v>
      </c>
      <c r="C3214" t="s">
        <v>42</v>
      </c>
      <c r="D3214">
        <v>1</v>
      </c>
      <c r="E3214">
        <v>557.14</v>
      </c>
      <c r="F3214" t="s">
        <v>16</v>
      </c>
      <c r="G3214" t="s">
        <v>43</v>
      </c>
      <c r="H3214" t="s">
        <v>18</v>
      </c>
      <c r="I3214" t="s">
        <v>25</v>
      </c>
      <c r="J3214" t="s">
        <v>26</v>
      </c>
      <c r="K3214" t="s">
        <v>27</v>
      </c>
      <c r="L3214" t="s">
        <v>28</v>
      </c>
      <c r="M3214">
        <v>557.14</v>
      </c>
      <c r="N3214">
        <v>2020</v>
      </c>
      <c r="O3214">
        <v>6</v>
      </c>
    </row>
    <row r="3215" spans="1:15" x14ac:dyDescent="0.3">
      <c r="A3215" s="1">
        <v>44005</v>
      </c>
      <c r="B3215">
        <v>1000000033</v>
      </c>
      <c r="C3215" t="s">
        <v>42</v>
      </c>
      <c r="D3215">
        <v>1</v>
      </c>
      <c r="E3215">
        <v>3000.44</v>
      </c>
      <c r="F3215" t="s">
        <v>16</v>
      </c>
      <c r="G3215" t="s">
        <v>43</v>
      </c>
      <c r="H3215" t="s">
        <v>18</v>
      </c>
      <c r="I3215" t="s">
        <v>25</v>
      </c>
      <c r="J3215" t="s">
        <v>26</v>
      </c>
      <c r="K3215" t="s">
        <v>27</v>
      </c>
      <c r="L3215" t="s">
        <v>22</v>
      </c>
      <c r="M3215">
        <v>3000.44</v>
      </c>
      <c r="N3215">
        <v>2020</v>
      </c>
      <c r="O3215">
        <v>6</v>
      </c>
    </row>
    <row r="3216" spans="1:15" x14ac:dyDescent="0.3">
      <c r="A3216" s="1">
        <v>44005</v>
      </c>
      <c r="B3216">
        <v>1000000034</v>
      </c>
      <c r="C3216" t="s">
        <v>15</v>
      </c>
      <c r="D3216">
        <v>2</v>
      </c>
      <c r="E3216">
        <v>31001.1</v>
      </c>
      <c r="F3216" t="s">
        <v>16</v>
      </c>
      <c r="G3216" t="s">
        <v>17</v>
      </c>
      <c r="H3216" t="s">
        <v>18</v>
      </c>
      <c r="I3216" t="s">
        <v>25</v>
      </c>
      <c r="J3216" t="s">
        <v>26</v>
      </c>
      <c r="K3216" t="s">
        <v>27</v>
      </c>
      <c r="L3216" t="s">
        <v>22</v>
      </c>
      <c r="M3216">
        <v>15500.55</v>
      </c>
      <c r="N3216">
        <v>2020</v>
      </c>
      <c r="O3216">
        <v>6</v>
      </c>
    </row>
    <row r="3217" spans="1:15" x14ac:dyDescent="0.3">
      <c r="A3217" s="1">
        <v>44005</v>
      </c>
      <c r="B3217">
        <v>1000000035</v>
      </c>
      <c r="C3217" t="s">
        <v>23</v>
      </c>
      <c r="D3217">
        <v>1</v>
      </c>
      <c r="E3217">
        <v>1235.18</v>
      </c>
      <c r="F3217" t="s">
        <v>16</v>
      </c>
      <c r="G3217" t="s">
        <v>24</v>
      </c>
      <c r="H3217" t="s">
        <v>18</v>
      </c>
      <c r="I3217" t="s">
        <v>25</v>
      </c>
      <c r="J3217" t="s">
        <v>36</v>
      </c>
      <c r="K3217" t="s">
        <v>37</v>
      </c>
      <c r="L3217" t="s">
        <v>22</v>
      </c>
      <c r="M3217">
        <v>1235.18</v>
      </c>
      <c r="N3217">
        <v>2020</v>
      </c>
      <c r="O3217">
        <v>6</v>
      </c>
    </row>
    <row r="3218" spans="1:15" x14ac:dyDescent="0.3">
      <c r="A3218" s="1">
        <v>44005</v>
      </c>
      <c r="B3218">
        <v>1000000036</v>
      </c>
      <c r="C3218" t="s">
        <v>15</v>
      </c>
      <c r="D3218">
        <v>1</v>
      </c>
      <c r="E3218">
        <v>5000.6400000000003</v>
      </c>
      <c r="F3218" t="s">
        <v>16</v>
      </c>
      <c r="G3218" t="s">
        <v>17</v>
      </c>
      <c r="H3218" t="s">
        <v>47</v>
      </c>
      <c r="I3218" t="s">
        <v>48</v>
      </c>
      <c r="J3218" t="s">
        <v>36</v>
      </c>
      <c r="K3218" t="s">
        <v>49</v>
      </c>
      <c r="L3218" t="s">
        <v>28</v>
      </c>
      <c r="M3218">
        <v>5000.6400000000003</v>
      </c>
      <c r="N3218">
        <v>2020</v>
      </c>
      <c r="O3218">
        <v>6</v>
      </c>
    </row>
    <row r="3219" spans="1:15" x14ac:dyDescent="0.3">
      <c r="A3219" s="1">
        <v>44005</v>
      </c>
      <c r="B3219">
        <v>1000000036</v>
      </c>
      <c r="C3219" t="s">
        <v>42</v>
      </c>
      <c r="D3219">
        <v>2</v>
      </c>
      <c r="E3219">
        <v>2958.13</v>
      </c>
      <c r="F3219" t="s">
        <v>16</v>
      </c>
      <c r="G3219" t="s">
        <v>43</v>
      </c>
      <c r="H3219" t="s">
        <v>47</v>
      </c>
      <c r="I3219" t="s">
        <v>48</v>
      </c>
      <c r="J3219" t="s">
        <v>36</v>
      </c>
      <c r="K3219" t="s">
        <v>49</v>
      </c>
      <c r="L3219" t="s">
        <v>28</v>
      </c>
      <c r="M3219">
        <v>1479.0650000000001</v>
      </c>
      <c r="N3219">
        <v>2020</v>
      </c>
      <c r="O3219">
        <v>6</v>
      </c>
    </row>
    <row r="3220" spans="1:15" x14ac:dyDescent="0.3">
      <c r="A3220" s="1">
        <v>44005</v>
      </c>
      <c r="B3220">
        <v>1000000037</v>
      </c>
      <c r="C3220" t="s">
        <v>42</v>
      </c>
      <c r="D3220">
        <v>1</v>
      </c>
      <c r="E3220">
        <v>512.12</v>
      </c>
      <c r="F3220" t="s">
        <v>16</v>
      </c>
      <c r="G3220" t="s">
        <v>43</v>
      </c>
      <c r="H3220" t="s">
        <v>18</v>
      </c>
      <c r="I3220" t="s">
        <v>19</v>
      </c>
      <c r="J3220" t="s">
        <v>20</v>
      </c>
      <c r="K3220" t="s">
        <v>21</v>
      </c>
      <c r="L3220" t="s">
        <v>22</v>
      </c>
      <c r="M3220">
        <v>512.12</v>
      </c>
      <c r="N3220">
        <v>2020</v>
      </c>
      <c r="O3220">
        <v>6</v>
      </c>
    </row>
    <row r="3221" spans="1:15" x14ac:dyDescent="0.3">
      <c r="A3221" s="1">
        <v>44005</v>
      </c>
      <c r="B3221">
        <v>1000000039</v>
      </c>
      <c r="C3221" t="s">
        <v>23</v>
      </c>
      <c r="D3221">
        <v>1</v>
      </c>
      <c r="E3221">
        <v>6000.35</v>
      </c>
      <c r="F3221" t="s">
        <v>16</v>
      </c>
      <c r="G3221" t="s">
        <v>24</v>
      </c>
      <c r="H3221" t="s">
        <v>18</v>
      </c>
      <c r="I3221" t="s">
        <v>25</v>
      </c>
      <c r="J3221" t="s">
        <v>20</v>
      </c>
      <c r="K3221" t="s">
        <v>51</v>
      </c>
      <c r="L3221" t="s">
        <v>28</v>
      </c>
      <c r="M3221">
        <v>6000.35</v>
      </c>
      <c r="N3221">
        <v>2020</v>
      </c>
      <c r="O3221">
        <v>6</v>
      </c>
    </row>
    <row r="3222" spans="1:15" x14ac:dyDescent="0.3">
      <c r="A3222" s="1">
        <v>44005</v>
      </c>
      <c r="B3222">
        <v>1000000039</v>
      </c>
      <c r="C3222" t="s">
        <v>15</v>
      </c>
      <c r="D3222">
        <v>1</v>
      </c>
      <c r="E3222">
        <v>7000.64</v>
      </c>
      <c r="F3222" t="s">
        <v>16</v>
      </c>
      <c r="G3222" t="s">
        <v>17</v>
      </c>
      <c r="H3222" t="s">
        <v>18</v>
      </c>
      <c r="I3222" t="s">
        <v>25</v>
      </c>
      <c r="J3222" t="s">
        <v>20</v>
      </c>
      <c r="K3222" t="s">
        <v>51</v>
      </c>
      <c r="L3222" t="s">
        <v>28</v>
      </c>
      <c r="M3222">
        <v>7000.64</v>
      </c>
      <c r="N3222">
        <v>2020</v>
      </c>
      <c r="O3222">
        <v>6</v>
      </c>
    </row>
    <row r="3223" spans="1:15" x14ac:dyDescent="0.3">
      <c r="A3223" s="1">
        <v>44005</v>
      </c>
      <c r="B3223">
        <v>1000000040</v>
      </c>
      <c r="C3223" t="s">
        <v>15</v>
      </c>
      <c r="D3223">
        <v>1</v>
      </c>
      <c r="E3223">
        <v>16999.93</v>
      </c>
      <c r="F3223" t="s">
        <v>16</v>
      </c>
      <c r="G3223" t="s">
        <v>17</v>
      </c>
      <c r="H3223" t="s">
        <v>30</v>
      </c>
      <c r="I3223" t="s">
        <v>31</v>
      </c>
      <c r="J3223" t="s">
        <v>32</v>
      </c>
      <c r="K3223" t="s">
        <v>33</v>
      </c>
      <c r="L3223" t="s">
        <v>28</v>
      </c>
      <c r="M3223">
        <v>16999.93</v>
      </c>
      <c r="N3223">
        <v>2020</v>
      </c>
      <c r="O3223">
        <v>6</v>
      </c>
    </row>
    <row r="3224" spans="1:15" x14ac:dyDescent="0.3">
      <c r="A3224" s="1">
        <v>44005</v>
      </c>
      <c r="B3224">
        <v>1000000041</v>
      </c>
      <c r="C3224" t="s">
        <v>15</v>
      </c>
      <c r="D3224">
        <v>1</v>
      </c>
      <c r="E3224">
        <v>15000.38</v>
      </c>
      <c r="F3224" t="s">
        <v>16</v>
      </c>
      <c r="G3224" t="s">
        <v>17</v>
      </c>
      <c r="H3224" t="s">
        <v>30</v>
      </c>
      <c r="I3224" t="s">
        <v>31</v>
      </c>
      <c r="J3224" t="s">
        <v>32</v>
      </c>
      <c r="K3224" t="s">
        <v>33</v>
      </c>
      <c r="L3224" t="s">
        <v>22</v>
      </c>
      <c r="M3224">
        <v>15000.38</v>
      </c>
      <c r="N3224">
        <v>2020</v>
      </c>
      <c r="O3224">
        <v>6</v>
      </c>
    </row>
    <row r="3225" spans="1:15" x14ac:dyDescent="0.3">
      <c r="A3225" s="1">
        <v>44005</v>
      </c>
      <c r="B3225">
        <v>1000000044</v>
      </c>
      <c r="C3225" t="s">
        <v>23</v>
      </c>
      <c r="D3225">
        <v>5</v>
      </c>
      <c r="E3225">
        <v>39501.509999999995</v>
      </c>
      <c r="F3225" t="s">
        <v>16</v>
      </c>
      <c r="G3225" t="s">
        <v>24</v>
      </c>
      <c r="H3225" t="s">
        <v>30</v>
      </c>
      <c r="I3225" t="s">
        <v>31</v>
      </c>
      <c r="J3225" t="s">
        <v>36</v>
      </c>
      <c r="K3225" t="s">
        <v>52</v>
      </c>
      <c r="L3225" t="s">
        <v>28</v>
      </c>
      <c r="M3225">
        <v>7900.3019999999988</v>
      </c>
      <c r="N3225">
        <v>2020</v>
      </c>
      <c r="O3225">
        <v>6</v>
      </c>
    </row>
    <row r="3226" spans="1:15" x14ac:dyDescent="0.3">
      <c r="A3226" s="1">
        <v>44005</v>
      </c>
      <c r="B3226">
        <v>1000000044</v>
      </c>
      <c r="C3226" t="s">
        <v>15</v>
      </c>
      <c r="D3226">
        <v>1</v>
      </c>
      <c r="E3226">
        <v>16000.29</v>
      </c>
      <c r="F3226" t="s">
        <v>16</v>
      </c>
      <c r="G3226" t="s">
        <v>17</v>
      </c>
      <c r="H3226" t="s">
        <v>30</v>
      </c>
      <c r="I3226" t="s">
        <v>31</v>
      </c>
      <c r="J3226" t="s">
        <v>36</v>
      </c>
      <c r="K3226" t="s">
        <v>52</v>
      </c>
      <c r="L3226" t="s">
        <v>28</v>
      </c>
      <c r="M3226">
        <v>16000.29</v>
      </c>
      <c r="N3226">
        <v>2020</v>
      </c>
      <c r="O3226">
        <v>6</v>
      </c>
    </row>
    <row r="3227" spans="1:15" x14ac:dyDescent="0.3">
      <c r="A3227" s="1">
        <v>44005</v>
      </c>
      <c r="B3227">
        <v>1000000045</v>
      </c>
      <c r="C3227" t="s">
        <v>23</v>
      </c>
      <c r="D3227">
        <v>3</v>
      </c>
      <c r="E3227">
        <v>45500.859999999993</v>
      </c>
      <c r="F3227" t="s">
        <v>16</v>
      </c>
      <c r="G3227" t="s">
        <v>24</v>
      </c>
      <c r="H3227" t="s">
        <v>47</v>
      </c>
      <c r="I3227" t="s">
        <v>59</v>
      </c>
      <c r="J3227" t="s">
        <v>26</v>
      </c>
      <c r="K3227" t="s">
        <v>60</v>
      </c>
      <c r="L3227" t="s">
        <v>22</v>
      </c>
      <c r="M3227">
        <v>15166.953333333331</v>
      </c>
      <c r="N3227">
        <v>2020</v>
      </c>
      <c r="O3227">
        <v>6</v>
      </c>
    </row>
    <row r="3228" spans="1:15" x14ac:dyDescent="0.3">
      <c r="A3228" s="1">
        <v>44005</v>
      </c>
      <c r="B3228">
        <v>1000000046</v>
      </c>
      <c r="C3228" t="s">
        <v>23</v>
      </c>
      <c r="D3228">
        <v>3</v>
      </c>
      <c r="E3228">
        <v>40091</v>
      </c>
      <c r="F3228" t="s">
        <v>16</v>
      </c>
      <c r="G3228" t="s">
        <v>24</v>
      </c>
      <c r="H3228" t="s">
        <v>30</v>
      </c>
      <c r="I3228" t="s">
        <v>38</v>
      </c>
      <c r="J3228" t="s">
        <v>26</v>
      </c>
      <c r="K3228" t="s">
        <v>39</v>
      </c>
      <c r="L3228" t="s">
        <v>22</v>
      </c>
      <c r="M3228">
        <v>13363.666666666666</v>
      </c>
      <c r="N3228">
        <v>2020</v>
      </c>
      <c r="O3228">
        <v>6</v>
      </c>
    </row>
    <row r="3229" spans="1:15" x14ac:dyDescent="0.3">
      <c r="A3229" s="1">
        <v>44005</v>
      </c>
      <c r="B3229">
        <v>1000000046</v>
      </c>
      <c r="C3229" t="s">
        <v>15</v>
      </c>
      <c r="D3229">
        <v>1</v>
      </c>
      <c r="E3229">
        <v>18000.62</v>
      </c>
      <c r="F3229" t="s">
        <v>16</v>
      </c>
      <c r="G3229" t="s">
        <v>17</v>
      </c>
      <c r="H3229" t="s">
        <v>30</v>
      </c>
      <c r="I3229" t="s">
        <v>38</v>
      </c>
      <c r="J3229" t="s">
        <v>26</v>
      </c>
      <c r="K3229" t="s">
        <v>39</v>
      </c>
      <c r="L3229" t="s">
        <v>22</v>
      </c>
      <c r="M3229">
        <v>18000.62</v>
      </c>
      <c r="N3229">
        <v>2020</v>
      </c>
      <c r="O3229">
        <v>6</v>
      </c>
    </row>
    <row r="3230" spans="1:15" x14ac:dyDescent="0.3">
      <c r="A3230" s="1">
        <v>44005</v>
      </c>
      <c r="B3230">
        <v>1000000054</v>
      </c>
      <c r="C3230" t="s">
        <v>15</v>
      </c>
      <c r="D3230">
        <v>2</v>
      </c>
      <c r="E3230">
        <v>22501.08</v>
      </c>
      <c r="F3230" t="s">
        <v>16</v>
      </c>
      <c r="G3230" t="s">
        <v>17</v>
      </c>
      <c r="H3230" t="s">
        <v>18</v>
      </c>
      <c r="I3230" t="s">
        <v>34</v>
      </c>
      <c r="J3230" t="s">
        <v>26</v>
      </c>
      <c r="K3230" t="s">
        <v>35</v>
      </c>
      <c r="L3230" t="s">
        <v>22</v>
      </c>
      <c r="M3230">
        <v>11250.54</v>
      </c>
      <c r="N3230">
        <v>2020</v>
      </c>
      <c r="O3230">
        <v>6</v>
      </c>
    </row>
    <row r="3231" spans="1:15" x14ac:dyDescent="0.3">
      <c r="A3231" s="1">
        <v>44005</v>
      </c>
      <c r="B3231">
        <v>1000000056</v>
      </c>
      <c r="C3231" t="s">
        <v>23</v>
      </c>
      <c r="D3231">
        <v>1</v>
      </c>
      <c r="E3231">
        <v>5000.13</v>
      </c>
      <c r="F3231" t="s">
        <v>16</v>
      </c>
      <c r="G3231" t="s">
        <v>24</v>
      </c>
      <c r="H3231" t="s">
        <v>18</v>
      </c>
      <c r="I3231" t="s">
        <v>34</v>
      </c>
      <c r="J3231" t="s">
        <v>26</v>
      </c>
      <c r="K3231" t="s">
        <v>35</v>
      </c>
      <c r="L3231" t="s">
        <v>28</v>
      </c>
      <c r="M3231">
        <v>5000.13</v>
      </c>
      <c r="N3231">
        <v>2020</v>
      </c>
      <c r="O3231">
        <v>6</v>
      </c>
    </row>
    <row r="3232" spans="1:15" x14ac:dyDescent="0.3">
      <c r="A3232" s="1">
        <v>44005</v>
      </c>
      <c r="B3232">
        <v>1000000056</v>
      </c>
      <c r="C3232" t="s">
        <v>15</v>
      </c>
      <c r="D3232">
        <v>2</v>
      </c>
      <c r="E3232">
        <v>24500.54</v>
      </c>
      <c r="F3232" t="s">
        <v>16</v>
      </c>
      <c r="G3232" t="s">
        <v>17</v>
      </c>
      <c r="H3232" t="s">
        <v>18</v>
      </c>
      <c r="I3232" t="s">
        <v>34</v>
      </c>
      <c r="J3232" t="s">
        <v>26</v>
      </c>
      <c r="K3232" t="s">
        <v>35</v>
      </c>
      <c r="L3232" t="s">
        <v>28</v>
      </c>
      <c r="M3232">
        <v>12250.27</v>
      </c>
      <c r="N3232">
        <v>2020</v>
      </c>
      <c r="O3232">
        <v>6</v>
      </c>
    </row>
    <row r="3233" spans="1:15" x14ac:dyDescent="0.3">
      <c r="A3233" s="1">
        <v>44005</v>
      </c>
      <c r="B3233">
        <v>1000000057</v>
      </c>
      <c r="C3233" t="s">
        <v>23</v>
      </c>
      <c r="D3233">
        <v>1</v>
      </c>
      <c r="E3233">
        <v>3480.71</v>
      </c>
      <c r="F3233" t="s">
        <v>16</v>
      </c>
      <c r="G3233" t="s">
        <v>24</v>
      </c>
      <c r="H3233" t="s">
        <v>18</v>
      </c>
      <c r="I3233" t="s">
        <v>34</v>
      </c>
      <c r="J3233" t="s">
        <v>20</v>
      </c>
      <c r="K3233" t="s">
        <v>44</v>
      </c>
      <c r="L3233" t="s">
        <v>22</v>
      </c>
      <c r="M3233">
        <v>3480.71</v>
      </c>
      <c r="N3233">
        <v>2020</v>
      </c>
      <c r="O3233">
        <v>6</v>
      </c>
    </row>
    <row r="3234" spans="1:15" x14ac:dyDescent="0.3">
      <c r="A3234" s="1">
        <v>44005</v>
      </c>
      <c r="B3234">
        <v>1000000068</v>
      </c>
      <c r="C3234" t="s">
        <v>23</v>
      </c>
      <c r="D3234">
        <v>1</v>
      </c>
      <c r="E3234">
        <v>3252.41</v>
      </c>
      <c r="F3234" t="s">
        <v>16</v>
      </c>
      <c r="G3234" t="s">
        <v>24</v>
      </c>
      <c r="H3234" t="s">
        <v>30</v>
      </c>
      <c r="I3234" t="s">
        <v>55</v>
      </c>
      <c r="J3234" t="s">
        <v>26</v>
      </c>
      <c r="K3234" t="s">
        <v>56</v>
      </c>
      <c r="L3234" t="s">
        <v>28</v>
      </c>
      <c r="M3234">
        <v>3252.41</v>
      </c>
      <c r="N3234">
        <v>2020</v>
      </c>
      <c r="O3234">
        <v>6</v>
      </c>
    </row>
    <row r="3235" spans="1:15" x14ac:dyDescent="0.3">
      <c r="A3235" s="1">
        <v>44005</v>
      </c>
      <c r="B3235">
        <v>1000000104</v>
      </c>
      <c r="C3235" t="s">
        <v>42</v>
      </c>
      <c r="D3235">
        <v>1</v>
      </c>
      <c r="E3235">
        <v>6000.12</v>
      </c>
      <c r="F3235" t="s">
        <v>16</v>
      </c>
      <c r="G3235" t="s">
        <v>43</v>
      </c>
      <c r="H3235" t="s">
        <v>18</v>
      </c>
      <c r="I3235" t="s">
        <v>40</v>
      </c>
      <c r="J3235" t="s">
        <v>26</v>
      </c>
      <c r="K3235" t="s">
        <v>41</v>
      </c>
      <c r="L3235" t="s">
        <v>22</v>
      </c>
      <c r="M3235">
        <v>6000.12</v>
      </c>
      <c r="N3235">
        <v>2020</v>
      </c>
      <c r="O3235">
        <v>6</v>
      </c>
    </row>
    <row r="3236" spans="1:15" x14ac:dyDescent="0.3">
      <c r="A3236" s="1">
        <v>44005</v>
      </c>
      <c r="B3236">
        <v>1000000237</v>
      </c>
      <c r="C3236" t="s">
        <v>23</v>
      </c>
      <c r="D3236">
        <v>1</v>
      </c>
      <c r="E3236">
        <v>5000.1000000000004</v>
      </c>
      <c r="F3236" t="s">
        <v>16</v>
      </c>
      <c r="G3236" t="s">
        <v>24</v>
      </c>
      <c r="H3236" t="s">
        <v>18</v>
      </c>
      <c r="I3236" t="s">
        <v>40</v>
      </c>
      <c r="J3236" t="s">
        <v>26</v>
      </c>
      <c r="K3236" t="s">
        <v>41</v>
      </c>
      <c r="L3236" t="s">
        <v>22</v>
      </c>
      <c r="M3236">
        <v>5000.1000000000004</v>
      </c>
      <c r="N3236">
        <v>2020</v>
      </c>
      <c r="O3236">
        <v>6</v>
      </c>
    </row>
    <row r="3237" spans="1:15" x14ac:dyDescent="0.3">
      <c r="A3237" s="1">
        <v>44005</v>
      </c>
      <c r="B3237">
        <v>1000000237</v>
      </c>
      <c r="C3237" t="s">
        <v>42</v>
      </c>
      <c r="D3237">
        <v>1</v>
      </c>
      <c r="E3237">
        <v>1323.02</v>
      </c>
      <c r="F3237" t="s">
        <v>16</v>
      </c>
      <c r="G3237" t="s">
        <v>43</v>
      </c>
      <c r="H3237" t="s">
        <v>18</v>
      </c>
      <c r="I3237" t="s">
        <v>40</v>
      </c>
      <c r="J3237" t="s">
        <v>26</v>
      </c>
      <c r="K3237" t="s">
        <v>41</v>
      </c>
      <c r="L3237" t="s">
        <v>22</v>
      </c>
      <c r="M3237">
        <v>1323.02</v>
      </c>
      <c r="N3237">
        <v>2020</v>
      </c>
      <c r="O3237">
        <v>6</v>
      </c>
    </row>
    <row r="3238" spans="1:15" x14ac:dyDescent="0.3">
      <c r="A3238" s="1">
        <v>44005</v>
      </c>
      <c r="B3238">
        <v>1000000266</v>
      </c>
      <c r="C3238" t="s">
        <v>23</v>
      </c>
      <c r="D3238">
        <v>1</v>
      </c>
      <c r="E3238">
        <v>18000.080000000002</v>
      </c>
      <c r="F3238" t="s">
        <v>16</v>
      </c>
      <c r="G3238" t="s">
        <v>24</v>
      </c>
      <c r="H3238" t="s">
        <v>30</v>
      </c>
      <c r="I3238" t="s">
        <v>55</v>
      </c>
      <c r="J3238" t="s">
        <v>26</v>
      </c>
      <c r="K3238" t="s">
        <v>56</v>
      </c>
      <c r="L3238" t="s">
        <v>22</v>
      </c>
      <c r="M3238">
        <v>18000.080000000002</v>
      </c>
      <c r="N3238">
        <v>2020</v>
      </c>
      <c r="O3238">
        <v>6</v>
      </c>
    </row>
    <row r="3239" spans="1:15" x14ac:dyDescent="0.3">
      <c r="A3239" s="1">
        <v>44005</v>
      </c>
      <c r="B3239">
        <v>1000000566</v>
      </c>
      <c r="C3239" t="s">
        <v>23</v>
      </c>
      <c r="D3239">
        <v>4</v>
      </c>
      <c r="E3239">
        <v>20000.97</v>
      </c>
      <c r="F3239" t="s">
        <v>16</v>
      </c>
      <c r="G3239" t="s">
        <v>24</v>
      </c>
      <c r="H3239" t="s">
        <v>47</v>
      </c>
      <c r="I3239" t="s">
        <v>48</v>
      </c>
      <c r="J3239" t="s">
        <v>36</v>
      </c>
      <c r="K3239" t="s">
        <v>49</v>
      </c>
      <c r="L3239" t="s">
        <v>22</v>
      </c>
      <c r="M3239">
        <v>5000.2425000000003</v>
      </c>
      <c r="N3239">
        <v>2020</v>
      </c>
      <c r="O3239">
        <v>6</v>
      </c>
    </row>
    <row r="3240" spans="1:15" x14ac:dyDescent="0.3">
      <c r="A3240" s="1">
        <v>44005</v>
      </c>
      <c r="B3240">
        <v>1000000566</v>
      </c>
      <c r="C3240" t="s">
        <v>42</v>
      </c>
      <c r="D3240">
        <v>1</v>
      </c>
      <c r="E3240">
        <v>1680.01</v>
      </c>
      <c r="F3240" t="s">
        <v>16</v>
      </c>
      <c r="G3240" t="s">
        <v>43</v>
      </c>
      <c r="H3240" t="s">
        <v>47</v>
      </c>
      <c r="I3240" t="s">
        <v>48</v>
      </c>
      <c r="J3240" t="s">
        <v>36</v>
      </c>
      <c r="K3240" t="s">
        <v>49</v>
      </c>
      <c r="L3240" t="s">
        <v>22</v>
      </c>
      <c r="M3240">
        <v>1680.01</v>
      </c>
      <c r="N3240">
        <v>2020</v>
      </c>
      <c r="O3240">
        <v>6</v>
      </c>
    </row>
    <row r="3241" spans="1:15" x14ac:dyDescent="0.3">
      <c r="A3241" s="1">
        <v>44005</v>
      </c>
      <c r="B3241">
        <v>1000000576</v>
      </c>
      <c r="C3241" t="s">
        <v>15</v>
      </c>
      <c r="D3241">
        <v>1</v>
      </c>
      <c r="E3241">
        <v>20000.71</v>
      </c>
      <c r="F3241" t="s">
        <v>16</v>
      </c>
      <c r="G3241" t="s">
        <v>17</v>
      </c>
      <c r="H3241" t="s">
        <v>18</v>
      </c>
      <c r="I3241" t="s">
        <v>25</v>
      </c>
      <c r="J3241" t="s">
        <v>36</v>
      </c>
      <c r="K3241" t="s">
        <v>37</v>
      </c>
      <c r="L3241" t="s">
        <v>22</v>
      </c>
      <c r="M3241">
        <v>20000.71</v>
      </c>
      <c r="N3241">
        <v>2020</v>
      </c>
      <c r="O3241">
        <v>6</v>
      </c>
    </row>
    <row r="3242" spans="1:15" x14ac:dyDescent="0.3">
      <c r="A3242" s="1">
        <v>44005</v>
      </c>
      <c r="B3242">
        <v>1000000594</v>
      </c>
      <c r="C3242" t="s">
        <v>15</v>
      </c>
      <c r="D3242">
        <v>2</v>
      </c>
      <c r="E3242">
        <v>38000.82</v>
      </c>
      <c r="F3242" t="s">
        <v>16</v>
      </c>
      <c r="G3242" t="s">
        <v>17</v>
      </c>
      <c r="H3242" t="s">
        <v>18</v>
      </c>
      <c r="I3242" t="s">
        <v>25</v>
      </c>
      <c r="J3242" t="s">
        <v>20</v>
      </c>
      <c r="K3242" t="s">
        <v>51</v>
      </c>
      <c r="L3242" t="s">
        <v>22</v>
      </c>
      <c r="M3242">
        <v>19000.41</v>
      </c>
      <c r="N3242">
        <v>2020</v>
      </c>
      <c r="O3242">
        <v>6</v>
      </c>
    </row>
    <row r="3243" spans="1:15" x14ac:dyDescent="0.3">
      <c r="A3243" s="1">
        <v>44005</v>
      </c>
      <c r="B3243">
        <v>1000000928</v>
      </c>
      <c r="C3243" t="s">
        <v>42</v>
      </c>
      <c r="D3243">
        <v>1</v>
      </c>
      <c r="E3243">
        <v>1698.38</v>
      </c>
      <c r="F3243" t="s">
        <v>16</v>
      </c>
      <c r="G3243" t="s">
        <v>43</v>
      </c>
      <c r="H3243" t="s">
        <v>30</v>
      </c>
      <c r="I3243" t="s">
        <v>57</v>
      </c>
      <c r="J3243" t="s">
        <v>26</v>
      </c>
      <c r="K3243" t="s">
        <v>58</v>
      </c>
      <c r="L3243" t="s">
        <v>22</v>
      </c>
      <c r="M3243">
        <v>1698.38</v>
      </c>
      <c r="N3243">
        <v>2020</v>
      </c>
      <c r="O3243">
        <v>6</v>
      </c>
    </row>
    <row r="3244" spans="1:15" x14ac:dyDescent="0.3">
      <c r="A3244" s="1">
        <v>44005</v>
      </c>
      <c r="B3244">
        <v>1000003926</v>
      </c>
      <c r="C3244" t="s">
        <v>23</v>
      </c>
      <c r="D3244">
        <v>4</v>
      </c>
      <c r="E3244">
        <v>73001.760000000009</v>
      </c>
      <c r="F3244" t="s">
        <v>16</v>
      </c>
      <c r="G3244" t="s">
        <v>24</v>
      </c>
      <c r="H3244" t="s">
        <v>47</v>
      </c>
      <c r="I3244" t="s">
        <v>48</v>
      </c>
      <c r="J3244" t="s">
        <v>26</v>
      </c>
      <c r="K3244" t="s">
        <v>50</v>
      </c>
      <c r="L3244" t="s">
        <v>28</v>
      </c>
      <c r="M3244">
        <v>18250.440000000002</v>
      </c>
      <c r="N3244">
        <v>2020</v>
      </c>
      <c r="O3244">
        <v>6</v>
      </c>
    </row>
    <row r="3245" spans="1:15" x14ac:dyDescent="0.3">
      <c r="A3245" s="1">
        <v>44005</v>
      </c>
      <c r="B3245">
        <v>1000003926</v>
      </c>
      <c r="C3245" t="s">
        <v>15</v>
      </c>
      <c r="D3245">
        <v>1</v>
      </c>
      <c r="E3245">
        <v>12000.21</v>
      </c>
      <c r="F3245" t="s">
        <v>16</v>
      </c>
      <c r="G3245" t="s">
        <v>17</v>
      </c>
      <c r="H3245" t="s">
        <v>47</v>
      </c>
      <c r="I3245" t="s">
        <v>48</v>
      </c>
      <c r="J3245" t="s">
        <v>26</v>
      </c>
      <c r="K3245" t="s">
        <v>50</v>
      </c>
      <c r="L3245" t="s">
        <v>28</v>
      </c>
      <c r="M3245">
        <v>12000.21</v>
      </c>
      <c r="N3245">
        <v>2020</v>
      </c>
      <c r="O3245">
        <v>6</v>
      </c>
    </row>
    <row r="3246" spans="1:15" x14ac:dyDescent="0.3">
      <c r="A3246" s="1">
        <v>44005</v>
      </c>
      <c r="B3246">
        <v>1000004170</v>
      </c>
      <c r="C3246" t="s">
        <v>23</v>
      </c>
      <c r="D3246">
        <v>3</v>
      </c>
      <c r="E3246">
        <v>24000.84</v>
      </c>
      <c r="F3246" t="s">
        <v>16</v>
      </c>
      <c r="G3246" t="s">
        <v>24</v>
      </c>
      <c r="H3246" t="s">
        <v>18</v>
      </c>
      <c r="I3246" t="s">
        <v>34</v>
      </c>
      <c r="J3246" t="s">
        <v>20</v>
      </c>
      <c r="K3246" t="s">
        <v>44</v>
      </c>
      <c r="L3246" t="s">
        <v>28</v>
      </c>
      <c r="M3246">
        <v>8000.28</v>
      </c>
      <c r="N3246">
        <v>2020</v>
      </c>
      <c r="O3246">
        <v>6</v>
      </c>
    </row>
    <row r="3247" spans="1:15" x14ac:dyDescent="0.3">
      <c r="A3247" s="1">
        <v>44005</v>
      </c>
      <c r="B3247">
        <v>1000004170</v>
      </c>
      <c r="C3247" t="s">
        <v>15</v>
      </c>
      <c r="D3247">
        <v>1</v>
      </c>
      <c r="E3247">
        <v>25000.53</v>
      </c>
      <c r="F3247" t="s">
        <v>16</v>
      </c>
      <c r="G3247" t="s">
        <v>17</v>
      </c>
      <c r="H3247" t="s">
        <v>18</v>
      </c>
      <c r="I3247" t="s">
        <v>34</v>
      </c>
      <c r="J3247" t="s">
        <v>20</v>
      </c>
      <c r="K3247" t="s">
        <v>44</v>
      </c>
      <c r="L3247" t="s">
        <v>28</v>
      </c>
      <c r="M3247">
        <v>25000.53</v>
      </c>
      <c r="N3247">
        <v>2020</v>
      </c>
      <c r="O3247">
        <v>6</v>
      </c>
    </row>
    <row r="3248" spans="1:15" x14ac:dyDescent="0.3">
      <c r="A3248" s="1">
        <v>44005</v>
      </c>
      <c r="B3248">
        <v>1000005873</v>
      </c>
      <c r="C3248" t="s">
        <v>23</v>
      </c>
      <c r="D3248">
        <v>1</v>
      </c>
      <c r="E3248">
        <v>7000.06</v>
      </c>
      <c r="F3248" t="s">
        <v>16</v>
      </c>
      <c r="G3248" t="s">
        <v>24</v>
      </c>
      <c r="H3248" t="s">
        <v>18</v>
      </c>
      <c r="I3248" t="s">
        <v>19</v>
      </c>
      <c r="J3248" t="s">
        <v>20</v>
      </c>
      <c r="K3248" t="s">
        <v>21</v>
      </c>
      <c r="L3248" t="s">
        <v>28</v>
      </c>
      <c r="M3248">
        <v>7000.06</v>
      </c>
      <c r="N3248">
        <v>2020</v>
      </c>
      <c r="O3248">
        <v>6</v>
      </c>
    </row>
    <row r="3249" spans="1:15" x14ac:dyDescent="0.3">
      <c r="A3249" s="1">
        <v>44005</v>
      </c>
      <c r="B3249">
        <v>1000005873</v>
      </c>
      <c r="C3249" t="s">
        <v>15</v>
      </c>
      <c r="D3249">
        <v>1</v>
      </c>
      <c r="E3249">
        <v>11000.08</v>
      </c>
      <c r="F3249" t="s">
        <v>16</v>
      </c>
      <c r="G3249" t="s">
        <v>17</v>
      </c>
      <c r="H3249" t="s">
        <v>18</v>
      </c>
      <c r="I3249" t="s">
        <v>19</v>
      </c>
      <c r="J3249" t="s">
        <v>20</v>
      </c>
      <c r="K3249" t="s">
        <v>21</v>
      </c>
      <c r="L3249" t="s">
        <v>28</v>
      </c>
      <c r="M3249">
        <v>11000.08</v>
      </c>
      <c r="N3249">
        <v>2020</v>
      </c>
      <c r="O3249">
        <v>6</v>
      </c>
    </row>
    <row r="3250" spans="1:15" x14ac:dyDescent="0.3">
      <c r="A3250" s="1">
        <v>44005</v>
      </c>
      <c r="B3250">
        <v>1000006698</v>
      </c>
      <c r="C3250" t="s">
        <v>15</v>
      </c>
      <c r="D3250">
        <v>1</v>
      </c>
      <c r="E3250">
        <v>20000.36</v>
      </c>
      <c r="F3250" t="s">
        <v>16</v>
      </c>
      <c r="G3250" t="s">
        <v>17</v>
      </c>
      <c r="H3250" t="s">
        <v>30</v>
      </c>
      <c r="I3250" t="s">
        <v>38</v>
      </c>
      <c r="J3250" t="s">
        <v>26</v>
      </c>
      <c r="K3250" t="s">
        <v>39</v>
      </c>
      <c r="L3250" t="s">
        <v>28</v>
      </c>
      <c r="M3250">
        <v>20000.36</v>
      </c>
      <c r="N3250">
        <v>2020</v>
      </c>
      <c r="O3250">
        <v>6</v>
      </c>
    </row>
    <row r="3251" spans="1:15" x14ac:dyDescent="0.3">
      <c r="A3251" s="1">
        <v>44005</v>
      </c>
      <c r="B3251">
        <v>1000006867</v>
      </c>
      <c r="C3251" t="s">
        <v>23</v>
      </c>
      <c r="D3251">
        <v>1</v>
      </c>
      <c r="E3251">
        <v>5000.0600000000004</v>
      </c>
      <c r="F3251" t="s">
        <v>16</v>
      </c>
      <c r="G3251" t="s">
        <v>24</v>
      </c>
      <c r="H3251" t="s">
        <v>18</v>
      </c>
      <c r="I3251" t="s">
        <v>61</v>
      </c>
      <c r="J3251" t="s">
        <v>26</v>
      </c>
      <c r="K3251" t="s">
        <v>62</v>
      </c>
      <c r="L3251" t="s">
        <v>22</v>
      </c>
      <c r="M3251">
        <v>5000.0600000000004</v>
      </c>
      <c r="N3251">
        <v>2020</v>
      </c>
      <c r="O3251">
        <v>6</v>
      </c>
    </row>
    <row r="3252" spans="1:15" x14ac:dyDescent="0.3">
      <c r="A3252" s="1">
        <v>44005</v>
      </c>
      <c r="B3252">
        <v>1000008228</v>
      </c>
      <c r="C3252" t="s">
        <v>23</v>
      </c>
      <c r="D3252">
        <v>2</v>
      </c>
      <c r="E3252">
        <v>12000.599999999999</v>
      </c>
      <c r="F3252" t="s">
        <v>16</v>
      </c>
      <c r="G3252" t="s">
        <v>24</v>
      </c>
      <c r="H3252" t="s">
        <v>30</v>
      </c>
      <c r="I3252" t="s">
        <v>31</v>
      </c>
      <c r="J3252" t="s">
        <v>36</v>
      </c>
      <c r="K3252" t="s">
        <v>52</v>
      </c>
      <c r="L3252" t="s">
        <v>22</v>
      </c>
      <c r="M3252">
        <v>6000.2999999999993</v>
      </c>
      <c r="N3252">
        <v>2020</v>
      </c>
      <c r="O3252">
        <v>6</v>
      </c>
    </row>
    <row r="3253" spans="1:15" x14ac:dyDescent="0.3">
      <c r="A3253" s="1">
        <v>44005</v>
      </c>
      <c r="B3253">
        <v>1000008228</v>
      </c>
      <c r="C3253" t="s">
        <v>15</v>
      </c>
      <c r="D3253">
        <v>1</v>
      </c>
      <c r="E3253">
        <v>18000.37</v>
      </c>
      <c r="F3253" t="s">
        <v>16</v>
      </c>
      <c r="G3253" t="s">
        <v>17</v>
      </c>
      <c r="H3253" t="s">
        <v>30</v>
      </c>
      <c r="I3253" t="s">
        <v>31</v>
      </c>
      <c r="J3253" t="s">
        <v>36</v>
      </c>
      <c r="K3253" t="s">
        <v>52</v>
      </c>
      <c r="L3253" t="s">
        <v>22</v>
      </c>
      <c r="M3253">
        <v>18000.37</v>
      </c>
      <c r="N3253">
        <v>2020</v>
      </c>
      <c r="O3253">
        <v>6</v>
      </c>
    </row>
    <row r="3254" spans="1:15" x14ac:dyDescent="0.3">
      <c r="A3254" s="1">
        <v>44005</v>
      </c>
      <c r="B3254">
        <v>1000008239</v>
      </c>
      <c r="C3254" t="s">
        <v>23</v>
      </c>
      <c r="D3254">
        <v>1</v>
      </c>
      <c r="E3254">
        <v>10000</v>
      </c>
      <c r="F3254" t="s">
        <v>16</v>
      </c>
      <c r="G3254" t="s">
        <v>24</v>
      </c>
      <c r="H3254" t="s">
        <v>18</v>
      </c>
      <c r="I3254" t="s">
        <v>61</v>
      </c>
      <c r="J3254" t="s">
        <v>26</v>
      </c>
      <c r="K3254" t="s">
        <v>62</v>
      </c>
      <c r="L3254" t="s">
        <v>28</v>
      </c>
      <c r="M3254">
        <v>10000</v>
      </c>
      <c r="N3254">
        <v>2020</v>
      </c>
      <c r="O3254">
        <v>6</v>
      </c>
    </row>
    <row r="3255" spans="1:15" x14ac:dyDescent="0.3">
      <c r="A3255" s="1">
        <v>44005</v>
      </c>
      <c r="B3255">
        <v>1000008957</v>
      </c>
      <c r="C3255" t="s">
        <v>42</v>
      </c>
      <c r="D3255">
        <v>1</v>
      </c>
      <c r="E3255">
        <v>11000.34</v>
      </c>
      <c r="F3255" t="s">
        <v>16</v>
      </c>
      <c r="G3255" t="s">
        <v>43</v>
      </c>
      <c r="H3255" t="s">
        <v>18</v>
      </c>
      <c r="I3255" t="s">
        <v>34</v>
      </c>
      <c r="J3255" t="s">
        <v>20</v>
      </c>
      <c r="K3255" t="s">
        <v>44</v>
      </c>
      <c r="L3255" t="s">
        <v>22</v>
      </c>
      <c r="M3255">
        <v>11000.34</v>
      </c>
      <c r="N3255">
        <v>2020</v>
      </c>
      <c r="O3255">
        <v>6</v>
      </c>
    </row>
    <row r="3256" spans="1:15" x14ac:dyDescent="0.3">
      <c r="A3256" s="1">
        <v>44005</v>
      </c>
      <c r="B3256">
        <v>1000009288</v>
      </c>
      <c r="C3256" t="s">
        <v>15</v>
      </c>
      <c r="D3256">
        <v>1</v>
      </c>
      <c r="E3256">
        <v>15000.2</v>
      </c>
      <c r="F3256" t="s">
        <v>16</v>
      </c>
      <c r="G3256" t="s">
        <v>17</v>
      </c>
      <c r="H3256" t="s">
        <v>18</v>
      </c>
      <c r="I3256" t="s">
        <v>25</v>
      </c>
      <c r="J3256" t="s">
        <v>20</v>
      </c>
      <c r="K3256" t="s">
        <v>51</v>
      </c>
      <c r="L3256" t="s">
        <v>22</v>
      </c>
      <c r="M3256">
        <v>15000.2</v>
      </c>
      <c r="N3256">
        <v>2020</v>
      </c>
      <c r="O3256">
        <v>6</v>
      </c>
    </row>
    <row r="3257" spans="1:15" x14ac:dyDescent="0.3">
      <c r="A3257" s="1">
        <v>44005</v>
      </c>
      <c r="B3257">
        <v>1000011538</v>
      </c>
      <c r="C3257" t="s">
        <v>23</v>
      </c>
      <c r="D3257">
        <v>1</v>
      </c>
      <c r="E3257">
        <v>5000.59</v>
      </c>
      <c r="F3257" t="s">
        <v>16</v>
      </c>
      <c r="G3257" t="s">
        <v>24</v>
      </c>
      <c r="H3257" t="s">
        <v>18</v>
      </c>
      <c r="I3257" t="s">
        <v>40</v>
      </c>
      <c r="J3257" t="s">
        <v>20</v>
      </c>
      <c r="K3257" t="s">
        <v>68</v>
      </c>
      <c r="L3257" t="s">
        <v>22</v>
      </c>
      <c r="M3257">
        <v>5000.59</v>
      </c>
      <c r="N3257">
        <v>2020</v>
      </c>
      <c r="O3257">
        <v>6</v>
      </c>
    </row>
    <row r="3258" spans="1:15" x14ac:dyDescent="0.3">
      <c r="A3258" s="1">
        <v>44005</v>
      </c>
      <c r="B3258">
        <v>1000011697</v>
      </c>
      <c r="C3258" t="s">
        <v>23</v>
      </c>
      <c r="D3258">
        <v>2</v>
      </c>
      <c r="E3258">
        <v>24000.52</v>
      </c>
      <c r="F3258" t="s">
        <v>16</v>
      </c>
      <c r="G3258" t="s">
        <v>24</v>
      </c>
      <c r="H3258" t="s">
        <v>18</v>
      </c>
      <c r="I3258" t="s">
        <v>34</v>
      </c>
      <c r="J3258" t="s">
        <v>20</v>
      </c>
      <c r="K3258" t="s">
        <v>44</v>
      </c>
      <c r="L3258" t="s">
        <v>22</v>
      </c>
      <c r="M3258">
        <v>12000.26</v>
      </c>
      <c r="N3258">
        <v>2020</v>
      </c>
      <c r="O3258">
        <v>6</v>
      </c>
    </row>
    <row r="3259" spans="1:15" x14ac:dyDescent="0.3">
      <c r="A3259" s="1">
        <v>44005</v>
      </c>
      <c r="B3259">
        <v>1000011828</v>
      </c>
      <c r="C3259" t="s">
        <v>15</v>
      </c>
      <c r="D3259">
        <v>1</v>
      </c>
      <c r="E3259">
        <v>25000.23</v>
      </c>
      <c r="F3259" t="s">
        <v>16</v>
      </c>
      <c r="G3259" t="s">
        <v>17</v>
      </c>
      <c r="H3259" t="s">
        <v>18</v>
      </c>
      <c r="I3259" t="s">
        <v>19</v>
      </c>
      <c r="J3259" t="s">
        <v>20</v>
      </c>
      <c r="K3259" t="s">
        <v>21</v>
      </c>
      <c r="L3259" t="s">
        <v>22</v>
      </c>
      <c r="M3259">
        <v>25000.23</v>
      </c>
      <c r="N3259">
        <v>2020</v>
      </c>
      <c r="O3259">
        <v>6</v>
      </c>
    </row>
    <row r="3260" spans="1:15" x14ac:dyDescent="0.3">
      <c r="A3260" s="1">
        <v>44005</v>
      </c>
      <c r="B3260">
        <v>1000012099</v>
      </c>
      <c r="C3260" t="s">
        <v>23</v>
      </c>
      <c r="D3260">
        <v>1</v>
      </c>
      <c r="E3260">
        <v>25000.42</v>
      </c>
      <c r="F3260" t="s">
        <v>16</v>
      </c>
      <c r="G3260" t="s">
        <v>24</v>
      </c>
      <c r="H3260" t="s">
        <v>18</v>
      </c>
      <c r="I3260" t="s">
        <v>19</v>
      </c>
      <c r="J3260" t="s">
        <v>20</v>
      </c>
      <c r="K3260" t="s">
        <v>21</v>
      </c>
      <c r="L3260" t="s">
        <v>22</v>
      </c>
      <c r="M3260">
        <v>25000.42</v>
      </c>
      <c r="N3260">
        <v>2020</v>
      </c>
      <c r="O3260">
        <v>6</v>
      </c>
    </row>
    <row r="3261" spans="1:15" x14ac:dyDescent="0.3">
      <c r="A3261" s="1">
        <v>44005</v>
      </c>
      <c r="B3261">
        <v>1000012099</v>
      </c>
      <c r="C3261" t="s">
        <v>15</v>
      </c>
      <c r="D3261">
        <v>1</v>
      </c>
      <c r="E3261">
        <v>7000.11</v>
      </c>
      <c r="F3261" t="s">
        <v>16</v>
      </c>
      <c r="G3261" t="s">
        <v>17</v>
      </c>
      <c r="H3261" t="s">
        <v>18</v>
      </c>
      <c r="I3261" t="s">
        <v>19</v>
      </c>
      <c r="J3261" t="s">
        <v>20</v>
      </c>
      <c r="K3261" t="s">
        <v>21</v>
      </c>
      <c r="L3261" t="s">
        <v>22</v>
      </c>
      <c r="M3261">
        <v>7000.11</v>
      </c>
      <c r="N3261">
        <v>2020</v>
      </c>
      <c r="O3261">
        <v>6</v>
      </c>
    </row>
    <row r="3262" spans="1:15" x14ac:dyDescent="0.3">
      <c r="A3262" s="1">
        <v>44005</v>
      </c>
      <c r="B3262">
        <v>1000012112</v>
      </c>
      <c r="C3262" t="s">
        <v>23</v>
      </c>
      <c r="D3262">
        <v>1</v>
      </c>
      <c r="E3262">
        <v>15000.11</v>
      </c>
      <c r="F3262" t="s">
        <v>16</v>
      </c>
      <c r="G3262" t="s">
        <v>24</v>
      </c>
      <c r="H3262" t="s">
        <v>18</v>
      </c>
      <c r="I3262" t="s">
        <v>19</v>
      </c>
      <c r="J3262" t="s">
        <v>36</v>
      </c>
      <c r="K3262" t="s">
        <v>64</v>
      </c>
      <c r="L3262" t="s">
        <v>28</v>
      </c>
      <c r="M3262">
        <v>15000.11</v>
      </c>
      <c r="N3262">
        <v>2020</v>
      </c>
      <c r="O3262">
        <v>6</v>
      </c>
    </row>
    <row r="3263" spans="1:15" x14ac:dyDescent="0.3">
      <c r="A3263" s="1">
        <v>44005</v>
      </c>
      <c r="B3263">
        <v>1000012112</v>
      </c>
      <c r="C3263" t="s">
        <v>15</v>
      </c>
      <c r="D3263">
        <v>2</v>
      </c>
      <c r="E3263">
        <v>14501.03</v>
      </c>
      <c r="F3263" t="s">
        <v>16</v>
      </c>
      <c r="G3263" t="s">
        <v>17</v>
      </c>
      <c r="H3263" t="s">
        <v>18</v>
      </c>
      <c r="I3263" t="s">
        <v>19</v>
      </c>
      <c r="J3263" t="s">
        <v>36</v>
      </c>
      <c r="K3263" t="s">
        <v>64</v>
      </c>
      <c r="L3263" t="s">
        <v>28</v>
      </c>
      <c r="M3263">
        <v>7250.5150000000003</v>
      </c>
      <c r="N3263">
        <v>2020</v>
      </c>
      <c r="O3263">
        <v>6</v>
      </c>
    </row>
    <row r="3264" spans="1:15" x14ac:dyDescent="0.3">
      <c r="A3264" s="1">
        <v>44005</v>
      </c>
      <c r="B3264">
        <v>1000012124</v>
      </c>
      <c r="C3264" t="s">
        <v>15</v>
      </c>
      <c r="D3264">
        <v>1</v>
      </c>
      <c r="E3264">
        <v>22000.57</v>
      </c>
      <c r="F3264" t="s">
        <v>16</v>
      </c>
      <c r="G3264" t="s">
        <v>17</v>
      </c>
      <c r="H3264" t="s">
        <v>18</v>
      </c>
      <c r="I3264" t="s">
        <v>19</v>
      </c>
      <c r="J3264" t="s">
        <v>26</v>
      </c>
      <c r="K3264" t="s">
        <v>29</v>
      </c>
      <c r="L3264" t="s">
        <v>22</v>
      </c>
      <c r="M3264">
        <v>22000.57</v>
      </c>
      <c r="N3264">
        <v>2020</v>
      </c>
      <c r="O3264">
        <v>6</v>
      </c>
    </row>
    <row r="3265" spans="1:15" x14ac:dyDescent="0.3">
      <c r="A3265" s="1">
        <v>44005</v>
      </c>
      <c r="B3265">
        <v>1000012126</v>
      </c>
      <c r="C3265" t="s">
        <v>42</v>
      </c>
      <c r="D3265">
        <v>2</v>
      </c>
      <c r="E3265">
        <v>26000.67</v>
      </c>
      <c r="F3265" t="s">
        <v>16</v>
      </c>
      <c r="G3265" t="s">
        <v>43</v>
      </c>
      <c r="H3265" t="s">
        <v>18</v>
      </c>
      <c r="I3265" t="s">
        <v>19</v>
      </c>
      <c r="J3265" t="s">
        <v>26</v>
      </c>
      <c r="K3265" t="s">
        <v>29</v>
      </c>
      <c r="L3265" t="s">
        <v>22</v>
      </c>
      <c r="M3265">
        <v>13000.334999999999</v>
      </c>
      <c r="N3265">
        <v>2020</v>
      </c>
      <c r="O3265">
        <v>6</v>
      </c>
    </row>
    <row r="3266" spans="1:15" x14ac:dyDescent="0.3">
      <c r="A3266" s="1">
        <v>44005</v>
      </c>
      <c r="B3266">
        <v>1000012234</v>
      </c>
      <c r="C3266" t="s">
        <v>42</v>
      </c>
      <c r="D3266">
        <v>1</v>
      </c>
      <c r="E3266">
        <v>17000.21</v>
      </c>
      <c r="F3266" t="s">
        <v>16</v>
      </c>
      <c r="G3266" t="s">
        <v>43</v>
      </c>
      <c r="H3266" t="s">
        <v>18</v>
      </c>
      <c r="I3266" t="s">
        <v>25</v>
      </c>
      <c r="J3266" t="s">
        <v>26</v>
      </c>
      <c r="K3266" t="s">
        <v>27</v>
      </c>
      <c r="L3266" t="s">
        <v>22</v>
      </c>
      <c r="M3266">
        <v>17000.21</v>
      </c>
      <c r="N3266">
        <v>2020</v>
      </c>
      <c r="O3266">
        <v>6</v>
      </c>
    </row>
    <row r="3267" spans="1:15" x14ac:dyDescent="0.3">
      <c r="A3267" s="1">
        <v>44005</v>
      </c>
      <c r="B3267">
        <v>1000012394</v>
      </c>
      <c r="C3267" t="s">
        <v>15</v>
      </c>
      <c r="D3267">
        <v>1</v>
      </c>
      <c r="E3267">
        <v>6999.99</v>
      </c>
      <c r="F3267" t="s">
        <v>16</v>
      </c>
      <c r="G3267" t="s">
        <v>17</v>
      </c>
      <c r="H3267" t="s">
        <v>18</v>
      </c>
      <c r="I3267" t="s">
        <v>61</v>
      </c>
      <c r="J3267" t="s">
        <v>26</v>
      </c>
      <c r="K3267" t="s">
        <v>62</v>
      </c>
      <c r="L3267" t="s">
        <v>22</v>
      </c>
      <c r="M3267">
        <v>6999.99</v>
      </c>
      <c r="N3267">
        <v>2020</v>
      </c>
      <c r="O3267">
        <v>6</v>
      </c>
    </row>
    <row r="3268" spans="1:15" x14ac:dyDescent="0.3">
      <c r="A3268" s="1">
        <v>44005</v>
      </c>
      <c r="B3268">
        <v>1000012446</v>
      </c>
      <c r="C3268" t="s">
        <v>23</v>
      </c>
      <c r="D3268">
        <v>1</v>
      </c>
      <c r="E3268">
        <v>4999.96</v>
      </c>
      <c r="F3268" t="s">
        <v>16</v>
      </c>
      <c r="G3268" t="s">
        <v>24</v>
      </c>
      <c r="H3268" t="s">
        <v>30</v>
      </c>
      <c r="I3268" t="s">
        <v>31</v>
      </c>
      <c r="J3268" t="s">
        <v>36</v>
      </c>
      <c r="K3268" t="s">
        <v>52</v>
      </c>
      <c r="L3268" t="s">
        <v>22</v>
      </c>
      <c r="M3268">
        <v>4999.96</v>
      </c>
      <c r="N3268">
        <v>2020</v>
      </c>
      <c r="O3268">
        <v>6</v>
      </c>
    </row>
    <row r="3269" spans="1:15" x14ac:dyDescent="0.3">
      <c r="A3269" s="1">
        <v>44005</v>
      </c>
      <c r="B3269">
        <v>1000012675</v>
      </c>
      <c r="C3269" t="s">
        <v>23</v>
      </c>
      <c r="D3269">
        <v>1</v>
      </c>
      <c r="E3269">
        <v>14000.62</v>
      </c>
      <c r="F3269" t="s">
        <v>16</v>
      </c>
      <c r="G3269" t="s">
        <v>24</v>
      </c>
      <c r="H3269" t="s">
        <v>18</v>
      </c>
      <c r="I3269" t="s">
        <v>34</v>
      </c>
      <c r="J3269" t="s">
        <v>26</v>
      </c>
      <c r="K3269" t="s">
        <v>35</v>
      </c>
      <c r="L3269" t="s">
        <v>22</v>
      </c>
      <c r="M3269">
        <v>14000.62</v>
      </c>
      <c r="N3269">
        <v>2020</v>
      </c>
      <c r="O3269">
        <v>6</v>
      </c>
    </row>
    <row r="3270" spans="1:15" x14ac:dyDescent="0.3">
      <c r="A3270" s="1">
        <v>44005</v>
      </c>
      <c r="B3270">
        <v>1000013526</v>
      </c>
      <c r="C3270" t="s">
        <v>23</v>
      </c>
      <c r="D3270">
        <v>1</v>
      </c>
      <c r="E3270">
        <v>6000.61</v>
      </c>
      <c r="F3270" t="s">
        <v>16</v>
      </c>
      <c r="G3270" t="s">
        <v>24</v>
      </c>
      <c r="H3270" t="s">
        <v>47</v>
      </c>
      <c r="I3270" t="s">
        <v>65</v>
      </c>
      <c r="J3270" t="s">
        <v>26</v>
      </c>
      <c r="K3270" t="s">
        <v>66</v>
      </c>
      <c r="L3270" t="s">
        <v>22</v>
      </c>
      <c r="M3270">
        <v>6000.61</v>
      </c>
      <c r="N3270">
        <v>2020</v>
      </c>
      <c r="O3270">
        <v>6</v>
      </c>
    </row>
    <row r="3271" spans="1:15" x14ac:dyDescent="0.3">
      <c r="A3271" s="1">
        <v>44005</v>
      </c>
      <c r="B3271">
        <v>1000014037</v>
      </c>
      <c r="C3271" t="s">
        <v>15</v>
      </c>
      <c r="D3271">
        <v>1</v>
      </c>
      <c r="E3271">
        <v>25000.3</v>
      </c>
      <c r="F3271" t="s">
        <v>16</v>
      </c>
      <c r="G3271" t="s">
        <v>17</v>
      </c>
      <c r="H3271" t="s">
        <v>18</v>
      </c>
      <c r="I3271" t="s">
        <v>25</v>
      </c>
      <c r="J3271" t="s">
        <v>36</v>
      </c>
      <c r="K3271" t="s">
        <v>37</v>
      </c>
      <c r="L3271" t="s">
        <v>22</v>
      </c>
      <c r="M3271">
        <v>25000.3</v>
      </c>
      <c r="N3271">
        <v>2020</v>
      </c>
      <c r="O3271">
        <v>6</v>
      </c>
    </row>
    <row r="3272" spans="1:15" x14ac:dyDescent="0.3">
      <c r="A3272" s="1">
        <v>44005</v>
      </c>
      <c r="B3272">
        <v>1000014273</v>
      </c>
      <c r="C3272" t="s">
        <v>23</v>
      </c>
      <c r="D3272">
        <v>1</v>
      </c>
      <c r="E3272">
        <v>17000.11</v>
      </c>
      <c r="F3272" t="s">
        <v>16</v>
      </c>
      <c r="G3272" t="s">
        <v>24</v>
      </c>
      <c r="H3272" t="s">
        <v>18</v>
      </c>
      <c r="I3272" t="s">
        <v>19</v>
      </c>
      <c r="J3272" t="s">
        <v>20</v>
      </c>
      <c r="K3272" t="s">
        <v>21</v>
      </c>
      <c r="L3272" t="s">
        <v>22</v>
      </c>
      <c r="M3272">
        <v>17000.11</v>
      </c>
      <c r="N3272">
        <v>2020</v>
      </c>
      <c r="O3272">
        <v>6</v>
      </c>
    </row>
    <row r="3273" spans="1:15" x14ac:dyDescent="0.3">
      <c r="A3273" s="1">
        <v>44005</v>
      </c>
      <c r="B3273">
        <v>1000014291</v>
      </c>
      <c r="C3273" t="s">
        <v>23</v>
      </c>
      <c r="D3273">
        <v>2</v>
      </c>
      <c r="E3273">
        <v>24000.739999999998</v>
      </c>
      <c r="F3273" t="s">
        <v>16</v>
      </c>
      <c r="G3273" t="s">
        <v>24</v>
      </c>
      <c r="H3273" t="s">
        <v>47</v>
      </c>
      <c r="I3273" t="s">
        <v>48</v>
      </c>
      <c r="J3273" t="s">
        <v>20</v>
      </c>
      <c r="K3273" t="s">
        <v>67</v>
      </c>
      <c r="L3273" t="s">
        <v>28</v>
      </c>
      <c r="M3273">
        <v>12000.369999999999</v>
      </c>
      <c r="N3273">
        <v>2020</v>
      </c>
      <c r="O3273">
        <v>6</v>
      </c>
    </row>
    <row r="3274" spans="1:15" x14ac:dyDescent="0.3">
      <c r="A3274" s="1">
        <v>44005</v>
      </c>
      <c r="B3274">
        <v>1000014291</v>
      </c>
      <c r="C3274" t="s">
        <v>15</v>
      </c>
      <c r="D3274">
        <v>1</v>
      </c>
      <c r="E3274">
        <v>7000.18</v>
      </c>
      <c r="F3274" t="s">
        <v>16</v>
      </c>
      <c r="G3274" t="s">
        <v>17</v>
      </c>
      <c r="H3274" t="s">
        <v>47</v>
      </c>
      <c r="I3274" t="s">
        <v>48</v>
      </c>
      <c r="J3274" t="s">
        <v>20</v>
      </c>
      <c r="K3274" t="s">
        <v>67</v>
      </c>
      <c r="L3274" t="s">
        <v>28</v>
      </c>
      <c r="M3274">
        <v>7000.18</v>
      </c>
      <c r="N3274">
        <v>2020</v>
      </c>
      <c r="O3274">
        <v>6</v>
      </c>
    </row>
    <row r="3275" spans="1:15" x14ac:dyDescent="0.3">
      <c r="A3275" s="1">
        <v>44005</v>
      </c>
      <c r="B3275">
        <v>1000014530</v>
      </c>
      <c r="C3275" t="s">
        <v>23</v>
      </c>
      <c r="D3275">
        <v>3</v>
      </c>
      <c r="E3275">
        <v>39000.909999999996</v>
      </c>
      <c r="F3275" t="s">
        <v>16</v>
      </c>
      <c r="G3275" t="s">
        <v>24</v>
      </c>
      <c r="H3275" t="s">
        <v>47</v>
      </c>
      <c r="I3275" t="s">
        <v>65</v>
      </c>
      <c r="J3275" t="s">
        <v>26</v>
      </c>
      <c r="K3275" t="s">
        <v>66</v>
      </c>
      <c r="L3275" t="s">
        <v>22</v>
      </c>
      <c r="M3275">
        <v>13000.303333333331</v>
      </c>
      <c r="N3275">
        <v>2020</v>
      </c>
      <c r="O3275">
        <v>6</v>
      </c>
    </row>
    <row r="3276" spans="1:15" x14ac:dyDescent="0.3">
      <c r="A3276" s="1">
        <v>44005</v>
      </c>
      <c r="B3276">
        <v>1000014530</v>
      </c>
      <c r="C3276" t="s">
        <v>15</v>
      </c>
      <c r="D3276">
        <v>2</v>
      </c>
      <c r="E3276">
        <v>21001</v>
      </c>
      <c r="F3276" t="s">
        <v>16</v>
      </c>
      <c r="G3276" t="s">
        <v>17</v>
      </c>
      <c r="H3276" t="s">
        <v>47</v>
      </c>
      <c r="I3276" t="s">
        <v>65</v>
      </c>
      <c r="J3276" t="s">
        <v>26</v>
      </c>
      <c r="K3276" t="s">
        <v>66</v>
      </c>
      <c r="L3276" t="s">
        <v>22</v>
      </c>
      <c r="M3276">
        <v>10500.5</v>
      </c>
      <c r="N3276">
        <v>2020</v>
      </c>
      <c r="O3276">
        <v>6</v>
      </c>
    </row>
    <row r="3277" spans="1:15" x14ac:dyDescent="0.3">
      <c r="A3277" s="1">
        <v>44005</v>
      </c>
      <c r="B3277">
        <v>1000014572</v>
      </c>
      <c r="C3277" t="s">
        <v>15</v>
      </c>
      <c r="D3277">
        <v>1</v>
      </c>
      <c r="E3277">
        <v>10000.51</v>
      </c>
      <c r="F3277" t="s">
        <v>16</v>
      </c>
      <c r="G3277" t="s">
        <v>17</v>
      </c>
      <c r="H3277" t="s">
        <v>18</v>
      </c>
      <c r="I3277" t="s">
        <v>34</v>
      </c>
      <c r="J3277" t="s">
        <v>26</v>
      </c>
      <c r="K3277" t="s">
        <v>35</v>
      </c>
      <c r="L3277" t="s">
        <v>22</v>
      </c>
      <c r="M3277">
        <v>10000.51</v>
      </c>
      <c r="N3277">
        <v>2020</v>
      </c>
      <c r="O3277">
        <v>6</v>
      </c>
    </row>
    <row r="3278" spans="1:15" x14ac:dyDescent="0.3">
      <c r="A3278" s="1">
        <v>44005</v>
      </c>
      <c r="B3278">
        <v>1000014572</v>
      </c>
      <c r="C3278" t="s">
        <v>42</v>
      </c>
      <c r="D3278">
        <v>1</v>
      </c>
      <c r="E3278">
        <v>8000.63</v>
      </c>
      <c r="F3278" t="s">
        <v>16</v>
      </c>
      <c r="G3278" t="s">
        <v>43</v>
      </c>
      <c r="H3278" t="s">
        <v>18</v>
      </c>
      <c r="I3278" t="s">
        <v>34</v>
      </c>
      <c r="J3278" t="s">
        <v>26</v>
      </c>
      <c r="K3278" t="s">
        <v>35</v>
      </c>
      <c r="L3278" t="s">
        <v>22</v>
      </c>
      <c r="M3278">
        <v>8000.63</v>
      </c>
      <c r="N3278">
        <v>2020</v>
      </c>
      <c r="O3278">
        <v>6</v>
      </c>
    </row>
    <row r="3279" spans="1:15" x14ac:dyDescent="0.3">
      <c r="A3279" s="1">
        <v>44005</v>
      </c>
      <c r="B3279">
        <v>1000015013</v>
      </c>
      <c r="C3279" t="s">
        <v>15</v>
      </c>
      <c r="D3279">
        <v>1</v>
      </c>
      <c r="E3279">
        <v>13780</v>
      </c>
      <c r="F3279" t="s">
        <v>16</v>
      </c>
      <c r="G3279" t="s">
        <v>17</v>
      </c>
      <c r="H3279" t="s">
        <v>18</v>
      </c>
      <c r="I3279" t="s">
        <v>19</v>
      </c>
      <c r="J3279" t="s">
        <v>26</v>
      </c>
      <c r="K3279" t="s">
        <v>29</v>
      </c>
      <c r="L3279" t="s">
        <v>22</v>
      </c>
      <c r="M3279">
        <v>13780</v>
      </c>
      <c r="N3279">
        <v>2020</v>
      </c>
      <c r="O3279">
        <v>6</v>
      </c>
    </row>
    <row r="3280" spans="1:15" x14ac:dyDescent="0.3">
      <c r="A3280" s="1">
        <v>44005</v>
      </c>
      <c r="B3280">
        <v>1000015133</v>
      </c>
      <c r="C3280" t="s">
        <v>15</v>
      </c>
      <c r="D3280">
        <v>1</v>
      </c>
      <c r="E3280">
        <v>5000.3900000000003</v>
      </c>
      <c r="F3280" t="s">
        <v>16</v>
      </c>
      <c r="G3280" t="s">
        <v>17</v>
      </c>
      <c r="H3280" t="s">
        <v>30</v>
      </c>
      <c r="I3280" t="s">
        <v>31</v>
      </c>
      <c r="J3280" t="s">
        <v>36</v>
      </c>
      <c r="K3280" t="s">
        <v>52</v>
      </c>
      <c r="L3280" t="s">
        <v>22</v>
      </c>
      <c r="M3280">
        <v>5000.3900000000003</v>
      </c>
      <c r="N3280">
        <v>2020</v>
      </c>
      <c r="O3280">
        <v>6</v>
      </c>
    </row>
    <row r="3281" spans="1:15" x14ac:dyDescent="0.3">
      <c r="A3281" s="1">
        <v>44005</v>
      </c>
      <c r="B3281">
        <v>1000015788</v>
      </c>
      <c r="C3281" t="s">
        <v>15</v>
      </c>
      <c r="D3281">
        <v>1</v>
      </c>
      <c r="E3281">
        <v>15000.32</v>
      </c>
      <c r="F3281" t="s">
        <v>16</v>
      </c>
      <c r="G3281" t="s">
        <v>17</v>
      </c>
      <c r="H3281" t="s">
        <v>30</v>
      </c>
      <c r="I3281" t="s">
        <v>31</v>
      </c>
      <c r="J3281" t="s">
        <v>36</v>
      </c>
      <c r="K3281" t="s">
        <v>52</v>
      </c>
      <c r="L3281" t="s">
        <v>22</v>
      </c>
      <c r="M3281">
        <v>15000.32</v>
      </c>
      <c r="N3281">
        <v>2020</v>
      </c>
      <c r="O3281">
        <v>6</v>
      </c>
    </row>
    <row r="3282" spans="1:15" x14ac:dyDescent="0.3">
      <c r="A3282" s="1">
        <v>44005</v>
      </c>
      <c r="B3282">
        <v>1000017576</v>
      </c>
      <c r="C3282" t="s">
        <v>15</v>
      </c>
      <c r="D3282">
        <v>1</v>
      </c>
      <c r="E3282">
        <v>15000.75</v>
      </c>
      <c r="F3282" t="s">
        <v>16</v>
      </c>
      <c r="G3282" t="s">
        <v>17</v>
      </c>
      <c r="H3282" t="s">
        <v>18</v>
      </c>
      <c r="I3282" t="s">
        <v>19</v>
      </c>
      <c r="J3282" t="s">
        <v>36</v>
      </c>
      <c r="K3282" t="s">
        <v>64</v>
      </c>
      <c r="L3282" t="s">
        <v>22</v>
      </c>
      <c r="M3282">
        <v>15000.75</v>
      </c>
      <c r="N3282">
        <v>2020</v>
      </c>
      <c r="O3282">
        <v>6</v>
      </c>
    </row>
    <row r="3283" spans="1:15" x14ac:dyDescent="0.3">
      <c r="A3283" s="1">
        <v>44005</v>
      </c>
      <c r="B3283">
        <v>1000017688</v>
      </c>
      <c r="C3283" t="s">
        <v>15</v>
      </c>
      <c r="D3283">
        <v>1</v>
      </c>
      <c r="E3283">
        <v>12999.95</v>
      </c>
      <c r="F3283" t="s">
        <v>16</v>
      </c>
      <c r="G3283" t="s">
        <v>17</v>
      </c>
      <c r="H3283" t="s">
        <v>47</v>
      </c>
      <c r="I3283" t="s">
        <v>48</v>
      </c>
      <c r="J3283" t="s">
        <v>36</v>
      </c>
      <c r="K3283" t="s">
        <v>49</v>
      </c>
      <c r="L3283" t="s">
        <v>22</v>
      </c>
      <c r="M3283">
        <v>12999.95</v>
      </c>
      <c r="N3283">
        <v>2020</v>
      </c>
      <c r="O3283">
        <v>6</v>
      </c>
    </row>
    <row r="3284" spans="1:15" x14ac:dyDescent="0.3">
      <c r="A3284" s="1">
        <v>44005</v>
      </c>
      <c r="B3284">
        <v>1000018132</v>
      </c>
      <c r="C3284" t="s">
        <v>15</v>
      </c>
      <c r="D3284">
        <v>1</v>
      </c>
      <c r="E3284">
        <v>22000.400000000001</v>
      </c>
      <c r="F3284" t="s">
        <v>16</v>
      </c>
      <c r="G3284" t="s">
        <v>17</v>
      </c>
      <c r="H3284" t="s">
        <v>47</v>
      </c>
      <c r="I3284" t="s">
        <v>65</v>
      </c>
      <c r="J3284" t="s">
        <v>26</v>
      </c>
      <c r="K3284" t="s">
        <v>66</v>
      </c>
      <c r="L3284" t="s">
        <v>22</v>
      </c>
      <c r="M3284">
        <v>22000.400000000001</v>
      </c>
      <c r="N3284">
        <v>2020</v>
      </c>
      <c r="O3284">
        <v>6</v>
      </c>
    </row>
    <row r="3285" spans="1:15" x14ac:dyDescent="0.3">
      <c r="A3285" s="1">
        <v>44006</v>
      </c>
      <c r="B3285">
        <v>1000000028</v>
      </c>
      <c r="C3285" t="s">
        <v>23</v>
      </c>
      <c r="D3285">
        <v>1</v>
      </c>
      <c r="E3285">
        <v>3000.45</v>
      </c>
      <c r="F3285" t="s">
        <v>16</v>
      </c>
      <c r="G3285" t="s">
        <v>24</v>
      </c>
      <c r="H3285" t="s">
        <v>18</v>
      </c>
      <c r="I3285" t="s">
        <v>19</v>
      </c>
      <c r="J3285" t="s">
        <v>20</v>
      </c>
      <c r="K3285" t="s">
        <v>21</v>
      </c>
      <c r="L3285" t="s">
        <v>22</v>
      </c>
      <c r="M3285">
        <v>3000.45</v>
      </c>
      <c r="N3285">
        <v>2020</v>
      </c>
      <c r="O3285">
        <v>6</v>
      </c>
    </row>
    <row r="3286" spans="1:15" x14ac:dyDescent="0.3">
      <c r="A3286" s="1">
        <v>44006</v>
      </c>
      <c r="B3286">
        <v>1000000029</v>
      </c>
      <c r="C3286" t="s">
        <v>23</v>
      </c>
      <c r="D3286">
        <v>2</v>
      </c>
      <c r="E3286">
        <v>16983.39</v>
      </c>
      <c r="F3286" t="s">
        <v>16</v>
      </c>
      <c r="G3286" t="s">
        <v>24</v>
      </c>
      <c r="H3286" t="s">
        <v>18</v>
      </c>
      <c r="I3286" t="s">
        <v>19</v>
      </c>
      <c r="J3286" t="s">
        <v>20</v>
      </c>
      <c r="K3286" t="s">
        <v>21</v>
      </c>
      <c r="L3286" t="s">
        <v>22</v>
      </c>
      <c r="M3286">
        <v>8491.6949999999997</v>
      </c>
      <c r="N3286">
        <v>2020</v>
      </c>
      <c r="O3286">
        <v>6</v>
      </c>
    </row>
    <row r="3287" spans="1:15" x14ac:dyDescent="0.3">
      <c r="A3287" s="1">
        <v>44006</v>
      </c>
      <c r="B3287">
        <v>1000000029</v>
      </c>
      <c r="C3287" t="s">
        <v>15</v>
      </c>
      <c r="D3287">
        <v>1</v>
      </c>
      <c r="E3287">
        <v>3547</v>
      </c>
      <c r="F3287" t="s">
        <v>16</v>
      </c>
      <c r="G3287" t="s">
        <v>17</v>
      </c>
      <c r="H3287" t="s">
        <v>18</v>
      </c>
      <c r="I3287" t="s">
        <v>19</v>
      </c>
      <c r="J3287" t="s">
        <v>20</v>
      </c>
      <c r="K3287" t="s">
        <v>21</v>
      </c>
      <c r="L3287" t="s">
        <v>22</v>
      </c>
      <c r="M3287">
        <v>3547</v>
      </c>
      <c r="N3287">
        <v>2020</v>
      </c>
      <c r="O3287">
        <v>6</v>
      </c>
    </row>
    <row r="3288" spans="1:15" x14ac:dyDescent="0.3">
      <c r="A3288" s="1">
        <v>44006</v>
      </c>
      <c r="B3288">
        <v>1000000030</v>
      </c>
      <c r="C3288" t="s">
        <v>42</v>
      </c>
      <c r="D3288">
        <v>1</v>
      </c>
      <c r="E3288">
        <v>12000.26</v>
      </c>
      <c r="F3288" t="s">
        <v>16</v>
      </c>
      <c r="G3288" t="s">
        <v>43</v>
      </c>
      <c r="H3288" t="s">
        <v>47</v>
      </c>
      <c r="I3288" t="s">
        <v>48</v>
      </c>
      <c r="J3288" t="s">
        <v>36</v>
      </c>
      <c r="K3288" t="s">
        <v>49</v>
      </c>
      <c r="L3288" t="s">
        <v>22</v>
      </c>
      <c r="M3288">
        <v>12000.26</v>
      </c>
      <c r="N3288">
        <v>2020</v>
      </c>
      <c r="O3288">
        <v>6</v>
      </c>
    </row>
    <row r="3289" spans="1:15" x14ac:dyDescent="0.3">
      <c r="A3289" s="1">
        <v>44006</v>
      </c>
      <c r="B3289">
        <v>1000000031</v>
      </c>
      <c r="C3289" t="s">
        <v>23</v>
      </c>
      <c r="D3289">
        <v>1</v>
      </c>
      <c r="E3289">
        <v>1765.96</v>
      </c>
      <c r="F3289" t="s">
        <v>16</v>
      </c>
      <c r="G3289" t="s">
        <v>24</v>
      </c>
      <c r="H3289" t="s">
        <v>18</v>
      </c>
      <c r="I3289" t="s">
        <v>19</v>
      </c>
      <c r="J3289" t="s">
        <v>26</v>
      </c>
      <c r="K3289" t="s">
        <v>29</v>
      </c>
      <c r="L3289" t="s">
        <v>28</v>
      </c>
      <c r="M3289">
        <v>1765.96</v>
      </c>
      <c r="N3289">
        <v>2020</v>
      </c>
      <c r="O3289">
        <v>6</v>
      </c>
    </row>
    <row r="3290" spans="1:15" x14ac:dyDescent="0.3">
      <c r="A3290" s="1">
        <v>44006</v>
      </c>
      <c r="B3290">
        <v>1000000031</v>
      </c>
      <c r="C3290" t="s">
        <v>15</v>
      </c>
      <c r="D3290">
        <v>1</v>
      </c>
      <c r="E3290">
        <v>25000.59</v>
      </c>
      <c r="F3290" t="s">
        <v>16</v>
      </c>
      <c r="G3290" t="s">
        <v>17</v>
      </c>
      <c r="H3290" t="s">
        <v>18</v>
      </c>
      <c r="I3290" t="s">
        <v>19</v>
      </c>
      <c r="J3290" t="s">
        <v>26</v>
      </c>
      <c r="K3290" t="s">
        <v>29</v>
      </c>
      <c r="L3290" t="s">
        <v>28</v>
      </c>
      <c r="M3290">
        <v>25000.59</v>
      </c>
      <c r="N3290">
        <v>2020</v>
      </c>
      <c r="O3290">
        <v>6</v>
      </c>
    </row>
    <row r="3291" spans="1:15" x14ac:dyDescent="0.3">
      <c r="A3291" s="1">
        <v>44006</v>
      </c>
      <c r="B3291">
        <v>1000000032</v>
      </c>
      <c r="C3291" t="s">
        <v>23</v>
      </c>
      <c r="D3291">
        <v>2</v>
      </c>
      <c r="E3291">
        <v>40000.76</v>
      </c>
      <c r="F3291" t="s">
        <v>16</v>
      </c>
      <c r="G3291" t="s">
        <v>24</v>
      </c>
      <c r="H3291" t="s">
        <v>18</v>
      </c>
      <c r="I3291" t="s">
        <v>25</v>
      </c>
      <c r="J3291" t="s">
        <v>26</v>
      </c>
      <c r="K3291" t="s">
        <v>27</v>
      </c>
      <c r="L3291" t="s">
        <v>28</v>
      </c>
      <c r="M3291">
        <v>20000.38</v>
      </c>
      <c r="N3291">
        <v>2020</v>
      </c>
      <c r="O3291">
        <v>6</v>
      </c>
    </row>
    <row r="3292" spans="1:15" x14ac:dyDescent="0.3">
      <c r="A3292" s="1">
        <v>44006</v>
      </c>
      <c r="B3292">
        <v>1000000033</v>
      </c>
      <c r="C3292" t="s">
        <v>23</v>
      </c>
      <c r="D3292">
        <v>1</v>
      </c>
      <c r="E3292">
        <v>5999.95</v>
      </c>
      <c r="F3292" t="s">
        <v>16</v>
      </c>
      <c r="G3292" t="s">
        <v>24</v>
      </c>
      <c r="H3292" t="s">
        <v>18</v>
      </c>
      <c r="I3292" t="s">
        <v>25</v>
      </c>
      <c r="J3292" t="s">
        <v>26</v>
      </c>
      <c r="K3292" t="s">
        <v>27</v>
      </c>
      <c r="L3292" t="s">
        <v>22</v>
      </c>
      <c r="M3292">
        <v>5999.95</v>
      </c>
      <c r="N3292">
        <v>2020</v>
      </c>
      <c r="O3292">
        <v>6</v>
      </c>
    </row>
    <row r="3293" spans="1:15" x14ac:dyDescent="0.3">
      <c r="A3293" s="1">
        <v>44006</v>
      </c>
      <c r="B3293">
        <v>1000000033</v>
      </c>
      <c r="C3293" t="s">
        <v>15</v>
      </c>
      <c r="D3293">
        <v>1</v>
      </c>
      <c r="E3293">
        <v>13000.45</v>
      </c>
      <c r="F3293" t="s">
        <v>16</v>
      </c>
      <c r="G3293" t="s">
        <v>17</v>
      </c>
      <c r="H3293" t="s">
        <v>18</v>
      </c>
      <c r="I3293" t="s">
        <v>25</v>
      </c>
      <c r="J3293" t="s">
        <v>26</v>
      </c>
      <c r="K3293" t="s">
        <v>27</v>
      </c>
      <c r="L3293" t="s">
        <v>22</v>
      </c>
      <c r="M3293">
        <v>13000.45</v>
      </c>
      <c r="N3293">
        <v>2020</v>
      </c>
      <c r="O3293">
        <v>6</v>
      </c>
    </row>
    <row r="3294" spans="1:15" x14ac:dyDescent="0.3">
      <c r="A3294" s="1">
        <v>44006</v>
      </c>
      <c r="B3294">
        <v>1000000036</v>
      </c>
      <c r="C3294" t="s">
        <v>23</v>
      </c>
      <c r="D3294">
        <v>3</v>
      </c>
      <c r="E3294">
        <v>19300.580000000002</v>
      </c>
      <c r="F3294" t="s">
        <v>16</v>
      </c>
      <c r="G3294" t="s">
        <v>24</v>
      </c>
      <c r="H3294" t="s">
        <v>47</v>
      </c>
      <c r="I3294" t="s">
        <v>48</v>
      </c>
      <c r="J3294" t="s">
        <v>36</v>
      </c>
      <c r="K3294" t="s">
        <v>49</v>
      </c>
      <c r="L3294" t="s">
        <v>28</v>
      </c>
      <c r="M3294">
        <v>6433.5266666666676</v>
      </c>
      <c r="N3294">
        <v>2020</v>
      </c>
      <c r="O3294">
        <v>6</v>
      </c>
    </row>
    <row r="3295" spans="1:15" x14ac:dyDescent="0.3">
      <c r="A3295" s="1">
        <v>44006</v>
      </c>
      <c r="B3295">
        <v>1000000036</v>
      </c>
      <c r="C3295" t="s">
        <v>15</v>
      </c>
      <c r="D3295">
        <v>1</v>
      </c>
      <c r="E3295">
        <v>8000.09</v>
      </c>
      <c r="F3295" t="s">
        <v>16</v>
      </c>
      <c r="G3295" t="s">
        <v>17</v>
      </c>
      <c r="H3295" t="s">
        <v>47</v>
      </c>
      <c r="I3295" t="s">
        <v>48</v>
      </c>
      <c r="J3295" t="s">
        <v>36</v>
      </c>
      <c r="K3295" t="s">
        <v>49</v>
      </c>
      <c r="L3295" t="s">
        <v>28</v>
      </c>
      <c r="M3295">
        <v>8000.09</v>
      </c>
      <c r="N3295">
        <v>2020</v>
      </c>
      <c r="O3295">
        <v>6</v>
      </c>
    </row>
    <row r="3296" spans="1:15" x14ac:dyDescent="0.3">
      <c r="A3296" s="1">
        <v>44006</v>
      </c>
      <c r="B3296">
        <v>1000000037</v>
      </c>
      <c r="C3296" t="s">
        <v>15</v>
      </c>
      <c r="D3296">
        <v>1</v>
      </c>
      <c r="E3296">
        <v>17000.5</v>
      </c>
      <c r="F3296" t="s">
        <v>16</v>
      </c>
      <c r="G3296" t="s">
        <v>17</v>
      </c>
      <c r="H3296" t="s">
        <v>18</v>
      </c>
      <c r="I3296" t="s">
        <v>19</v>
      </c>
      <c r="J3296" t="s">
        <v>20</v>
      </c>
      <c r="K3296" t="s">
        <v>21</v>
      </c>
      <c r="L3296" t="s">
        <v>22</v>
      </c>
      <c r="M3296">
        <v>17000.5</v>
      </c>
      <c r="N3296">
        <v>2020</v>
      </c>
      <c r="O3296">
        <v>6</v>
      </c>
    </row>
    <row r="3297" spans="1:15" x14ac:dyDescent="0.3">
      <c r="A3297" s="1">
        <v>44006</v>
      </c>
      <c r="B3297">
        <v>1000000039</v>
      </c>
      <c r="C3297" t="s">
        <v>23</v>
      </c>
      <c r="D3297">
        <v>2</v>
      </c>
      <c r="E3297">
        <v>15500.92</v>
      </c>
      <c r="F3297" t="s">
        <v>16</v>
      </c>
      <c r="G3297" t="s">
        <v>24</v>
      </c>
      <c r="H3297" t="s">
        <v>18</v>
      </c>
      <c r="I3297" t="s">
        <v>25</v>
      </c>
      <c r="J3297" t="s">
        <v>20</v>
      </c>
      <c r="K3297" t="s">
        <v>51</v>
      </c>
      <c r="L3297" t="s">
        <v>28</v>
      </c>
      <c r="M3297">
        <v>7750.46</v>
      </c>
      <c r="N3297">
        <v>2020</v>
      </c>
      <c r="O3297">
        <v>6</v>
      </c>
    </row>
    <row r="3298" spans="1:15" x14ac:dyDescent="0.3">
      <c r="A3298" s="1">
        <v>44006</v>
      </c>
      <c r="B3298">
        <v>1000000039</v>
      </c>
      <c r="C3298" t="s">
        <v>15</v>
      </c>
      <c r="D3298">
        <v>2</v>
      </c>
      <c r="E3298">
        <v>11000.269999999999</v>
      </c>
      <c r="F3298" t="s">
        <v>16</v>
      </c>
      <c r="G3298" t="s">
        <v>17</v>
      </c>
      <c r="H3298" t="s">
        <v>18</v>
      </c>
      <c r="I3298" t="s">
        <v>25</v>
      </c>
      <c r="J3298" t="s">
        <v>20</v>
      </c>
      <c r="K3298" t="s">
        <v>51</v>
      </c>
      <c r="L3298" t="s">
        <v>28</v>
      </c>
      <c r="M3298">
        <v>5500.1349999999993</v>
      </c>
      <c r="N3298">
        <v>2020</v>
      </c>
      <c r="O3298">
        <v>6</v>
      </c>
    </row>
    <row r="3299" spans="1:15" x14ac:dyDescent="0.3">
      <c r="A3299" s="1">
        <v>44006</v>
      </c>
      <c r="B3299">
        <v>1000000040</v>
      </c>
      <c r="C3299" t="s">
        <v>23</v>
      </c>
      <c r="D3299">
        <v>2</v>
      </c>
      <c r="E3299">
        <v>16000.68</v>
      </c>
      <c r="F3299" t="s">
        <v>16</v>
      </c>
      <c r="G3299" t="s">
        <v>24</v>
      </c>
      <c r="H3299" t="s">
        <v>30</v>
      </c>
      <c r="I3299" t="s">
        <v>31</v>
      </c>
      <c r="J3299" t="s">
        <v>32</v>
      </c>
      <c r="K3299" t="s">
        <v>33</v>
      </c>
      <c r="L3299" t="s">
        <v>28</v>
      </c>
      <c r="M3299">
        <v>8000.34</v>
      </c>
      <c r="N3299">
        <v>2020</v>
      </c>
      <c r="O3299">
        <v>6</v>
      </c>
    </row>
    <row r="3300" spans="1:15" x14ac:dyDescent="0.3">
      <c r="A3300" s="1">
        <v>44006</v>
      </c>
      <c r="B3300">
        <v>1000000041</v>
      </c>
      <c r="C3300" t="s">
        <v>23</v>
      </c>
      <c r="D3300">
        <v>1</v>
      </c>
      <c r="E3300">
        <v>15999.94</v>
      </c>
      <c r="F3300" t="s">
        <v>16</v>
      </c>
      <c r="G3300" t="s">
        <v>24</v>
      </c>
      <c r="H3300" t="s">
        <v>30</v>
      </c>
      <c r="I3300" t="s">
        <v>31</v>
      </c>
      <c r="J3300" t="s">
        <v>32</v>
      </c>
      <c r="K3300" t="s">
        <v>33</v>
      </c>
      <c r="L3300" t="s">
        <v>22</v>
      </c>
      <c r="M3300">
        <v>15999.94</v>
      </c>
      <c r="N3300">
        <v>2020</v>
      </c>
      <c r="O3300">
        <v>6</v>
      </c>
    </row>
    <row r="3301" spans="1:15" x14ac:dyDescent="0.3">
      <c r="A3301" s="1">
        <v>44006</v>
      </c>
      <c r="B3301">
        <v>1000000043</v>
      </c>
      <c r="C3301" t="s">
        <v>23</v>
      </c>
      <c r="D3301">
        <v>2</v>
      </c>
      <c r="E3301">
        <v>15500.86</v>
      </c>
      <c r="F3301" t="s">
        <v>16</v>
      </c>
      <c r="G3301" t="s">
        <v>24</v>
      </c>
      <c r="H3301" t="s">
        <v>30</v>
      </c>
      <c r="I3301" t="s">
        <v>38</v>
      </c>
      <c r="J3301" t="s">
        <v>26</v>
      </c>
      <c r="K3301" t="s">
        <v>39</v>
      </c>
      <c r="L3301" t="s">
        <v>22</v>
      </c>
      <c r="M3301">
        <v>7750.43</v>
      </c>
      <c r="N3301">
        <v>2020</v>
      </c>
      <c r="O3301">
        <v>6</v>
      </c>
    </row>
    <row r="3302" spans="1:15" x14ac:dyDescent="0.3">
      <c r="A3302" s="1">
        <v>44006</v>
      </c>
      <c r="B3302">
        <v>1000000044</v>
      </c>
      <c r="C3302" t="s">
        <v>15</v>
      </c>
      <c r="D3302">
        <v>1</v>
      </c>
      <c r="E3302">
        <v>8999.94</v>
      </c>
      <c r="F3302" t="s">
        <v>16</v>
      </c>
      <c r="G3302" t="s">
        <v>17</v>
      </c>
      <c r="H3302" t="s">
        <v>30</v>
      </c>
      <c r="I3302" t="s">
        <v>31</v>
      </c>
      <c r="J3302" t="s">
        <v>36</v>
      </c>
      <c r="K3302" t="s">
        <v>52</v>
      </c>
      <c r="L3302" t="s">
        <v>28</v>
      </c>
      <c r="M3302">
        <v>8999.94</v>
      </c>
      <c r="N3302">
        <v>2020</v>
      </c>
      <c r="O3302">
        <v>6</v>
      </c>
    </row>
    <row r="3303" spans="1:15" x14ac:dyDescent="0.3">
      <c r="A3303" s="1">
        <v>44006</v>
      </c>
      <c r="B3303">
        <v>1000000045</v>
      </c>
      <c r="C3303" t="s">
        <v>23</v>
      </c>
      <c r="D3303">
        <v>1</v>
      </c>
      <c r="E3303">
        <v>6000.15</v>
      </c>
      <c r="F3303" t="s">
        <v>16</v>
      </c>
      <c r="G3303" t="s">
        <v>24</v>
      </c>
      <c r="H3303" t="s">
        <v>47</v>
      </c>
      <c r="I3303" t="s">
        <v>59</v>
      </c>
      <c r="J3303" t="s">
        <v>26</v>
      </c>
      <c r="K3303" t="s">
        <v>60</v>
      </c>
      <c r="L3303" t="s">
        <v>22</v>
      </c>
      <c r="M3303">
        <v>6000.15</v>
      </c>
      <c r="N3303">
        <v>2020</v>
      </c>
      <c r="O3303">
        <v>6</v>
      </c>
    </row>
    <row r="3304" spans="1:15" x14ac:dyDescent="0.3">
      <c r="A3304" s="1">
        <v>44006</v>
      </c>
      <c r="B3304">
        <v>1000000045</v>
      </c>
      <c r="C3304" t="s">
        <v>15</v>
      </c>
      <c r="D3304">
        <v>1</v>
      </c>
      <c r="E3304">
        <v>823.99</v>
      </c>
      <c r="F3304" t="s">
        <v>16</v>
      </c>
      <c r="G3304" t="s">
        <v>17</v>
      </c>
      <c r="H3304" t="s">
        <v>47</v>
      </c>
      <c r="I3304" t="s">
        <v>59</v>
      </c>
      <c r="J3304" t="s">
        <v>26</v>
      </c>
      <c r="K3304" t="s">
        <v>60</v>
      </c>
      <c r="L3304" t="s">
        <v>22</v>
      </c>
      <c r="M3304">
        <v>823.99</v>
      </c>
      <c r="N3304">
        <v>2020</v>
      </c>
      <c r="O3304">
        <v>6</v>
      </c>
    </row>
    <row r="3305" spans="1:15" x14ac:dyDescent="0.3">
      <c r="A3305" s="1">
        <v>44006</v>
      </c>
      <c r="B3305">
        <v>1000000046</v>
      </c>
      <c r="C3305" t="s">
        <v>15</v>
      </c>
      <c r="D3305">
        <v>1</v>
      </c>
      <c r="E3305">
        <v>14000.05</v>
      </c>
      <c r="F3305" t="s">
        <v>16</v>
      </c>
      <c r="G3305" t="s">
        <v>17</v>
      </c>
      <c r="H3305" t="s">
        <v>30</v>
      </c>
      <c r="I3305" t="s">
        <v>38</v>
      </c>
      <c r="J3305" t="s">
        <v>26</v>
      </c>
      <c r="K3305" t="s">
        <v>39</v>
      </c>
      <c r="L3305" t="s">
        <v>22</v>
      </c>
      <c r="M3305">
        <v>14000.05</v>
      </c>
      <c r="N3305">
        <v>2020</v>
      </c>
      <c r="O3305">
        <v>6</v>
      </c>
    </row>
    <row r="3306" spans="1:15" x14ac:dyDescent="0.3">
      <c r="A3306" s="1">
        <v>44006</v>
      </c>
      <c r="B3306">
        <v>1000000049</v>
      </c>
      <c r="C3306" t="s">
        <v>15</v>
      </c>
      <c r="D3306">
        <v>1</v>
      </c>
      <c r="E3306">
        <v>3465.53</v>
      </c>
      <c r="F3306" t="s">
        <v>16</v>
      </c>
      <c r="G3306" t="s">
        <v>17</v>
      </c>
      <c r="H3306" t="s">
        <v>18</v>
      </c>
      <c r="I3306" t="s">
        <v>40</v>
      </c>
      <c r="J3306" t="s">
        <v>26</v>
      </c>
      <c r="K3306" t="s">
        <v>41</v>
      </c>
      <c r="L3306" t="s">
        <v>22</v>
      </c>
      <c r="M3306">
        <v>3465.53</v>
      </c>
      <c r="N3306">
        <v>2020</v>
      </c>
      <c r="O3306">
        <v>6</v>
      </c>
    </row>
    <row r="3307" spans="1:15" x14ac:dyDescent="0.3">
      <c r="A3307" s="1">
        <v>44006</v>
      </c>
      <c r="B3307">
        <v>1000000052</v>
      </c>
      <c r="C3307" t="s">
        <v>23</v>
      </c>
      <c r="D3307">
        <v>2</v>
      </c>
      <c r="E3307">
        <v>2200.84</v>
      </c>
      <c r="F3307" t="s">
        <v>16</v>
      </c>
      <c r="G3307" t="s">
        <v>24</v>
      </c>
      <c r="H3307" t="s">
        <v>18</v>
      </c>
      <c r="I3307" t="s">
        <v>34</v>
      </c>
      <c r="J3307" t="s">
        <v>20</v>
      </c>
      <c r="K3307" t="s">
        <v>44</v>
      </c>
      <c r="L3307" t="s">
        <v>22</v>
      </c>
      <c r="M3307">
        <v>1100.42</v>
      </c>
      <c r="N3307">
        <v>2020</v>
      </c>
      <c r="O3307">
        <v>6</v>
      </c>
    </row>
    <row r="3308" spans="1:15" x14ac:dyDescent="0.3">
      <c r="A3308" s="1">
        <v>44006</v>
      </c>
      <c r="B3308">
        <v>1000000052</v>
      </c>
      <c r="C3308" t="s">
        <v>15</v>
      </c>
      <c r="D3308">
        <v>1</v>
      </c>
      <c r="E3308">
        <v>2000.26</v>
      </c>
      <c r="F3308" t="s">
        <v>16</v>
      </c>
      <c r="G3308" t="s">
        <v>17</v>
      </c>
      <c r="H3308" t="s">
        <v>18</v>
      </c>
      <c r="I3308" t="s">
        <v>34</v>
      </c>
      <c r="J3308" t="s">
        <v>20</v>
      </c>
      <c r="K3308" t="s">
        <v>44</v>
      </c>
      <c r="L3308" t="s">
        <v>22</v>
      </c>
      <c r="M3308">
        <v>2000.26</v>
      </c>
      <c r="N3308">
        <v>2020</v>
      </c>
      <c r="O3308">
        <v>6</v>
      </c>
    </row>
    <row r="3309" spans="1:15" x14ac:dyDescent="0.3">
      <c r="A3309" s="1">
        <v>44006</v>
      </c>
      <c r="B3309">
        <v>1000000054</v>
      </c>
      <c r="C3309" t="s">
        <v>23</v>
      </c>
      <c r="D3309">
        <v>2</v>
      </c>
      <c r="E3309">
        <v>18000.29</v>
      </c>
      <c r="F3309" t="s">
        <v>16</v>
      </c>
      <c r="G3309" t="s">
        <v>24</v>
      </c>
      <c r="H3309" t="s">
        <v>18</v>
      </c>
      <c r="I3309" t="s">
        <v>34</v>
      </c>
      <c r="J3309" t="s">
        <v>26</v>
      </c>
      <c r="K3309" t="s">
        <v>35</v>
      </c>
      <c r="L3309" t="s">
        <v>22</v>
      </c>
      <c r="M3309">
        <v>9000.1450000000004</v>
      </c>
      <c r="N3309">
        <v>2020</v>
      </c>
      <c r="O3309">
        <v>6</v>
      </c>
    </row>
    <row r="3310" spans="1:15" x14ac:dyDescent="0.3">
      <c r="A3310" s="1">
        <v>44006</v>
      </c>
      <c r="B3310">
        <v>1000000054</v>
      </c>
      <c r="C3310" t="s">
        <v>15</v>
      </c>
      <c r="D3310">
        <v>1</v>
      </c>
      <c r="E3310">
        <v>14000.36</v>
      </c>
      <c r="F3310" t="s">
        <v>16</v>
      </c>
      <c r="G3310" t="s">
        <v>17</v>
      </c>
      <c r="H3310" t="s">
        <v>18</v>
      </c>
      <c r="I3310" t="s">
        <v>34</v>
      </c>
      <c r="J3310" t="s">
        <v>26</v>
      </c>
      <c r="K3310" t="s">
        <v>35</v>
      </c>
      <c r="L3310" t="s">
        <v>22</v>
      </c>
      <c r="M3310">
        <v>14000.36</v>
      </c>
      <c r="N3310">
        <v>2020</v>
      </c>
      <c r="O3310">
        <v>6</v>
      </c>
    </row>
    <row r="3311" spans="1:15" x14ac:dyDescent="0.3">
      <c r="A3311" s="1">
        <v>44006</v>
      </c>
      <c r="B3311">
        <v>1000000056</v>
      </c>
      <c r="C3311" t="s">
        <v>23</v>
      </c>
      <c r="D3311">
        <v>2</v>
      </c>
      <c r="E3311">
        <v>18000.39</v>
      </c>
      <c r="F3311" t="s">
        <v>16</v>
      </c>
      <c r="G3311" t="s">
        <v>24</v>
      </c>
      <c r="H3311" t="s">
        <v>18</v>
      </c>
      <c r="I3311" t="s">
        <v>34</v>
      </c>
      <c r="J3311" t="s">
        <v>26</v>
      </c>
      <c r="K3311" t="s">
        <v>35</v>
      </c>
      <c r="L3311" t="s">
        <v>28</v>
      </c>
      <c r="M3311">
        <v>9000.1949999999997</v>
      </c>
      <c r="N3311">
        <v>2020</v>
      </c>
      <c r="O3311">
        <v>6</v>
      </c>
    </row>
    <row r="3312" spans="1:15" x14ac:dyDescent="0.3">
      <c r="A3312" s="1">
        <v>44006</v>
      </c>
      <c r="B3312">
        <v>1000000056</v>
      </c>
      <c r="C3312" t="s">
        <v>15</v>
      </c>
      <c r="D3312">
        <v>1</v>
      </c>
      <c r="E3312">
        <v>16000</v>
      </c>
      <c r="F3312" t="s">
        <v>16</v>
      </c>
      <c r="G3312" t="s">
        <v>17</v>
      </c>
      <c r="H3312" t="s">
        <v>18</v>
      </c>
      <c r="I3312" t="s">
        <v>34</v>
      </c>
      <c r="J3312" t="s">
        <v>26</v>
      </c>
      <c r="K3312" t="s">
        <v>35</v>
      </c>
      <c r="L3312" t="s">
        <v>28</v>
      </c>
      <c r="M3312">
        <v>16000</v>
      </c>
      <c r="N3312">
        <v>2020</v>
      </c>
      <c r="O3312">
        <v>6</v>
      </c>
    </row>
    <row r="3313" spans="1:15" x14ac:dyDescent="0.3">
      <c r="A3313" s="1">
        <v>44006</v>
      </c>
      <c r="B3313">
        <v>1000000061</v>
      </c>
      <c r="C3313" t="s">
        <v>42</v>
      </c>
      <c r="D3313">
        <v>1</v>
      </c>
      <c r="E3313">
        <v>18000.63</v>
      </c>
      <c r="F3313" t="s">
        <v>16</v>
      </c>
      <c r="G3313" t="s">
        <v>43</v>
      </c>
      <c r="H3313" t="s">
        <v>18</v>
      </c>
      <c r="I3313" t="s">
        <v>34</v>
      </c>
      <c r="J3313" t="s">
        <v>20</v>
      </c>
      <c r="K3313" t="s">
        <v>44</v>
      </c>
      <c r="L3313" t="s">
        <v>22</v>
      </c>
      <c r="M3313">
        <v>18000.63</v>
      </c>
      <c r="N3313">
        <v>2020</v>
      </c>
      <c r="O3313">
        <v>6</v>
      </c>
    </row>
    <row r="3314" spans="1:15" x14ac:dyDescent="0.3">
      <c r="A3314" s="1">
        <v>44006</v>
      </c>
      <c r="B3314">
        <v>1000000067</v>
      </c>
      <c r="C3314" t="s">
        <v>23</v>
      </c>
      <c r="D3314">
        <v>1</v>
      </c>
      <c r="E3314">
        <v>7000.68</v>
      </c>
      <c r="F3314" t="s">
        <v>16</v>
      </c>
      <c r="G3314" t="s">
        <v>24</v>
      </c>
      <c r="H3314" t="s">
        <v>18</v>
      </c>
      <c r="I3314" t="s">
        <v>25</v>
      </c>
      <c r="J3314" t="s">
        <v>20</v>
      </c>
      <c r="K3314" t="s">
        <v>51</v>
      </c>
      <c r="L3314" t="s">
        <v>22</v>
      </c>
      <c r="M3314">
        <v>7000.68</v>
      </c>
      <c r="N3314">
        <v>2020</v>
      </c>
      <c r="O3314">
        <v>6</v>
      </c>
    </row>
    <row r="3315" spans="1:15" x14ac:dyDescent="0.3">
      <c r="A3315" s="1">
        <v>44006</v>
      </c>
      <c r="B3315">
        <v>1000000068</v>
      </c>
      <c r="C3315" t="s">
        <v>15</v>
      </c>
      <c r="D3315">
        <v>3</v>
      </c>
      <c r="E3315">
        <v>19501.120000000003</v>
      </c>
      <c r="F3315" t="s">
        <v>16</v>
      </c>
      <c r="G3315" t="s">
        <v>17</v>
      </c>
      <c r="H3315" t="s">
        <v>30</v>
      </c>
      <c r="I3315" t="s">
        <v>55</v>
      </c>
      <c r="J3315" t="s">
        <v>26</v>
      </c>
      <c r="K3315" t="s">
        <v>56</v>
      </c>
      <c r="L3315" t="s">
        <v>28</v>
      </c>
      <c r="M3315">
        <v>6500.3733333333339</v>
      </c>
      <c r="N3315">
        <v>2020</v>
      </c>
      <c r="O3315">
        <v>6</v>
      </c>
    </row>
    <row r="3316" spans="1:15" x14ac:dyDescent="0.3">
      <c r="A3316" s="1">
        <v>44006</v>
      </c>
      <c r="B3316">
        <v>1000000104</v>
      </c>
      <c r="C3316" t="s">
        <v>15</v>
      </c>
      <c r="D3316">
        <v>1</v>
      </c>
      <c r="E3316">
        <v>1500.05</v>
      </c>
      <c r="F3316" t="s">
        <v>16</v>
      </c>
      <c r="G3316" t="s">
        <v>17</v>
      </c>
      <c r="H3316" t="s">
        <v>18</v>
      </c>
      <c r="I3316" t="s">
        <v>40</v>
      </c>
      <c r="J3316" t="s">
        <v>26</v>
      </c>
      <c r="K3316" t="s">
        <v>41</v>
      </c>
      <c r="L3316" t="s">
        <v>22</v>
      </c>
      <c r="M3316">
        <v>1500.05</v>
      </c>
      <c r="N3316">
        <v>2020</v>
      </c>
      <c r="O3316">
        <v>6</v>
      </c>
    </row>
    <row r="3317" spans="1:15" x14ac:dyDescent="0.3">
      <c r="A3317" s="1">
        <v>44006</v>
      </c>
      <c r="B3317">
        <v>1000000237</v>
      </c>
      <c r="C3317" t="s">
        <v>15</v>
      </c>
      <c r="D3317">
        <v>1</v>
      </c>
      <c r="E3317">
        <v>15000.21</v>
      </c>
      <c r="F3317" t="s">
        <v>16</v>
      </c>
      <c r="G3317" t="s">
        <v>17</v>
      </c>
      <c r="H3317" t="s">
        <v>18</v>
      </c>
      <c r="I3317" t="s">
        <v>40</v>
      </c>
      <c r="J3317" t="s">
        <v>26</v>
      </c>
      <c r="K3317" t="s">
        <v>41</v>
      </c>
      <c r="L3317" t="s">
        <v>22</v>
      </c>
      <c r="M3317">
        <v>15000.21</v>
      </c>
      <c r="N3317">
        <v>2020</v>
      </c>
      <c r="O3317">
        <v>6</v>
      </c>
    </row>
    <row r="3318" spans="1:15" x14ac:dyDescent="0.3">
      <c r="A3318" s="1">
        <v>44006</v>
      </c>
      <c r="B3318">
        <v>1000000266</v>
      </c>
      <c r="C3318" t="s">
        <v>23</v>
      </c>
      <c r="D3318">
        <v>1</v>
      </c>
      <c r="E3318">
        <v>7499.97</v>
      </c>
      <c r="F3318" t="s">
        <v>16</v>
      </c>
      <c r="G3318" t="s">
        <v>24</v>
      </c>
      <c r="H3318" t="s">
        <v>30</v>
      </c>
      <c r="I3318" t="s">
        <v>55</v>
      </c>
      <c r="J3318" t="s">
        <v>26</v>
      </c>
      <c r="K3318" t="s">
        <v>56</v>
      </c>
      <c r="L3318" t="s">
        <v>22</v>
      </c>
      <c r="M3318">
        <v>7499.97</v>
      </c>
      <c r="N3318">
        <v>2020</v>
      </c>
      <c r="O3318">
        <v>6</v>
      </c>
    </row>
    <row r="3319" spans="1:15" x14ac:dyDescent="0.3">
      <c r="A3319" s="1">
        <v>44006</v>
      </c>
      <c r="B3319">
        <v>1000000594</v>
      </c>
      <c r="C3319" t="s">
        <v>15</v>
      </c>
      <c r="D3319">
        <v>2</v>
      </c>
      <c r="E3319">
        <v>10999.960000000001</v>
      </c>
      <c r="F3319" t="s">
        <v>16</v>
      </c>
      <c r="G3319" t="s">
        <v>17</v>
      </c>
      <c r="H3319" t="s">
        <v>18</v>
      </c>
      <c r="I3319" t="s">
        <v>25</v>
      </c>
      <c r="J3319" t="s">
        <v>20</v>
      </c>
      <c r="K3319" t="s">
        <v>51</v>
      </c>
      <c r="L3319" t="s">
        <v>22</v>
      </c>
      <c r="M3319">
        <v>5499.9800000000005</v>
      </c>
      <c r="N3319">
        <v>2020</v>
      </c>
      <c r="O3319">
        <v>6</v>
      </c>
    </row>
    <row r="3320" spans="1:15" x14ac:dyDescent="0.3">
      <c r="A3320" s="1">
        <v>44006</v>
      </c>
      <c r="B3320">
        <v>1000000928</v>
      </c>
      <c r="C3320" t="s">
        <v>23</v>
      </c>
      <c r="D3320">
        <v>1</v>
      </c>
      <c r="E3320">
        <v>7499.95</v>
      </c>
      <c r="F3320" t="s">
        <v>16</v>
      </c>
      <c r="G3320" t="s">
        <v>24</v>
      </c>
      <c r="H3320" t="s">
        <v>30</v>
      </c>
      <c r="I3320" t="s">
        <v>57</v>
      </c>
      <c r="J3320" t="s">
        <v>26</v>
      </c>
      <c r="K3320" t="s">
        <v>58</v>
      </c>
      <c r="L3320" t="s">
        <v>22</v>
      </c>
      <c r="M3320">
        <v>7499.95</v>
      </c>
      <c r="N3320">
        <v>2020</v>
      </c>
      <c r="O3320">
        <v>6</v>
      </c>
    </row>
    <row r="3321" spans="1:15" x14ac:dyDescent="0.3">
      <c r="A3321" s="1">
        <v>44006</v>
      </c>
      <c r="B3321">
        <v>1000000928</v>
      </c>
      <c r="C3321" t="s">
        <v>15</v>
      </c>
      <c r="D3321">
        <v>1</v>
      </c>
      <c r="E3321">
        <v>22000.46</v>
      </c>
      <c r="F3321" t="s">
        <v>16</v>
      </c>
      <c r="G3321" t="s">
        <v>17</v>
      </c>
      <c r="H3321" t="s">
        <v>30</v>
      </c>
      <c r="I3321" t="s">
        <v>57</v>
      </c>
      <c r="J3321" t="s">
        <v>26</v>
      </c>
      <c r="K3321" t="s">
        <v>58</v>
      </c>
      <c r="L3321" t="s">
        <v>22</v>
      </c>
      <c r="M3321">
        <v>22000.46</v>
      </c>
      <c r="N3321">
        <v>2020</v>
      </c>
      <c r="O3321">
        <v>6</v>
      </c>
    </row>
    <row r="3322" spans="1:15" x14ac:dyDescent="0.3">
      <c r="A3322" s="1">
        <v>44006</v>
      </c>
      <c r="B3322">
        <v>1000001513</v>
      </c>
      <c r="C3322" t="s">
        <v>23</v>
      </c>
      <c r="D3322">
        <v>1</v>
      </c>
      <c r="E3322">
        <v>2120.0700000000002</v>
      </c>
      <c r="F3322" t="s">
        <v>16</v>
      </c>
      <c r="G3322" t="s">
        <v>24</v>
      </c>
      <c r="H3322" t="s">
        <v>18</v>
      </c>
      <c r="I3322" t="s">
        <v>34</v>
      </c>
      <c r="J3322" t="s">
        <v>20</v>
      </c>
      <c r="K3322" t="s">
        <v>44</v>
      </c>
      <c r="L3322" t="s">
        <v>22</v>
      </c>
      <c r="M3322">
        <v>2120.0700000000002</v>
      </c>
      <c r="N3322">
        <v>2020</v>
      </c>
      <c r="O3322">
        <v>6</v>
      </c>
    </row>
    <row r="3323" spans="1:15" x14ac:dyDescent="0.3">
      <c r="A3323" s="1">
        <v>44006</v>
      </c>
      <c r="B3323">
        <v>1000001524</v>
      </c>
      <c r="C3323" t="s">
        <v>23</v>
      </c>
      <c r="D3323">
        <v>1</v>
      </c>
      <c r="E3323">
        <v>18000.47</v>
      </c>
      <c r="F3323" t="s">
        <v>16</v>
      </c>
      <c r="G3323" t="s">
        <v>24</v>
      </c>
      <c r="H3323" t="s">
        <v>18</v>
      </c>
      <c r="I3323" t="s">
        <v>25</v>
      </c>
      <c r="J3323" t="s">
        <v>20</v>
      </c>
      <c r="K3323" t="s">
        <v>51</v>
      </c>
      <c r="L3323" t="s">
        <v>22</v>
      </c>
      <c r="M3323">
        <v>18000.47</v>
      </c>
      <c r="N3323">
        <v>2020</v>
      </c>
      <c r="O3323">
        <v>6</v>
      </c>
    </row>
    <row r="3324" spans="1:15" x14ac:dyDescent="0.3">
      <c r="A3324" s="1">
        <v>44006</v>
      </c>
      <c r="B3324">
        <v>1000002861</v>
      </c>
      <c r="C3324" t="s">
        <v>23</v>
      </c>
      <c r="D3324">
        <v>1</v>
      </c>
      <c r="E3324">
        <v>6999.93</v>
      </c>
      <c r="F3324" t="s">
        <v>16</v>
      </c>
      <c r="G3324" t="s">
        <v>24</v>
      </c>
      <c r="H3324" t="s">
        <v>47</v>
      </c>
      <c r="I3324" t="s">
        <v>48</v>
      </c>
      <c r="J3324" t="s">
        <v>36</v>
      </c>
      <c r="K3324" t="s">
        <v>49</v>
      </c>
      <c r="L3324" t="s">
        <v>22</v>
      </c>
      <c r="M3324">
        <v>6999.93</v>
      </c>
      <c r="N3324">
        <v>2020</v>
      </c>
      <c r="O3324">
        <v>6</v>
      </c>
    </row>
    <row r="3325" spans="1:15" x14ac:dyDescent="0.3">
      <c r="A3325" s="1">
        <v>44006</v>
      </c>
      <c r="B3325">
        <v>1000002861</v>
      </c>
      <c r="C3325" t="s">
        <v>15</v>
      </c>
      <c r="D3325">
        <v>3</v>
      </c>
      <c r="E3325">
        <v>21201.52</v>
      </c>
      <c r="F3325" t="s">
        <v>16</v>
      </c>
      <c r="G3325" t="s">
        <v>17</v>
      </c>
      <c r="H3325" t="s">
        <v>47</v>
      </c>
      <c r="I3325" t="s">
        <v>48</v>
      </c>
      <c r="J3325" t="s">
        <v>36</v>
      </c>
      <c r="K3325" t="s">
        <v>49</v>
      </c>
      <c r="L3325" t="s">
        <v>22</v>
      </c>
      <c r="M3325">
        <v>7067.1733333333332</v>
      </c>
      <c r="N3325">
        <v>2020</v>
      </c>
      <c r="O3325">
        <v>6</v>
      </c>
    </row>
    <row r="3326" spans="1:15" x14ac:dyDescent="0.3">
      <c r="A3326" s="1">
        <v>44006</v>
      </c>
      <c r="B3326">
        <v>1000003489</v>
      </c>
      <c r="C3326" t="s">
        <v>23</v>
      </c>
      <c r="D3326">
        <v>1</v>
      </c>
      <c r="E3326">
        <v>18000.05</v>
      </c>
      <c r="F3326" t="s">
        <v>16</v>
      </c>
      <c r="G3326" t="s">
        <v>24</v>
      </c>
      <c r="H3326" t="s">
        <v>47</v>
      </c>
      <c r="I3326" t="s">
        <v>48</v>
      </c>
      <c r="J3326" t="s">
        <v>26</v>
      </c>
      <c r="K3326" t="s">
        <v>50</v>
      </c>
      <c r="L3326" t="s">
        <v>22</v>
      </c>
      <c r="M3326">
        <v>18000.05</v>
      </c>
      <c r="N3326">
        <v>2020</v>
      </c>
      <c r="O3326">
        <v>6</v>
      </c>
    </row>
    <row r="3327" spans="1:15" x14ac:dyDescent="0.3">
      <c r="A3327" s="1">
        <v>44006</v>
      </c>
      <c r="B3327">
        <v>1000003803</v>
      </c>
      <c r="C3327" t="s">
        <v>15</v>
      </c>
      <c r="D3327">
        <v>2</v>
      </c>
      <c r="E3327">
        <v>24000.5</v>
      </c>
      <c r="F3327" t="s">
        <v>16</v>
      </c>
      <c r="G3327" t="s">
        <v>17</v>
      </c>
      <c r="H3327" t="s">
        <v>30</v>
      </c>
      <c r="I3327" t="s">
        <v>31</v>
      </c>
      <c r="J3327" t="s">
        <v>36</v>
      </c>
      <c r="K3327" t="s">
        <v>52</v>
      </c>
      <c r="L3327" t="s">
        <v>22</v>
      </c>
      <c r="M3327">
        <v>12000.25</v>
      </c>
      <c r="N3327">
        <v>2020</v>
      </c>
      <c r="O3327">
        <v>6</v>
      </c>
    </row>
    <row r="3328" spans="1:15" x14ac:dyDescent="0.3">
      <c r="A3328" s="1">
        <v>44006</v>
      </c>
      <c r="B3328">
        <v>1000003926</v>
      </c>
      <c r="C3328" t="s">
        <v>23</v>
      </c>
      <c r="D3328">
        <v>3</v>
      </c>
      <c r="E3328">
        <v>36001.200000000004</v>
      </c>
      <c r="F3328" t="s">
        <v>16</v>
      </c>
      <c r="G3328" t="s">
        <v>24</v>
      </c>
      <c r="H3328" t="s">
        <v>47</v>
      </c>
      <c r="I3328" t="s">
        <v>48</v>
      </c>
      <c r="J3328" t="s">
        <v>26</v>
      </c>
      <c r="K3328" t="s">
        <v>50</v>
      </c>
      <c r="L3328" t="s">
        <v>28</v>
      </c>
      <c r="M3328">
        <v>12000.400000000001</v>
      </c>
      <c r="N3328">
        <v>2020</v>
      </c>
      <c r="O3328">
        <v>6</v>
      </c>
    </row>
    <row r="3329" spans="1:15" x14ac:dyDescent="0.3">
      <c r="A3329" s="1">
        <v>44006</v>
      </c>
      <c r="B3329">
        <v>1000003926</v>
      </c>
      <c r="C3329" t="s">
        <v>15</v>
      </c>
      <c r="D3329">
        <v>2</v>
      </c>
      <c r="E3329">
        <v>25000.7</v>
      </c>
      <c r="F3329" t="s">
        <v>16</v>
      </c>
      <c r="G3329" t="s">
        <v>17</v>
      </c>
      <c r="H3329" t="s">
        <v>47</v>
      </c>
      <c r="I3329" t="s">
        <v>48</v>
      </c>
      <c r="J3329" t="s">
        <v>26</v>
      </c>
      <c r="K3329" t="s">
        <v>50</v>
      </c>
      <c r="L3329" t="s">
        <v>28</v>
      </c>
      <c r="M3329">
        <v>12500.35</v>
      </c>
      <c r="N3329">
        <v>2020</v>
      </c>
      <c r="O3329">
        <v>6</v>
      </c>
    </row>
    <row r="3330" spans="1:15" x14ac:dyDescent="0.3">
      <c r="A3330" s="1">
        <v>44006</v>
      </c>
      <c r="B3330">
        <v>1000003989</v>
      </c>
      <c r="C3330" t="s">
        <v>15</v>
      </c>
      <c r="D3330">
        <v>1</v>
      </c>
      <c r="E3330">
        <v>20000.22</v>
      </c>
      <c r="F3330" t="s">
        <v>16</v>
      </c>
      <c r="G3330" t="s">
        <v>17</v>
      </c>
      <c r="H3330" t="s">
        <v>30</v>
      </c>
      <c r="I3330" t="s">
        <v>31</v>
      </c>
      <c r="J3330" t="s">
        <v>36</v>
      </c>
      <c r="K3330" t="s">
        <v>52</v>
      </c>
      <c r="L3330" t="s">
        <v>22</v>
      </c>
      <c r="M3330">
        <v>20000.22</v>
      </c>
      <c r="N3330">
        <v>2020</v>
      </c>
      <c r="O3330">
        <v>6</v>
      </c>
    </row>
    <row r="3331" spans="1:15" x14ac:dyDescent="0.3">
      <c r="A3331" s="1">
        <v>44006</v>
      </c>
      <c r="B3331">
        <v>1000004256</v>
      </c>
      <c r="C3331" t="s">
        <v>42</v>
      </c>
      <c r="D3331">
        <v>3</v>
      </c>
      <c r="E3331">
        <v>33662.29</v>
      </c>
      <c r="F3331" t="s">
        <v>16</v>
      </c>
      <c r="G3331" t="s">
        <v>43</v>
      </c>
      <c r="H3331" t="s">
        <v>18</v>
      </c>
      <c r="I3331" t="s">
        <v>40</v>
      </c>
      <c r="J3331" t="s">
        <v>26</v>
      </c>
      <c r="K3331" t="s">
        <v>41</v>
      </c>
      <c r="L3331" t="s">
        <v>22</v>
      </c>
      <c r="M3331">
        <v>11220.763333333334</v>
      </c>
      <c r="N3331">
        <v>2020</v>
      </c>
      <c r="O3331">
        <v>6</v>
      </c>
    </row>
    <row r="3332" spans="1:15" x14ac:dyDescent="0.3">
      <c r="A3332" s="1">
        <v>44006</v>
      </c>
      <c r="B3332">
        <v>1000005873</v>
      </c>
      <c r="C3332" t="s">
        <v>23</v>
      </c>
      <c r="D3332">
        <v>1</v>
      </c>
      <c r="E3332">
        <v>7000.75</v>
      </c>
      <c r="F3332" t="s">
        <v>16</v>
      </c>
      <c r="G3332" t="s">
        <v>24</v>
      </c>
      <c r="H3332" t="s">
        <v>18</v>
      </c>
      <c r="I3332" t="s">
        <v>19</v>
      </c>
      <c r="J3332" t="s">
        <v>20</v>
      </c>
      <c r="K3332" t="s">
        <v>21</v>
      </c>
      <c r="L3332" t="s">
        <v>28</v>
      </c>
      <c r="M3332">
        <v>7000.75</v>
      </c>
      <c r="N3332">
        <v>2020</v>
      </c>
      <c r="O3332">
        <v>6</v>
      </c>
    </row>
    <row r="3333" spans="1:15" x14ac:dyDescent="0.3">
      <c r="A3333" s="1">
        <v>44006</v>
      </c>
      <c r="B3333">
        <v>1000005873</v>
      </c>
      <c r="C3333" t="s">
        <v>15</v>
      </c>
      <c r="D3333">
        <v>1</v>
      </c>
      <c r="E3333">
        <v>15000.65</v>
      </c>
      <c r="F3333" t="s">
        <v>16</v>
      </c>
      <c r="G3333" t="s">
        <v>17</v>
      </c>
      <c r="H3333" t="s">
        <v>18</v>
      </c>
      <c r="I3333" t="s">
        <v>19</v>
      </c>
      <c r="J3333" t="s">
        <v>20</v>
      </c>
      <c r="K3333" t="s">
        <v>21</v>
      </c>
      <c r="L3333" t="s">
        <v>28</v>
      </c>
      <c r="M3333">
        <v>15000.65</v>
      </c>
      <c r="N3333">
        <v>2020</v>
      </c>
      <c r="O3333">
        <v>6</v>
      </c>
    </row>
    <row r="3334" spans="1:15" x14ac:dyDescent="0.3">
      <c r="A3334" s="1">
        <v>44006</v>
      </c>
      <c r="B3334">
        <v>1000005873</v>
      </c>
      <c r="C3334" t="s">
        <v>42</v>
      </c>
      <c r="D3334">
        <v>1</v>
      </c>
      <c r="E3334">
        <v>13000.56</v>
      </c>
      <c r="F3334" t="s">
        <v>16</v>
      </c>
      <c r="G3334" t="s">
        <v>43</v>
      </c>
      <c r="H3334" t="s">
        <v>18</v>
      </c>
      <c r="I3334" t="s">
        <v>19</v>
      </c>
      <c r="J3334" t="s">
        <v>20</v>
      </c>
      <c r="K3334" t="s">
        <v>21</v>
      </c>
      <c r="L3334" t="s">
        <v>28</v>
      </c>
      <c r="M3334">
        <v>13000.56</v>
      </c>
      <c r="N3334">
        <v>2020</v>
      </c>
      <c r="O3334">
        <v>6</v>
      </c>
    </row>
    <row r="3335" spans="1:15" x14ac:dyDescent="0.3">
      <c r="A3335" s="1">
        <v>44006</v>
      </c>
      <c r="B3335">
        <v>1000006064</v>
      </c>
      <c r="C3335" t="s">
        <v>42</v>
      </c>
      <c r="D3335">
        <v>3</v>
      </c>
      <c r="E3335">
        <v>36000.880000000005</v>
      </c>
      <c r="F3335" t="s">
        <v>16</v>
      </c>
      <c r="G3335" t="s">
        <v>43</v>
      </c>
      <c r="H3335" t="s">
        <v>18</v>
      </c>
      <c r="I3335" t="s">
        <v>40</v>
      </c>
      <c r="J3335" t="s">
        <v>26</v>
      </c>
      <c r="K3335" t="s">
        <v>41</v>
      </c>
      <c r="L3335" t="s">
        <v>22</v>
      </c>
      <c r="M3335">
        <v>12000.293333333335</v>
      </c>
      <c r="N3335">
        <v>2020</v>
      </c>
      <c r="O3335">
        <v>6</v>
      </c>
    </row>
    <row r="3336" spans="1:15" x14ac:dyDescent="0.3">
      <c r="A3336" s="1">
        <v>44006</v>
      </c>
      <c r="B3336">
        <v>1000006698</v>
      </c>
      <c r="C3336" t="s">
        <v>23</v>
      </c>
      <c r="D3336">
        <v>1</v>
      </c>
      <c r="E3336">
        <v>10000.48</v>
      </c>
      <c r="F3336" t="s">
        <v>16</v>
      </c>
      <c r="G3336" t="s">
        <v>24</v>
      </c>
      <c r="H3336" t="s">
        <v>30</v>
      </c>
      <c r="I3336" t="s">
        <v>38</v>
      </c>
      <c r="J3336" t="s">
        <v>26</v>
      </c>
      <c r="K3336" t="s">
        <v>39</v>
      </c>
      <c r="L3336" t="s">
        <v>28</v>
      </c>
      <c r="M3336">
        <v>10000.48</v>
      </c>
      <c r="N3336">
        <v>2020</v>
      </c>
      <c r="O3336">
        <v>6</v>
      </c>
    </row>
    <row r="3337" spans="1:15" x14ac:dyDescent="0.3">
      <c r="A3337" s="1">
        <v>44006</v>
      </c>
      <c r="B3337">
        <v>1000006859</v>
      </c>
      <c r="C3337" t="s">
        <v>23</v>
      </c>
      <c r="D3337">
        <v>1</v>
      </c>
      <c r="E3337">
        <v>22000.7</v>
      </c>
      <c r="F3337" t="s">
        <v>16</v>
      </c>
      <c r="G3337" t="s">
        <v>24</v>
      </c>
      <c r="H3337" t="s">
        <v>18</v>
      </c>
      <c r="I3337" t="s">
        <v>61</v>
      </c>
      <c r="J3337" t="s">
        <v>26</v>
      </c>
      <c r="K3337" t="s">
        <v>62</v>
      </c>
      <c r="L3337" t="s">
        <v>22</v>
      </c>
      <c r="M3337">
        <v>22000.7</v>
      </c>
      <c r="N3337">
        <v>2020</v>
      </c>
      <c r="O3337">
        <v>6</v>
      </c>
    </row>
    <row r="3338" spans="1:15" x14ac:dyDescent="0.3">
      <c r="A3338" s="1">
        <v>44006</v>
      </c>
      <c r="B3338">
        <v>1000006859</v>
      </c>
      <c r="C3338" t="s">
        <v>42</v>
      </c>
      <c r="D3338">
        <v>1</v>
      </c>
      <c r="E3338">
        <v>5000.1899999999996</v>
      </c>
      <c r="F3338" t="s">
        <v>16</v>
      </c>
      <c r="G3338" t="s">
        <v>43</v>
      </c>
      <c r="H3338" t="s">
        <v>18</v>
      </c>
      <c r="I3338" t="s">
        <v>61</v>
      </c>
      <c r="J3338" t="s">
        <v>26</v>
      </c>
      <c r="K3338" t="s">
        <v>62</v>
      </c>
      <c r="L3338" t="s">
        <v>22</v>
      </c>
      <c r="M3338">
        <v>5000.1899999999996</v>
      </c>
      <c r="N3338">
        <v>2020</v>
      </c>
      <c r="O3338">
        <v>6</v>
      </c>
    </row>
    <row r="3339" spans="1:15" x14ac:dyDescent="0.3">
      <c r="A3339" s="1">
        <v>44006</v>
      </c>
      <c r="B3339">
        <v>1000006869</v>
      </c>
      <c r="C3339" t="s">
        <v>15</v>
      </c>
      <c r="D3339">
        <v>1</v>
      </c>
      <c r="E3339">
        <v>5000.01</v>
      </c>
      <c r="F3339" t="s">
        <v>16</v>
      </c>
      <c r="G3339" t="s">
        <v>17</v>
      </c>
      <c r="H3339" t="s">
        <v>18</v>
      </c>
      <c r="I3339" t="s">
        <v>61</v>
      </c>
      <c r="J3339" t="s">
        <v>26</v>
      </c>
      <c r="K3339" t="s">
        <v>62</v>
      </c>
      <c r="L3339" t="s">
        <v>22</v>
      </c>
      <c r="M3339">
        <v>5000.01</v>
      </c>
      <c r="N3339">
        <v>2020</v>
      </c>
      <c r="O3339">
        <v>6</v>
      </c>
    </row>
    <row r="3340" spans="1:15" x14ac:dyDescent="0.3">
      <c r="A3340" s="1">
        <v>44006</v>
      </c>
      <c r="B3340">
        <v>1000008228</v>
      </c>
      <c r="C3340" t="s">
        <v>15</v>
      </c>
      <c r="D3340">
        <v>1</v>
      </c>
      <c r="E3340">
        <v>7000.65</v>
      </c>
      <c r="F3340" t="s">
        <v>16</v>
      </c>
      <c r="G3340" t="s">
        <v>17</v>
      </c>
      <c r="H3340" t="s">
        <v>30</v>
      </c>
      <c r="I3340" t="s">
        <v>31</v>
      </c>
      <c r="J3340" t="s">
        <v>36</v>
      </c>
      <c r="K3340" t="s">
        <v>52</v>
      </c>
      <c r="L3340" t="s">
        <v>22</v>
      </c>
      <c r="M3340">
        <v>7000.65</v>
      </c>
      <c r="N3340">
        <v>2020</v>
      </c>
      <c r="O3340">
        <v>6</v>
      </c>
    </row>
    <row r="3341" spans="1:15" x14ac:dyDescent="0.3">
      <c r="A3341" s="1">
        <v>44006</v>
      </c>
      <c r="B3341">
        <v>1000008542</v>
      </c>
      <c r="C3341" t="s">
        <v>23</v>
      </c>
      <c r="D3341">
        <v>1</v>
      </c>
      <c r="E3341">
        <v>8000.63</v>
      </c>
      <c r="F3341" t="s">
        <v>16</v>
      </c>
      <c r="G3341" t="s">
        <v>24</v>
      </c>
      <c r="H3341" t="s">
        <v>18</v>
      </c>
      <c r="I3341" t="s">
        <v>40</v>
      </c>
      <c r="J3341" t="s">
        <v>26</v>
      </c>
      <c r="K3341" t="s">
        <v>41</v>
      </c>
      <c r="L3341" t="s">
        <v>22</v>
      </c>
      <c r="M3341">
        <v>8000.63</v>
      </c>
      <c r="N3341">
        <v>2020</v>
      </c>
      <c r="O3341">
        <v>6</v>
      </c>
    </row>
    <row r="3342" spans="1:15" x14ac:dyDescent="0.3">
      <c r="A3342" s="1">
        <v>44006</v>
      </c>
      <c r="B3342">
        <v>1000008542</v>
      </c>
      <c r="C3342" t="s">
        <v>42</v>
      </c>
      <c r="D3342">
        <v>1</v>
      </c>
      <c r="E3342">
        <v>13000.64</v>
      </c>
      <c r="F3342" t="s">
        <v>16</v>
      </c>
      <c r="G3342" t="s">
        <v>43</v>
      </c>
      <c r="H3342" t="s">
        <v>18</v>
      </c>
      <c r="I3342" t="s">
        <v>40</v>
      </c>
      <c r="J3342" t="s">
        <v>26</v>
      </c>
      <c r="K3342" t="s">
        <v>41</v>
      </c>
      <c r="L3342" t="s">
        <v>22</v>
      </c>
      <c r="M3342">
        <v>13000.64</v>
      </c>
      <c r="N3342">
        <v>2020</v>
      </c>
      <c r="O3342">
        <v>6</v>
      </c>
    </row>
    <row r="3343" spans="1:15" x14ac:dyDescent="0.3">
      <c r="A3343" s="1">
        <v>44006</v>
      </c>
      <c r="B3343">
        <v>1000010814</v>
      </c>
      <c r="C3343" t="s">
        <v>15</v>
      </c>
      <c r="D3343">
        <v>1</v>
      </c>
      <c r="E3343">
        <v>15000.52</v>
      </c>
      <c r="F3343" t="s">
        <v>16</v>
      </c>
      <c r="G3343" t="s">
        <v>17</v>
      </c>
      <c r="H3343" t="s">
        <v>18</v>
      </c>
      <c r="I3343" t="s">
        <v>61</v>
      </c>
      <c r="J3343" t="s">
        <v>32</v>
      </c>
      <c r="K3343" t="s">
        <v>63</v>
      </c>
      <c r="L3343" t="s">
        <v>22</v>
      </c>
      <c r="M3343">
        <v>15000.52</v>
      </c>
      <c r="N3343">
        <v>2020</v>
      </c>
      <c r="O3343">
        <v>6</v>
      </c>
    </row>
    <row r="3344" spans="1:15" x14ac:dyDescent="0.3">
      <c r="A3344" s="1">
        <v>44006</v>
      </c>
      <c r="B3344">
        <v>1000010837</v>
      </c>
      <c r="C3344" t="s">
        <v>15</v>
      </c>
      <c r="D3344">
        <v>1</v>
      </c>
      <c r="E3344">
        <v>12000.62</v>
      </c>
      <c r="F3344" t="s">
        <v>16</v>
      </c>
      <c r="G3344" t="s">
        <v>17</v>
      </c>
      <c r="H3344" t="s">
        <v>18</v>
      </c>
      <c r="I3344" t="s">
        <v>61</v>
      </c>
      <c r="J3344" t="s">
        <v>26</v>
      </c>
      <c r="K3344" t="s">
        <v>62</v>
      </c>
      <c r="L3344" t="s">
        <v>22</v>
      </c>
      <c r="M3344">
        <v>12000.62</v>
      </c>
      <c r="N3344">
        <v>2020</v>
      </c>
      <c r="O3344">
        <v>6</v>
      </c>
    </row>
    <row r="3345" spans="1:15" x14ac:dyDescent="0.3">
      <c r="A3345" s="1">
        <v>44006</v>
      </c>
      <c r="B3345">
        <v>1000010881</v>
      </c>
      <c r="C3345" t="s">
        <v>23</v>
      </c>
      <c r="D3345">
        <v>1</v>
      </c>
      <c r="E3345">
        <v>17999.97</v>
      </c>
      <c r="F3345" t="s">
        <v>16</v>
      </c>
      <c r="G3345" t="s">
        <v>24</v>
      </c>
      <c r="H3345" t="s">
        <v>47</v>
      </c>
      <c r="I3345" t="s">
        <v>48</v>
      </c>
      <c r="J3345" t="s">
        <v>26</v>
      </c>
      <c r="K3345" t="s">
        <v>50</v>
      </c>
      <c r="L3345" t="s">
        <v>22</v>
      </c>
      <c r="M3345">
        <v>17999.97</v>
      </c>
      <c r="N3345">
        <v>2020</v>
      </c>
      <c r="O3345">
        <v>6</v>
      </c>
    </row>
    <row r="3346" spans="1:15" x14ac:dyDescent="0.3">
      <c r="A3346" s="1">
        <v>44006</v>
      </c>
      <c r="B3346">
        <v>1000011697</v>
      </c>
      <c r="C3346" t="s">
        <v>23</v>
      </c>
      <c r="D3346">
        <v>1</v>
      </c>
      <c r="E3346">
        <v>15000.62</v>
      </c>
      <c r="F3346" t="s">
        <v>16</v>
      </c>
      <c r="G3346" t="s">
        <v>24</v>
      </c>
      <c r="H3346" t="s">
        <v>18</v>
      </c>
      <c r="I3346" t="s">
        <v>34</v>
      </c>
      <c r="J3346" t="s">
        <v>20</v>
      </c>
      <c r="K3346" t="s">
        <v>44</v>
      </c>
      <c r="L3346" t="s">
        <v>22</v>
      </c>
      <c r="M3346">
        <v>15000.62</v>
      </c>
      <c r="N3346">
        <v>2020</v>
      </c>
      <c r="O3346">
        <v>6</v>
      </c>
    </row>
    <row r="3347" spans="1:15" x14ac:dyDescent="0.3">
      <c r="A3347" s="1">
        <v>44006</v>
      </c>
      <c r="B3347">
        <v>1000011698</v>
      </c>
      <c r="C3347" t="s">
        <v>23</v>
      </c>
      <c r="D3347">
        <v>1</v>
      </c>
      <c r="E3347">
        <v>17000.850000000002</v>
      </c>
      <c r="F3347" t="s">
        <v>16</v>
      </c>
      <c r="G3347" t="s">
        <v>24</v>
      </c>
      <c r="H3347" t="s">
        <v>18</v>
      </c>
      <c r="I3347" t="s">
        <v>34</v>
      </c>
      <c r="J3347" t="s">
        <v>20</v>
      </c>
      <c r="K3347" t="s">
        <v>44</v>
      </c>
      <c r="L3347" t="s">
        <v>22</v>
      </c>
      <c r="M3347">
        <v>17000.850000000002</v>
      </c>
      <c r="N3347">
        <v>2020</v>
      </c>
      <c r="O3347">
        <v>6</v>
      </c>
    </row>
    <row r="3348" spans="1:15" x14ac:dyDescent="0.3">
      <c r="A3348" s="1">
        <v>44006</v>
      </c>
      <c r="B3348">
        <v>1000011698</v>
      </c>
      <c r="C3348" t="s">
        <v>15</v>
      </c>
      <c r="D3348">
        <v>2</v>
      </c>
      <c r="E3348">
        <v>23001.08</v>
      </c>
      <c r="F3348" t="s">
        <v>16</v>
      </c>
      <c r="G3348" t="s">
        <v>17</v>
      </c>
      <c r="H3348" t="s">
        <v>18</v>
      </c>
      <c r="I3348" t="s">
        <v>34</v>
      </c>
      <c r="J3348" t="s">
        <v>20</v>
      </c>
      <c r="K3348" t="s">
        <v>44</v>
      </c>
      <c r="L3348" t="s">
        <v>22</v>
      </c>
      <c r="M3348">
        <v>11500.54</v>
      </c>
      <c r="N3348">
        <v>2020</v>
      </c>
      <c r="O3348">
        <v>6</v>
      </c>
    </row>
    <row r="3349" spans="1:15" x14ac:dyDescent="0.3">
      <c r="A3349" s="1">
        <v>44006</v>
      </c>
      <c r="B3349">
        <v>1000011828</v>
      </c>
      <c r="C3349" t="s">
        <v>15</v>
      </c>
      <c r="D3349">
        <v>1</v>
      </c>
      <c r="E3349">
        <v>6000.24</v>
      </c>
      <c r="F3349" t="s">
        <v>16</v>
      </c>
      <c r="G3349" t="s">
        <v>17</v>
      </c>
      <c r="H3349" t="s">
        <v>18</v>
      </c>
      <c r="I3349" t="s">
        <v>19</v>
      </c>
      <c r="J3349" t="s">
        <v>20</v>
      </c>
      <c r="K3349" t="s">
        <v>21</v>
      </c>
      <c r="L3349" t="s">
        <v>22</v>
      </c>
      <c r="M3349">
        <v>6000.24</v>
      </c>
      <c r="N3349">
        <v>2020</v>
      </c>
      <c r="O3349">
        <v>6</v>
      </c>
    </row>
    <row r="3350" spans="1:15" x14ac:dyDescent="0.3">
      <c r="A3350" s="1">
        <v>44006</v>
      </c>
      <c r="B3350">
        <v>1000012096</v>
      </c>
      <c r="C3350" t="s">
        <v>15</v>
      </c>
      <c r="D3350">
        <v>2</v>
      </c>
      <c r="E3350">
        <v>22000.489999999998</v>
      </c>
      <c r="F3350" t="s">
        <v>16</v>
      </c>
      <c r="G3350" t="s">
        <v>17</v>
      </c>
      <c r="H3350" t="s">
        <v>18</v>
      </c>
      <c r="I3350" t="s">
        <v>19</v>
      </c>
      <c r="J3350" t="s">
        <v>26</v>
      </c>
      <c r="K3350" t="s">
        <v>29</v>
      </c>
      <c r="L3350" t="s">
        <v>22</v>
      </c>
      <c r="M3350">
        <v>11000.244999999999</v>
      </c>
      <c r="N3350">
        <v>2020</v>
      </c>
      <c r="O3350">
        <v>6</v>
      </c>
    </row>
    <row r="3351" spans="1:15" x14ac:dyDescent="0.3">
      <c r="A3351" s="1">
        <v>44006</v>
      </c>
      <c r="B3351">
        <v>1000012099</v>
      </c>
      <c r="C3351" t="s">
        <v>15</v>
      </c>
      <c r="D3351">
        <v>2</v>
      </c>
      <c r="E3351">
        <v>38001.050000000003</v>
      </c>
      <c r="F3351" t="s">
        <v>16</v>
      </c>
      <c r="G3351" t="s">
        <v>17</v>
      </c>
      <c r="H3351" t="s">
        <v>18</v>
      </c>
      <c r="I3351" t="s">
        <v>19</v>
      </c>
      <c r="J3351" t="s">
        <v>20</v>
      </c>
      <c r="K3351" t="s">
        <v>21</v>
      </c>
      <c r="L3351" t="s">
        <v>22</v>
      </c>
      <c r="M3351">
        <v>19000.525000000001</v>
      </c>
      <c r="N3351">
        <v>2020</v>
      </c>
      <c r="O3351">
        <v>6</v>
      </c>
    </row>
    <row r="3352" spans="1:15" x14ac:dyDescent="0.3">
      <c r="A3352" s="1">
        <v>44006</v>
      </c>
      <c r="B3352">
        <v>1000012112</v>
      </c>
      <c r="C3352" t="s">
        <v>23</v>
      </c>
      <c r="D3352">
        <v>1</v>
      </c>
      <c r="E3352">
        <v>1063.98</v>
      </c>
      <c r="F3352" t="s">
        <v>16</v>
      </c>
      <c r="G3352" t="s">
        <v>24</v>
      </c>
      <c r="H3352" t="s">
        <v>18</v>
      </c>
      <c r="I3352" t="s">
        <v>19</v>
      </c>
      <c r="J3352" t="s">
        <v>36</v>
      </c>
      <c r="K3352" t="s">
        <v>64</v>
      </c>
      <c r="L3352" t="s">
        <v>28</v>
      </c>
      <c r="M3352">
        <v>1063.98</v>
      </c>
      <c r="N3352">
        <v>2020</v>
      </c>
      <c r="O3352">
        <v>6</v>
      </c>
    </row>
    <row r="3353" spans="1:15" x14ac:dyDescent="0.3">
      <c r="A3353" s="1">
        <v>44006</v>
      </c>
      <c r="B3353">
        <v>1000012124</v>
      </c>
      <c r="C3353" t="s">
        <v>23</v>
      </c>
      <c r="D3353">
        <v>1</v>
      </c>
      <c r="E3353">
        <v>11000.21</v>
      </c>
      <c r="F3353" t="s">
        <v>16</v>
      </c>
      <c r="G3353" t="s">
        <v>24</v>
      </c>
      <c r="H3353" t="s">
        <v>18</v>
      </c>
      <c r="I3353" t="s">
        <v>19</v>
      </c>
      <c r="J3353" t="s">
        <v>26</v>
      </c>
      <c r="K3353" t="s">
        <v>29</v>
      </c>
      <c r="L3353" t="s">
        <v>22</v>
      </c>
      <c r="M3353">
        <v>11000.21</v>
      </c>
      <c r="N3353">
        <v>2020</v>
      </c>
      <c r="O3353">
        <v>6</v>
      </c>
    </row>
    <row r="3354" spans="1:15" x14ac:dyDescent="0.3">
      <c r="A3354" s="1">
        <v>44006</v>
      </c>
      <c r="B3354">
        <v>1000012446</v>
      </c>
      <c r="C3354" t="s">
        <v>15</v>
      </c>
      <c r="D3354">
        <v>1</v>
      </c>
      <c r="E3354">
        <v>18000.52</v>
      </c>
      <c r="F3354" t="s">
        <v>16</v>
      </c>
      <c r="G3354" t="s">
        <v>17</v>
      </c>
      <c r="H3354" t="s">
        <v>30</v>
      </c>
      <c r="I3354" t="s">
        <v>31</v>
      </c>
      <c r="J3354" t="s">
        <v>36</v>
      </c>
      <c r="K3354" t="s">
        <v>52</v>
      </c>
      <c r="L3354" t="s">
        <v>22</v>
      </c>
      <c r="M3354">
        <v>18000.52</v>
      </c>
      <c r="N3354">
        <v>2020</v>
      </c>
      <c r="O3354">
        <v>6</v>
      </c>
    </row>
    <row r="3355" spans="1:15" x14ac:dyDescent="0.3">
      <c r="A3355" s="1">
        <v>44006</v>
      </c>
      <c r="B3355">
        <v>1000012675</v>
      </c>
      <c r="C3355" t="s">
        <v>23</v>
      </c>
      <c r="D3355">
        <v>5</v>
      </c>
      <c r="E3355">
        <v>53002.28</v>
      </c>
      <c r="F3355" t="s">
        <v>16</v>
      </c>
      <c r="G3355" t="s">
        <v>24</v>
      </c>
      <c r="H3355" t="s">
        <v>18</v>
      </c>
      <c r="I3355" t="s">
        <v>34</v>
      </c>
      <c r="J3355" t="s">
        <v>26</v>
      </c>
      <c r="K3355" t="s">
        <v>35</v>
      </c>
      <c r="L3355" t="s">
        <v>22</v>
      </c>
      <c r="M3355">
        <v>10600.456</v>
      </c>
      <c r="N3355">
        <v>2020</v>
      </c>
      <c r="O3355">
        <v>6</v>
      </c>
    </row>
    <row r="3356" spans="1:15" x14ac:dyDescent="0.3">
      <c r="A3356" s="1">
        <v>44006</v>
      </c>
      <c r="B3356">
        <v>1000012675</v>
      </c>
      <c r="C3356" t="s">
        <v>42</v>
      </c>
      <c r="D3356">
        <v>1</v>
      </c>
      <c r="E3356">
        <v>12000.69</v>
      </c>
      <c r="F3356" t="s">
        <v>16</v>
      </c>
      <c r="G3356" t="s">
        <v>43</v>
      </c>
      <c r="H3356" t="s">
        <v>18</v>
      </c>
      <c r="I3356" t="s">
        <v>34</v>
      </c>
      <c r="J3356" t="s">
        <v>26</v>
      </c>
      <c r="K3356" t="s">
        <v>35</v>
      </c>
      <c r="L3356" t="s">
        <v>22</v>
      </c>
      <c r="M3356">
        <v>12000.69</v>
      </c>
      <c r="N3356">
        <v>2020</v>
      </c>
      <c r="O3356">
        <v>6</v>
      </c>
    </row>
    <row r="3357" spans="1:15" x14ac:dyDescent="0.3">
      <c r="A3357" s="1">
        <v>44006</v>
      </c>
      <c r="B3357">
        <v>1000013526</v>
      </c>
      <c r="C3357" t="s">
        <v>23</v>
      </c>
      <c r="D3357">
        <v>2</v>
      </c>
      <c r="E3357">
        <v>9500.6200000000008</v>
      </c>
      <c r="F3357" t="s">
        <v>16</v>
      </c>
      <c r="G3357" t="s">
        <v>24</v>
      </c>
      <c r="H3357" t="s">
        <v>47</v>
      </c>
      <c r="I3357" t="s">
        <v>65</v>
      </c>
      <c r="J3357" t="s">
        <v>26</v>
      </c>
      <c r="K3357" t="s">
        <v>66</v>
      </c>
      <c r="L3357" t="s">
        <v>22</v>
      </c>
      <c r="M3357">
        <v>4750.3100000000004</v>
      </c>
      <c r="N3357">
        <v>2020</v>
      </c>
      <c r="O3357">
        <v>6</v>
      </c>
    </row>
    <row r="3358" spans="1:15" x14ac:dyDescent="0.3">
      <c r="A3358" s="1">
        <v>44006</v>
      </c>
      <c r="B3358">
        <v>1000013526</v>
      </c>
      <c r="C3358" t="s">
        <v>42</v>
      </c>
      <c r="D3358">
        <v>1</v>
      </c>
      <c r="E3358">
        <v>13000.75</v>
      </c>
      <c r="F3358" t="s">
        <v>16</v>
      </c>
      <c r="G3358" t="s">
        <v>43</v>
      </c>
      <c r="H3358" t="s">
        <v>47</v>
      </c>
      <c r="I3358" t="s">
        <v>65</v>
      </c>
      <c r="J3358" t="s">
        <v>26</v>
      </c>
      <c r="K3358" t="s">
        <v>66</v>
      </c>
      <c r="L3358" t="s">
        <v>22</v>
      </c>
      <c r="M3358">
        <v>13000.75</v>
      </c>
      <c r="N3358">
        <v>2020</v>
      </c>
      <c r="O3358">
        <v>6</v>
      </c>
    </row>
    <row r="3359" spans="1:15" x14ac:dyDescent="0.3">
      <c r="A3359" s="1">
        <v>44006</v>
      </c>
      <c r="B3359">
        <v>1000013607</v>
      </c>
      <c r="C3359" t="s">
        <v>15</v>
      </c>
      <c r="D3359">
        <v>1</v>
      </c>
      <c r="E3359">
        <v>20000.05</v>
      </c>
      <c r="F3359" t="s">
        <v>16</v>
      </c>
      <c r="G3359" t="s">
        <v>17</v>
      </c>
      <c r="H3359" t="s">
        <v>18</v>
      </c>
      <c r="I3359" t="s">
        <v>25</v>
      </c>
      <c r="J3359" t="s">
        <v>26</v>
      </c>
      <c r="K3359" t="s">
        <v>27</v>
      </c>
      <c r="L3359" t="s">
        <v>22</v>
      </c>
      <c r="M3359">
        <v>20000.05</v>
      </c>
      <c r="N3359">
        <v>2020</v>
      </c>
      <c r="O3359">
        <v>6</v>
      </c>
    </row>
    <row r="3360" spans="1:15" x14ac:dyDescent="0.3">
      <c r="A3360" s="1">
        <v>44006</v>
      </c>
      <c r="B3360">
        <v>1000014273</v>
      </c>
      <c r="C3360" t="s">
        <v>15</v>
      </c>
      <c r="D3360">
        <v>1</v>
      </c>
      <c r="E3360">
        <v>25000.7</v>
      </c>
      <c r="F3360" t="s">
        <v>16</v>
      </c>
      <c r="G3360" t="s">
        <v>17</v>
      </c>
      <c r="H3360" t="s">
        <v>18</v>
      </c>
      <c r="I3360" t="s">
        <v>19</v>
      </c>
      <c r="J3360" t="s">
        <v>20</v>
      </c>
      <c r="K3360" t="s">
        <v>21</v>
      </c>
      <c r="L3360" t="s">
        <v>22</v>
      </c>
      <c r="M3360">
        <v>25000.7</v>
      </c>
      <c r="N3360">
        <v>2020</v>
      </c>
      <c r="O3360">
        <v>6</v>
      </c>
    </row>
    <row r="3361" spans="1:15" x14ac:dyDescent="0.3">
      <c r="A3361" s="1">
        <v>44006</v>
      </c>
      <c r="B3361">
        <v>1000014291</v>
      </c>
      <c r="C3361" t="s">
        <v>23</v>
      </c>
      <c r="D3361">
        <v>3</v>
      </c>
      <c r="E3361">
        <v>30001.149999999998</v>
      </c>
      <c r="F3361" t="s">
        <v>16</v>
      </c>
      <c r="G3361" t="s">
        <v>24</v>
      </c>
      <c r="H3361" t="s">
        <v>47</v>
      </c>
      <c r="I3361" t="s">
        <v>48</v>
      </c>
      <c r="J3361" t="s">
        <v>20</v>
      </c>
      <c r="K3361" t="s">
        <v>67</v>
      </c>
      <c r="L3361" t="s">
        <v>28</v>
      </c>
      <c r="M3361">
        <v>10000.383333333333</v>
      </c>
      <c r="N3361">
        <v>2020</v>
      </c>
      <c r="O3361">
        <v>6</v>
      </c>
    </row>
    <row r="3362" spans="1:15" x14ac:dyDescent="0.3">
      <c r="A3362" s="1">
        <v>44006</v>
      </c>
      <c r="B3362">
        <v>1000014452</v>
      </c>
      <c r="C3362" t="s">
        <v>23</v>
      </c>
      <c r="D3362">
        <v>2</v>
      </c>
      <c r="E3362">
        <v>13500.81</v>
      </c>
      <c r="F3362" t="s">
        <v>16</v>
      </c>
      <c r="G3362" t="s">
        <v>24</v>
      </c>
      <c r="H3362" t="s">
        <v>18</v>
      </c>
      <c r="I3362" t="s">
        <v>34</v>
      </c>
      <c r="J3362" t="s">
        <v>36</v>
      </c>
      <c r="K3362" t="s">
        <v>70</v>
      </c>
      <c r="L3362" t="s">
        <v>22</v>
      </c>
      <c r="M3362">
        <v>6750.4049999999997</v>
      </c>
      <c r="N3362">
        <v>2020</v>
      </c>
      <c r="O3362">
        <v>6</v>
      </c>
    </row>
    <row r="3363" spans="1:15" x14ac:dyDescent="0.3">
      <c r="A3363" s="1">
        <v>44006</v>
      </c>
      <c r="B3363">
        <v>1000014530</v>
      </c>
      <c r="C3363" t="s">
        <v>15</v>
      </c>
      <c r="D3363">
        <v>2</v>
      </c>
      <c r="E3363">
        <v>35000.370000000003</v>
      </c>
      <c r="F3363" t="s">
        <v>16</v>
      </c>
      <c r="G3363" t="s">
        <v>17</v>
      </c>
      <c r="H3363" t="s">
        <v>47</v>
      </c>
      <c r="I3363" t="s">
        <v>65</v>
      </c>
      <c r="J3363" t="s">
        <v>26</v>
      </c>
      <c r="K3363" t="s">
        <v>66</v>
      </c>
      <c r="L3363" t="s">
        <v>22</v>
      </c>
      <c r="M3363">
        <v>17500.185000000001</v>
      </c>
      <c r="N3363">
        <v>2020</v>
      </c>
      <c r="O3363">
        <v>6</v>
      </c>
    </row>
    <row r="3364" spans="1:15" x14ac:dyDescent="0.3">
      <c r="A3364" s="1">
        <v>44006</v>
      </c>
      <c r="B3364">
        <v>1000014572</v>
      </c>
      <c r="C3364" t="s">
        <v>23</v>
      </c>
      <c r="D3364">
        <v>2</v>
      </c>
      <c r="E3364">
        <v>10000.290000000001</v>
      </c>
      <c r="F3364" t="s">
        <v>16</v>
      </c>
      <c r="G3364" t="s">
        <v>24</v>
      </c>
      <c r="H3364" t="s">
        <v>18</v>
      </c>
      <c r="I3364" t="s">
        <v>34</v>
      </c>
      <c r="J3364" t="s">
        <v>26</v>
      </c>
      <c r="K3364" t="s">
        <v>35</v>
      </c>
      <c r="L3364" t="s">
        <v>22</v>
      </c>
      <c r="M3364">
        <v>5000.1450000000004</v>
      </c>
      <c r="N3364">
        <v>2020</v>
      </c>
      <c r="O3364">
        <v>6</v>
      </c>
    </row>
    <row r="3365" spans="1:15" x14ac:dyDescent="0.3">
      <c r="A3365" s="1">
        <v>44006</v>
      </c>
      <c r="B3365">
        <v>1000014572</v>
      </c>
      <c r="C3365" t="s">
        <v>15</v>
      </c>
      <c r="D3365">
        <v>1</v>
      </c>
      <c r="E3365">
        <v>6999.98</v>
      </c>
      <c r="F3365" t="s">
        <v>16</v>
      </c>
      <c r="G3365" t="s">
        <v>17</v>
      </c>
      <c r="H3365" t="s">
        <v>18</v>
      </c>
      <c r="I3365" t="s">
        <v>34</v>
      </c>
      <c r="J3365" t="s">
        <v>26</v>
      </c>
      <c r="K3365" t="s">
        <v>35</v>
      </c>
      <c r="L3365" t="s">
        <v>22</v>
      </c>
      <c r="M3365">
        <v>6999.98</v>
      </c>
      <c r="N3365">
        <v>2020</v>
      </c>
      <c r="O3365">
        <v>6</v>
      </c>
    </row>
    <row r="3366" spans="1:15" x14ac:dyDescent="0.3">
      <c r="A3366" s="1">
        <v>44006</v>
      </c>
      <c r="B3366">
        <v>1000014588</v>
      </c>
      <c r="C3366" t="s">
        <v>15</v>
      </c>
      <c r="D3366">
        <v>1</v>
      </c>
      <c r="E3366">
        <v>7000.35</v>
      </c>
      <c r="F3366" t="s">
        <v>16</v>
      </c>
      <c r="G3366" t="s">
        <v>17</v>
      </c>
      <c r="H3366" t="s">
        <v>18</v>
      </c>
      <c r="I3366" t="s">
        <v>40</v>
      </c>
      <c r="J3366" t="s">
        <v>20</v>
      </c>
      <c r="K3366" t="s">
        <v>68</v>
      </c>
      <c r="L3366" t="s">
        <v>22</v>
      </c>
      <c r="M3366">
        <v>7000.35</v>
      </c>
      <c r="N3366">
        <v>2020</v>
      </c>
      <c r="O3366">
        <v>6</v>
      </c>
    </row>
    <row r="3367" spans="1:15" x14ac:dyDescent="0.3">
      <c r="A3367" s="1">
        <v>44006</v>
      </c>
      <c r="B3367">
        <v>1000014588</v>
      </c>
      <c r="C3367" t="s">
        <v>42</v>
      </c>
      <c r="D3367">
        <v>2</v>
      </c>
      <c r="E3367">
        <v>22500.67</v>
      </c>
      <c r="F3367" t="s">
        <v>16</v>
      </c>
      <c r="G3367" t="s">
        <v>43</v>
      </c>
      <c r="H3367" t="s">
        <v>18</v>
      </c>
      <c r="I3367" t="s">
        <v>40</v>
      </c>
      <c r="J3367" t="s">
        <v>20</v>
      </c>
      <c r="K3367" t="s">
        <v>68</v>
      </c>
      <c r="L3367" t="s">
        <v>22</v>
      </c>
      <c r="M3367">
        <v>11250.334999999999</v>
      </c>
      <c r="N3367">
        <v>2020</v>
      </c>
      <c r="O3367">
        <v>6</v>
      </c>
    </row>
    <row r="3368" spans="1:15" x14ac:dyDescent="0.3">
      <c r="A3368" s="1">
        <v>44006</v>
      </c>
      <c r="B3368">
        <v>1000014879</v>
      </c>
      <c r="C3368" t="s">
        <v>23</v>
      </c>
      <c r="D3368">
        <v>1</v>
      </c>
      <c r="E3368">
        <v>20000.3</v>
      </c>
      <c r="F3368" t="s">
        <v>16</v>
      </c>
      <c r="G3368" t="s">
        <v>24</v>
      </c>
      <c r="H3368" t="s">
        <v>18</v>
      </c>
      <c r="I3368" t="s">
        <v>40</v>
      </c>
      <c r="J3368" t="s">
        <v>26</v>
      </c>
      <c r="K3368" t="s">
        <v>41</v>
      </c>
      <c r="L3368" t="s">
        <v>22</v>
      </c>
      <c r="M3368">
        <v>20000.3</v>
      </c>
      <c r="N3368">
        <v>2020</v>
      </c>
      <c r="O3368">
        <v>6</v>
      </c>
    </row>
    <row r="3369" spans="1:15" x14ac:dyDescent="0.3">
      <c r="A3369" s="1">
        <v>44006</v>
      </c>
      <c r="B3369">
        <v>1000014879</v>
      </c>
      <c r="C3369" t="s">
        <v>15</v>
      </c>
      <c r="D3369">
        <v>1</v>
      </c>
      <c r="E3369">
        <v>22000.560000000001</v>
      </c>
      <c r="F3369" t="s">
        <v>16</v>
      </c>
      <c r="G3369" t="s">
        <v>17</v>
      </c>
      <c r="H3369" t="s">
        <v>18</v>
      </c>
      <c r="I3369" t="s">
        <v>40</v>
      </c>
      <c r="J3369" t="s">
        <v>26</v>
      </c>
      <c r="K3369" t="s">
        <v>41</v>
      </c>
      <c r="L3369" t="s">
        <v>22</v>
      </c>
      <c r="M3369">
        <v>22000.560000000001</v>
      </c>
      <c r="N3369">
        <v>2020</v>
      </c>
      <c r="O3369">
        <v>6</v>
      </c>
    </row>
    <row r="3370" spans="1:15" x14ac:dyDescent="0.3">
      <c r="A3370" s="1">
        <v>44006</v>
      </c>
      <c r="B3370">
        <v>1000014996</v>
      </c>
      <c r="C3370" t="s">
        <v>15</v>
      </c>
      <c r="D3370">
        <v>2</v>
      </c>
      <c r="E3370">
        <v>25000.720000000001</v>
      </c>
      <c r="F3370" t="s">
        <v>16</v>
      </c>
      <c r="G3370" t="s">
        <v>17</v>
      </c>
      <c r="H3370" t="s">
        <v>30</v>
      </c>
      <c r="I3370" t="s">
        <v>57</v>
      </c>
      <c r="J3370" t="s">
        <v>26</v>
      </c>
      <c r="K3370" t="s">
        <v>58</v>
      </c>
      <c r="L3370" t="s">
        <v>22</v>
      </c>
      <c r="M3370">
        <v>12500.36</v>
      </c>
      <c r="N3370">
        <v>2020</v>
      </c>
      <c r="O3370">
        <v>6</v>
      </c>
    </row>
    <row r="3371" spans="1:15" x14ac:dyDescent="0.3">
      <c r="A3371" s="1">
        <v>44006</v>
      </c>
      <c r="B3371">
        <v>1000015015</v>
      </c>
      <c r="C3371" t="s">
        <v>15</v>
      </c>
      <c r="D3371">
        <v>1</v>
      </c>
      <c r="E3371">
        <v>3000.13</v>
      </c>
      <c r="F3371" t="s">
        <v>16</v>
      </c>
      <c r="G3371" t="s">
        <v>17</v>
      </c>
      <c r="H3371" t="s">
        <v>18</v>
      </c>
      <c r="I3371" t="s">
        <v>61</v>
      </c>
      <c r="J3371" t="s">
        <v>26</v>
      </c>
      <c r="K3371" t="s">
        <v>62</v>
      </c>
      <c r="L3371" t="s">
        <v>22</v>
      </c>
      <c r="M3371">
        <v>3000.13</v>
      </c>
      <c r="N3371">
        <v>2020</v>
      </c>
      <c r="O3371">
        <v>6</v>
      </c>
    </row>
    <row r="3372" spans="1:15" x14ac:dyDescent="0.3">
      <c r="A3372" s="1">
        <v>44006</v>
      </c>
      <c r="B3372">
        <v>1000015015</v>
      </c>
      <c r="C3372" t="s">
        <v>42</v>
      </c>
      <c r="D3372">
        <v>1</v>
      </c>
      <c r="E3372">
        <v>22000.45</v>
      </c>
      <c r="F3372" t="s">
        <v>16</v>
      </c>
      <c r="G3372" t="s">
        <v>43</v>
      </c>
      <c r="H3372" t="s">
        <v>18</v>
      </c>
      <c r="I3372" t="s">
        <v>61</v>
      </c>
      <c r="J3372" t="s">
        <v>26</v>
      </c>
      <c r="K3372" t="s">
        <v>62</v>
      </c>
      <c r="L3372" t="s">
        <v>22</v>
      </c>
      <c r="M3372">
        <v>22000.45</v>
      </c>
      <c r="N3372">
        <v>2020</v>
      </c>
      <c r="O3372">
        <v>6</v>
      </c>
    </row>
    <row r="3373" spans="1:15" x14ac:dyDescent="0.3">
      <c r="A3373" s="1">
        <v>44006</v>
      </c>
      <c r="B3373">
        <v>1000015133</v>
      </c>
      <c r="C3373" t="s">
        <v>15</v>
      </c>
      <c r="D3373">
        <v>1</v>
      </c>
      <c r="E3373">
        <v>17000.68</v>
      </c>
      <c r="F3373" t="s">
        <v>16</v>
      </c>
      <c r="G3373" t="s">
        <v>17</v>
      </c>
      <c r="H3373" t="s">
        <v>30</v>
      </c>
      <c r="I3373" t="s">
        <v>31</v>
      </c>
      <c r="J3373" t="s">
        <v>36</v>
      </c>
      <c r="K3373" t="s">
        <v>52</v>
      </c>
      <c r="L3373" t="s">
        <v>22</v>
      </c>
      <c r="M3373">
        <v>17000.68</v>
      </c>
      <c r="N3373">
        <v>2020</v>
      </c>
      <c r="O3373">
        <v>6</v>
      </c>
    </row>
    <row r="3374" spans="1:15" x14ac:dyDescent="0.3">
      <c r="A3374" s="1">
        <v>44006</v>
      </c>
      <c r="B3374">
        <v>1000015203</v>
      </c>
      <c r="C3374" t="s">
        <v>15</v>
      </c>
      <c r="D3374">
        <v>2</v>
      </c>
      <c r="E3374">
        <v>23500.23</v>
      </c>
      <c r="F3374" t="s">
        <v>16</v>
      </c>
      <c r="G3374" t="s">
        <v>17</v>
      </c>
      <c r="H3374" t="s">
        <v>47</v>
      </c>
      <c r="I3374" t="s">
        <v>65</v>
      </c>
      <c r="J3374" t="s">
        <v>26</v>
      </c>
      <c r="K3374" t="s">
        <v>66</v>
      </c>
      <c r="L3374" t="s">
        <v>22</v>
      </c>
      <c r="M3374">
        <v>11750.115</v>
      </c>
      <c r="N3374">
        <v>2020</v>
      </c>
      <c r="O3374">
        <v>6</v>
      </c>
    </row>
    <row r="3375" spans="1:15" x14ac:dyDescent="0.3">
      <c r="A3375" s="1">
        <v>44006</v>
      </c>
      <c r="B3375">
        <v>1000015788</v>
      </c>
      <c r="C3375" t="s">
        <v>23</v>
      </c>
      <c r="D3375">
        <v>1</v>
      </c>
      <c r="E3375">
        <v>5000.08</v>
      </c>
      <c r="F3375" t="s">
        <v>16</v>
      </c>
      <c r="G3375" t="s">
        <v>24</v>
      </c>
      <c r="H3375" t="s">
        <v>30</v>
      </c>
      <c r="I3375" t="s">
        <v>31</v>
      </c>
      <c r="J3375" t="s">
        <v>36</v>
      </c>
      <c r="K3375" t="s">
        <v>52</v>
      </c>
      <c r="L3375" t="s">
        <v>22</v>
      </c>
      <c r="M3375">
        <v>5000.08</v>
      </c>
      <c r="N3375">
        <v>2020</v>
      </c>
      <c r="O3375">
        <v>6</v>
      </c>
    </row>
    <row r="3376" spans="1:15" x14ac:dyDescent="0.3">
      <c r="A3376" s="1">
        <v>44006</v>
      </c>
      <c r="B3376">
        <v>1000017576</v>
      </c>
      <c r="C3376" t="s">
        <v>15</v>
      </c>
      <c r="D3376">
        <v>4</v>
      </c>
      <c r="E3376">
        <v>58001.250000000007</v>
      </c>
      <c r="F3376" t="s">
        <v>16</v>
      </c>
      <c r="G3376" t="s">
        <v>17</v>
      </c>
      <c r="H3376" t="s">
        <v>18</v>
      </c>
      <c r="I3376" t="s">
        <v>19</v>
      </c>
      <c r="J3376" t="s">
        <v>36</v>
      </c>
      <c r="K3376" t="s">
        <v>64</v>
      </c>
      <c r="L3376" t="s">
        <v>22</v>
      </c>
      <c r="M3376">
        <v>14500.312500000002</v>
      </c>
      <c r="N3376">
        <v>2020</v>
      </c>
      <c r="O3376">
        <v>6</v>
      </c>
    </row>
    <row r="3377" spans="1:15" x14ac:dyDescent="0.3">
      <c r="A3377" s="1">
        <v>44006</v>
      </c>
      <c r="B3377">
        <v>1000017688</v>
      </c>
      <c r="C3377" t="s">
        <v>23</v>
      </c>
      <c r="D3377">
        <v>1</v>
      </c>
      <c r="E3377">
        <v>13000.22</v>
      </c>
      <c r="F3377" t="s">
        <v>16</v>
      </c>
      <c r="G3377" t="s">
        <v>24</v>
      </c>
      <c r="H3377" t="s">
        <v>47</v>
      </c>
      <c r="I3377" t="s">
        <v>48</v>
      </c>
      <c r="J3377" t="s">
        <v>36</v>
      </c>
      <c r="K3377" t="s">
        <v>49</v>
      </c>
      <c r="L3377" t="s">
        <v>22</v>
      </c>
      <c r="M3377">
        <v>13000.22</v>
      </c>
      <c r="N3377">
        <v>2020</v>
      </c>
      <c r="O3377">
        <v>6</v>
      </c>
    </row>
    <row r="3378" spans="1:15" x14ac:dyDescent="0.3">
      <c r="A3378" s="1">
        <v>44006</v>
      </c>
      <c r="B3378">
        <v>1000017700</v>
      </c>
      <c r="C3378" t="s">
        <v>15</v>
      </c>
      <c r="D3378">
        <v>1</v>
      </c>
      <c r="E3378">
        <v>16000.22</v>
      </c>
      <c r="F3378" t="s">
        <v>16</v>
      </c>
      <c r="G3378" t="s">
        <v>17</v>
      </c>
      <c r="H3378" t="s">
        <v>47</v>
      </c>
      <c r="I3378" t="s">
        <v>65</v>
      </c>
      <c r="J3378" t="s">
        <v>26</v>
      </c>
      <c r="K3378" t="s">
        <v>66</v>
      </c>
      <c r="L3378" t="s">
        <v>22</v>
      </c>
      <c r="M3378">
        <v>16000.22</v>
      </c>
      <c r="N3378">
        <v>2020</v>
      </c>
      <c r="O3378">
        <v>6</v>
      </c>
    </row>
    <row r="3379" spans="1:15" x14ac:dyDescent="0.3">
      <c r="A3379" s="1">
        <v>44006</v>
      </c>
      <c r="B3379">
        <v>1000017700</v>
      </c>
      <c r="C3379" t="s">
        <v>42</v>
      </c>
      <c r="D3379">
        <v>1</v>
      </c>
      <c r="E3379">
        <v>12000.17</v>
      </c>
      <c r="F3379" t="s">
        <v>16</v>
      </c>
      <c r="G3379" t="s">
        <v>43</v>
      </c>
      <c r="H3379" t="s">
        <v>47</v>
      </c>
      <c r="I3379" t="s">
        <v>65</v>
      </c>
      <c r="J3379" t="s">
        <v>26</v>
      </c>
      <c r="K3379" t="s">
        <v>66</v>
      </c>
      <c r="L3379" t="s">
        <v>22</v>
      </c>
      <c r="M3379">
        <v>12000.17</v>
      </c>
      <c r="N3379">
        <v>2020</v>
      </c>
      <c r="O3379">
        <v>6</v>
      </c>
    </row>
    <row r="3380" spans="1:15" x14ac:dyDescent="0.3">
      <c r="A3380" s="1">
        <v>44006</v>
      </c>
      <c r="B3380">
        <v>1000018132</v>
      </c>
      <c r="C3380" t="s">
        <v>23</v>
      </c>
      <c r="D3380">
        <v>1</v>
      </c>
      <c r="E3380">
        <v>8000.16</v>
      </c>
      <c r="F3380" t="s">
        <v>16</v>
      </c>
      <c r="G3380" t="s">
        <v>24</v>
      </c>
      <c r="H3380" t="s">
        <v>47</v>
      </c>
      <c r="I3380" t="s">
        <v>65</v>
      </c>
      <c r="J3380" t="s">
        <v>26</v>
      </c>
      <c r="K3380" t="s">
        <v>66</v>
      </c>
      <c r="L3380" t="s">
        <v>22</v>
      </c>
      <c r="M3380">
        <v>8000.16</v>
      </c>
      <c r="N3380">
        <v>2020</v>
      </c>
      <c r="O3380">
        <v>6</v>
      </c>
    </row>
    <row r="3381" spans="1:15" x14ac:dyDescent="0.3">
      <c r="A3381" s="1">
        <v>44006</v>
      </c>
      <c r="B3381">
        <v>1000018132</v>
      </c>
      <c r="C3381" t="s">
        <v>15</v>
      </c>
      <c r="D3381">
        <v>2</v>
      </c>
      <c r="E3381">
        <v>35000.9</v>
      </c>
      <c r="F3381" t="s">
        <v>16</v>
      </c>
      <c r="G3381" t="s">
        <v>17</v>
      </c>
      <c r="H3381" t="s">
        <v>47</v>
      </c>
      <c r="I3381" t="s">
        <v>65</v>
      </c>
      <c r="J3381" t="s">
        <v>26</v>
      </c>
      <c r="K3381" t="s">
        <v>66</v>
      </c>
      <c r="L3381" t="s">
        <v>22</v>
      </c>
      <c r="M3381">
        <v>17500.45</v>
      </c>
      <c r="N3381">
        <v>2020</v>
      </c>
      <c r="O3381">
        <v>6</v>
      </c>
    </row>
    <row r="3382" spans="1:15" x14ac:dyDescent="0.3">
      <c r="A3382" s="1">
        <v>44006</v>
      </c>
      <c r="B3382">
        <v>1000018134</v>
      </c>
      <c r="C3382" t="s">
        <v>23</v>
      </c>
      <c r="D3382">
        <v>1</v>
      </c>
      <c r="E3382">
        <v>16000.2</v>
      </c>
      <c r="F3382" t="s">
        <v>16</v>
      </c>
      <c r="G3382" t="s">
        <v>24</v>
      </c>
      <c r="H3382" t="s">
        <v>18</v>
      </c>
      <c r="I3382" t="s">
        <v>40</v>
      </c>
      <c r="J3382" t="s">
        <v>26</v>
      </c>
      <c r="K3382" t="s">
        <v>41</v>
      </c>
      <c r="L3382" t="s">
        <v>22</v>
      </c>
      <c r="M3382">
        <v>16000.2</v>
      </c>
      <c r="N3382">
        <v>2020</v>
      </c>
      <c r="O3382">
        <v>6</v>
      </c>
    </row>
    <row r="3383" spans="1:15" x14ac:dyDescent="0.3">
      <c r="A3383" s="1">
        <v>44006</v>
      </c>
      <c r="B3383">
        <v>1000020084</v>
      </c>
      <c r="C3383" t="s">
        <v>15</v>
      </c>
      <c r="D3383">
        <v>1</v>
      </c>
      <c r="E3383">
        <v>22000.54</v>
      </c>
      <c r="F3383" t="s">
        <v>16</v>
      </c>
      <c r="G3383" t="s">
        <v>17</v>
      </c>
      <c r="H3383" t="s">
        <v>47</v>
      </c>
      <c r="I3383" t="s">
        <v>59</v>
      </c>
      <c r="J3383" t="s">
        <v>26</v>
      </c>
      <c r="K3383" t="s">
        <v>60</v>
      </c>
      <c r="L3383" t="s">
        <v>22</v>
      </c>
      <c r="M3383">
        <v>22000.54</v>
      </c>
      <c r="N3383">
        <v>2020</v>
      </c>
      <c r="O3383">
        <v>6</v>
      </c>
    </row>
    <row r="3384" spans="1:15" x14ac:dyDescent="0.3">
      <c r="A3384" s="1">
        <v>44007</v>
      </c>
      <c r="B3384">
        <v>1000000029</v>
      </c>
      <c r="C3384" t="s">
        <v>71</v>
      </c>
      <c r="D3384">
        <v>1</v>
      </c>
      <c r="E3384">
        <v>3000.3</v>
      </c>
      <c r="F3384" t="s">
        <v>16</v>
      </c>
      <c r="G3384" t="s">
        <v>72</v>
      </c>
      <c r="H3384" t="s">
        <v>18</v>
      </c>
      <c r="I3384" t="s">
        <v>19</v>
      </c>
      <c r="J3384" t="s">
        <v>20</v>
      </c>
      <c r="K3384" t="s">
        <v>21</v>
      </c>
      <c r="L3384" t="s">
        <v>22</v>
      </c>
      <c r="M3384">
        <v>3000.3</v>
      </c>
      <c r="N3384">
        <v>2020</v>
      </c>
      <c r="O3384">
        <v>6</v>
      </c>
    </row>
    <row r="3385" spans="1:15" x14ac:dyDescent="0.3">
      <c r="A3385" s="1">
        <v>44007</v>
      </c>
      <c r="B3385">
        <v>1000000030</v>
      </c>
      <c r="C3385" t="s">
        <v>23</v>
      </c>
      <c r="D3385">
        <v>2</v>
      </c>
      <c r="E3385">
        <v>6501.05</v>
      </c>
      <c r="F3385" t="s">
        <v>16</v>
      </c>
      <c r="G3385" t="s">
        <v>24</v>
      </c>
      <c r="H3385" t="s">
        <v>47</v>
      </c>
      <c r="I3385" t="s">
        <v>48</v>
      </c>
      <c r="J3385" t="s">
        <v>36</v>
      </c>
      <c r="K3385" t="s">
        <v>49</v>
      </c>
      <c r="L3385" t="s">
        <v>22</v>
      </c>
      <c r="M3385">
        <v>3250.5250000000001</v>
      </c>
      <c r="N3385">
        <v>2020</v>
      </c>
      <c r="O3385">
        <v>6</v>
      </c>
    </row>
    <row r="3386" spans="1:15" x14ac:dyDescent="0.3">
      <c r="A3386" s="1">
        <v>44007</v>
      </c>
      <c r="B3386">
        <v>1000000030</v>
      </c>
      <c r="C3386" t="s">
        <v>15</v>
      </c>
      <c r="D3386">
        <v>1</v>
      </c>
      <c r="E3386">
        <v>30000.69</v>
      </c>
      <c r="F3386" t="s">
        <v>16</v>
      </c>
      <c r="G3386" t="s">
        <v>17</v>
      </c>
      <c r="H3386" t="s">
        <v>47</v>
      </c>
      <c r="I3386" t="s">
        <v>48</v>
      </c>
      <c r="J3386" t="s">
        <v>36</v>
      </c>
      <c r="K3386" t="s">
        <v>49</v>
      </c>
      <c r="L3386" t="s">
        <v>22</v>
      </c>
      <c r="M3386">
        <v>30000.69</v>
      </c>
      <c r="N3386">
        <v>2020</v>
      </c>
      <c r="O3386">
        <v>6</v>
      </c>
    </row>
    <row r="3387" spans="1:15" x14ac:dyDescent="0.3">
      <c r="A3387" s="1">
        <v>44007</v>
      </c>
      <c r="B3387">
        <v>1000000030</v>
      </c>
      <c r="C3387" t="s">
        <v>42</v>
      </c>
      <c r="D3387">
        <v>1</v>
      </c>
      <c r="E3387">
        <v>13000.52</v>
      </c>
      <c r="F3387" t="s">
        <v>16</v>
      </c>
      <c r="G3387" t="s">
        <v>43</v>
      </c>
      <c r="H3387" t="s">
        <v>47</v>
      </c>
      <c r="I3387" t="s">
        <v>48</v>
      </c>
      <c r="J3387" t="s">
        <v>36</v>
      </c>
      <c r="K3387" t="s">
        <v>49</v>
      </c>
      <c r="L3387" t="s">
        <v>22</v>
      </c>
      <c r="M3387">
        <v>13000.52</v>
      </c>
      <c r="N3387">
        <v>2020</v>
      </c>
      <c r="O3387">
        <v>6</v>
      </c>
    </row>
    <row r="3388" spans="1:15" x14ac:dyDescent="0.3">
      <c r="A3388" s="1">
        <v>44007</v>
      </c>
      <c r="B3388">
        <v>1000000031</v>
      </c>
      <c r="C3388" t="s">
        <v>23</v>
      </c>
      <c r="D3388">
        <v>2</v>
      </c>
      <c r="E3388">
        <v>24001.27</v>
      </c>
      <c r="F3388" t="s">
        <v>16</v>
      </c>
      <c r="G3388" t="s">
        <v>24</v>
      </c>
      <c r="H3388" t="s">
        <v>18</v>
      </c>
      <c r="I3388" t="s">
        <v>19</v>
      </c>
      <c r="J3388" t="s">
        <v>26</v>
      </c>
      <c r="K3388" t="s">
        <v>29</v>
      </c>
      <c r="L3388" t="s">
        <v>28</v>
      </c>
      <c r="M3388">
        <v>12000.635</v>
      </c>
      <c r="N3388">
        <v>2020</v>
      </c>
      <c r="O3388">
        <v>6</v>
      </c>
    </row>
    <row r="3389" spans="1:15" x14ac:dyDescent="0.3">
      <c r="A3389" s="1">
        <v>44007</v>
      </c>
      <c r="B3389">
        <v>1000000031</v>
      </c>
      <c r="C3389" t="s">
        <v>15</v>
      </c>
      <c r="D3389">
        <v>1</v>
      </c>
      <c r="E3389">
        <v>500.28</v>
      </c>
      <c r="F3389" t="s">
        <v>16</v>
      </c>
      <c r="G3389" t="s">
        <v>17</v>
      </c>
      <c r="H3389" t="s">
        <v>18</v>
      </c>
      <c r="I3389" t="s">
        <v>19</v>
      </c>
      <c r="J3389" t="s">
        <v>26</v>
      </c>
      <c r="K3389" t="s">
        <v>29</v>
      </c>
      <c r="L3389" t="s">
        <v>28</v>
      </c>
      <c r="M3389">
        <v>500.28</v>
      </c>
      <c r="N3389">
        <v>2020</v>
      </c>
      <c r="O3389">
        <v>6</v>
      </c>
    </row>
    <row r="3390" spans="1:15" x14ac:dyDescent="0.3">
      <c r="A3390" s="1">
        <v>44007</v>
      </c>
      <c r="B3390">
        <v>1000000032</v>
      </c>
      <c r="C3390" t="s">
        <v>23</v>
      </c>
      <c r="D3390">
        <v>2</v>
      </c>
      <c r="E3390">
        <v>36001.43</v>
      </c>
      <c r="F3390" t="s">
        <v>16</v>
      </c>
      <c r="G3390" t="s">
        <v>24</v>
      </c>
      <c r="H3390" t="s">
        <v>18</v>
      </c>
      <c r="I3390" t="s">
        <v>25</v>
      </c>
      <c r="J3390" t="s">
        <v>26</v>
      </c>
      <c r="K3390" t="s">
        <v>27</v>
      </c>
      <c r="L3390" t="s">
        <v>28</v>
      </c>
      <c r="M3390">
        <v>18000.715</v>
      </c>
      <c r="N3390">
        <v>2020</v>
      </c>
      <c r="O3390">
        <v>6</v>
      </c>
    </row>
    <row r="3391" spans="1:15" x14ac:dyDescent="0.3">
      <c r="A3391" s="1">
        <v>44007</v>
      </c>
      <c r="B3391">
        <v>1000000032</v>
      </c>
      <c r="C3391" t="s">
        <v>42</v>
      </c>
      <c r="D3391">
        <v>1</v>
      </c>
      <c r="E3391">
        <v>7999.96</v>
      </c>
      <c r="F3391" t="s">
        <v>16</v>
      </c>
      <c r="G3391" t="s">
        <v>43</v>
      </c>
      <c r="H3391" t="s">
        <v>18</v>
      </c>
      <c r="I3391" t="s">
        <v>25</v>
      </c>
      <c r="J3391" t="s">
        <v>26</v>
      </c>
      <c r="K3391" t="s">
        <v>27</v>
      </c>
      <c r="L3391" t="s">
        <v>28</v>
      </c>
      <c r="M3391">
        <v>7999.96</v>
      </c>
      <c r="N3391">
        <v>2020</v>
      </c>
      <c r="O3391">
        <v>6</v>
      </c>
    </row>
    <row r="3392" spans="1:15" x14ac:dyDescent="0.3">
      <c r="A3392" s="1">
        <v>44007</v>
      </c>
      <c r="B3392">
        <v>1000000033</v>
      </c>
      <c r="C3392" t="s">
        <v>73</v>
      </c>
      <c r="D3392">
        <v>1</v>
      </c>
      <c r="E3392">
        <v>999.93</v>
      </c>
      <c r="F3392" t="s">
        <v>16</v>
      </c>
      <c r="G3392" t="s">
        <v>74</v>
      </c>
      <c r="H3392" t="s">
        <v>18</v>
      </c>
      <c r="I3392" t="s">
        <v>25</v>
      </c>
      <c r="J3392" t="s">
        <v>26</v>
      </c>
      <c r="K3392" t="s">
        <v>27</v>
      </c>
      <c r="L3392" t="s">
        <v>22</v>
      </c>
      <c r="M3392">
        <v>999.93</v>
      </c>
      <c r="N3392">
        <v>2020</v>
      </c>
      <c r="O3392">
        <v>6</v>
      </c>
    </row>
    <row r="3393" spans="1:15" x14ac:dyDescent="0.3">
      <c r="A3393" s="1">
        <v>44007</v>
      </c>
      <c r="B3393">
        <v>1000000033</v>
      </c>
      <c r="C3393" t="s">
        <v>23</v>
      </c>
      <c r="D3393">
        <v>1</v>
      </c>
      <c r="E3393">
        <v>10000.76</v>
      </c>
      <c r="F3393" t="s">
        <v>16</v>
      </c>
      <c r="G3393" t="s">
        <v>24</v>
      </c>
      <c r="H3393" t="s">
        <v>18</v>
      </c>
      <c r="I3393" t="s">
        <v>25</v>
      </c>
      <c r="J3393" t="s">
        <v>26</v>
      </c>
      <c r="K3393" t="s">
        <v>27</v>
      </c>
      <c r="L3393" t="s">
        <v>22</v>
      </c>
      <c r="M3393">
        <v>10000.76</v>
      </c>
      <c r="N3393">
        <v>2020</v>
      </c>
      <c r="O3393">
        <v>6</v>
      </c>
    </row>
    <row r="3394" spans="1:15" x14ac:dyDescent="0.3">
      <c r="A3394" s="1">
        <v>44007</v>
      </c>
      <c r="B3394">
        <v>1000000034</v>
      </c>
      <c r="C3394" t="s">
        <v>23</v>
      </c>
      <c r="D3394">
        <v>3</v>
      </c>
      <c r="E3394">
        <v>29001.39</v>
      </c>
      <c r="F3394" t="s">
        <v>16</v>
      </c>
      <c r="G3394" t="s">
        <v>24</v>
      </c>
      <c r="H3394" t="s">
        <v>18</v>
      </c>
      <c r="I3394" t="s">
        <v>25</v>
      </c>
      <c r="J3394" t="s">
        <v>26</v>
      </c>
      <c r="K3394" t="s">
        <v>27</v>
      </c>
      <c r="L3394" t="s">
        <v>22</v>
      </c>
      <c r="M3394">
        <v>9667.1299999999992</v>
      </c>
      <c r="N3394">
        <v>2020</v>
      </c>
      <c r="O3394">
        <v>6</v>
      </c>
    </row>
    <row r="3395" spans="1:15" x14ac:dyDescent="0.3">
      <c r="A3395" s="1">
        <v>44007</v>
      </c>
      <c r="B3395">
        <v>1000000036</v>
      </c>
      <c r="C3395" t="s">
        <v>23</v>
      </c>
      <c r="D3395">
        <v>2</v>
      </c>
      <c r="E3395">
        <v>17001.09</v>
      </c>
      <c r="F3395" t="s">
        <v>16</v>
      </c>
      <c r="G3395" t="s">
        <v>24</v>
      </c>
      <c r="H3395" t="s">
        <v>47</v>
      </c>
      <c r="I3395" t="s">
        <v>48</v>
      </c>
      <c r="J3395" t="s">
        <v>36</v>
      </c>
      <c r="K3395" t="s">
        <v>49</v>
      </c>
      <c r="L3395" t="s">
        <v>28</v>
      </c>
      <c r="M3395">
        <v>8500.5450000000001</v>
      </c>
      <c r="N3395">
        <v>2020</v>
      </c>
      <c r="O3395">
        <v>6</v>
      </c>
    </row>
    <row r="3396" spans="1:15" x14ac:dyDescent="0.3">
      <c r="A3396" s="1">
        <v>44007</v>
      </c>
      <c r="B3396">
        <v>1000000039</v>
      </c>
      <c r="C3396" t="s">
        <v>23</v>
      </c>
      <c r="D3396">
        <v>1</v>
      </c>
      <c r="E3396">
        <v>6499.93</v>
      </c>
      <c r="F3396" t="s">
        <v>16</v>
      </c>
      <c r="G3396" t="s">
        <v>24</v>
      </c>
      <c r="H3396" t="s">
        <v>18</v>
      </c>
      <c r="I3396" t="s">
        <v>25</v>
      </c>
      <c r="J3396" t="s">
        <v>20</v>
      </c>
      <c r="K3396" t="s">
        <v>51</v>
      </c>
      <c r="L3396" t="s">
        <v>28</v>
      </c>
      <c r="M3396">
        <v>6499.93</v>
      </c>
      <c r="N3396">
        <v>2020</v>
      </c>
      <c r="O3396">
        <v>6</v>
      </c>
    </row>
    <row r="3397" spans="1:15" x14ac:dyDescent="0.3">
      <c r="A3397" s="1">
        <v>44007</v>
      </c>
      <c r="B3397">
        <v>1000000039</v>
      </c>
      <c r="C3397" t="s">
        <v>15</v>
      </c>
      <c r="D3397">
        <v>2</v>
      </c>
      <c r="E3397">
        <v>17512.100000000002</v>
      </c>
      <c r="F3397" t="s">
        <v>16</v>
      </c>
      <c r="G3397" t="s">
        <v>17</v>
      </c>
      <c r="H3397" t="s">
        <v>18</v>
      </c>
      <c r="I3397" t="s">
        <v>25</v>
      </c>
      <c r="J3397" t="s">
        <v>20</v>
      </c>
      <c r="K3397" t="s">
        <v>51</v>
      </c>
      <c r="L3397" t="s">
        <v>28</v>
      </c>
      <c r="M3397">
        <v>8756.0500000000011</v>
      </c>
      <c r="N3397">
        <v>2020</v>
      </c>
      <c r="O3397">
        <v>6</v>
      </c>
    </row>
    <row r="3398" spans="1:15" x14ac:dyDescent="0.3">
      <c r="A3398" s="1">
        <v>44007</v>
      </c>
      <c r="B3398">
        <v>1000000040</v>
      </c>
      <c r="C3398" t="s">
        <v>23</v>
      </c>
      <c r="D3398">
        <v>1</v>
      </c>
      <c r="E3398">
        <v>16000.23</v>
      </c>
      <c r="F3398" t="s">
        <v>16</v>
      </c>
      <c r="G3398" t="s">
        <v>24</v>
      </c>
      <c r="H3398" t="s">
        <v>30</v>
      </c>
      <c r="I3398" t="s">
        <v>31</v>
      </c>
      <c r="J3398" t="s">
        <v>32</v>
      </c>
      <c r="K3398" t="s">
        <v>33</v>
      </c>
      <c r="L3398" t="s">
        <v>28</v>
      </c>
      <c r="M3398">
        <v>16000.23</v>
      </c>
      <c r="N3398">
        <v>2020</v>
      </c>
      <c r="O3398">
        <v>6</v>
      </c>
    </row>
    <row r="3399" spans="1:15" x14ac:dyDescent="0.3">
      <c r="A3399" s="1">
        <v>44007</v>
      </c>
      <c r="B3399">
        <v>1000000041</v>
      </c>
      <c r="C3399" t="s">
        <v>23</v>
      </c>
      <c r="D3399">
        <v>2</v>
      </c>
      <c r="E3399">
        <v>8000.5300000000007</v>
      </c>
      <c r="F3399" t="s">
        <v>16</v>
      </c>
      <c r="G3399" t="s">
        <v>24</v>
      </c>
      <c r="H3399" t="s">
        <v>30</v>
      </c>
      <c r="I3399" t="s">
        <v>31</v>
      </c>
      <c r="J3399" t="s">
        <v>32</v>
      </c>
      <c r="K3399" t="s">
        <v>33</v>
      </c>
      <c r="L3399" t="s">
        <v>22</v>
      </c>
      <c r="M3399">
        <v>4000.2650000000003</v>
      </c>
      <c r="N3399">
        <v>2020</v>
      </c>
      <c r="O3399">
        <v>6</v>
      </c>
    </row>
    <row r="3400" spans="1:15" x14ac:dyDescent="0.3">
      <c r="A3400" s="1">
        <v>44007</v>
      </c>
      <c r="B3400">
        <v>1000000041</v>
      </c>
      <c r="C3400" t="s">
        <v>15</v>
      </c>
      <c r="D3400">
        <v>1</v>
      </c>
      <c r="E3400">
        <v>3300.12</v>
      </c>
      <c r="F3400" t="s">
        <v>16</v>
      </c>
      <c r="G3400" t="s">
        <v>17</v>
      </c>
      <c r="H3400" t="s">
        <v>30</v>
      </c>
      <c r="I3400" t="s">
        <v>31</v>
      </c>
      <c r="J3400" t="s">
        <v>32</v>
      </c>
      <c r="K3400" t="s">
        <v>33</v>
      </c>
      <c r="L3400" t="s">
        <v>22</v>
      </c>
      <c r="M3400">
        <v>3300.12</v>
      </c>
      <c r="N3400">
        <v>2020</v>
      </c>
      <c r="O3400">
        <v>6</v>
      </c>
    </row>
    <row r="3401" spans="1:15" x14ac:dyDescent="0.3">
      <c r="A3401" s="1">
        <v>44007</v>
      </c>
      <c r="B3401">
        <v>1000000043</v>
      </c>
      <c r="C3401" t="s">
        <v>23</v>
      </c>
      <c r="D3401">
        <v>1</v>
      </c>
      <c r="E3401">
        <v>6000.12</v>
      </c>
      <c r="F3401" t="s">
        <v>16</v>
      </c>
      <c r="G3401" t="s">
        <v>24</v>
      </c>
      <c r="H3401" t="s">
        <v>30</v>
      </c>
      <c r="I3401" t="s">
        <v>38</v>
      </c>
      <c r="J3401" t="s">
        <v>26</v>
      </c>
      <c r="K3401" t="s">
        <v>39</v>
      </c>
      <c r="L3401" t="s">
        <v>22</v>
      </c>
      <c r="M3401">
        <v>6000.12</v>
      </c>
      <c r="N3401">
        <v>2020</v>
      </c>
      <c r="O3401">
        <v>6</v>
      </c>
    </row>
    <row r="3402" spans="1:15" x14ac:dyDescent="0.3">
      <c r="A3402" s="1">
        <v>44007</v>
      </c>
      <c r="B3402">
        <v>1000000043</v>
      </c>
      <c r="C3402" t="s">
        <v>71</v>
      </c>
      <c r="D3402">
        <v>1</v>
      </c>
      <c r="E3402">
        <v>957.26</v>
      </c>
      <c r="F3402" t="s">
        <v>16</v>
      </c>
      <c r="G3402" t="s">
        <v>72</v>
      </c>
      <c r="H3402" t="s">
        <v>30</v>
      </c>
      <c r="I3402" t="s">
        <v>38</v>
      </c>
      <c r="J3402" t="s">
        <v>26</v>
      </c>
      <c r="K3402" t="s">
        <v>39</v>
      </c>
      <c r="L3402" t="s">
        <v>22</v>
      </c>
      <c r="M3402">
        <v>957.26</v>
      </c>
      <c r="N3402">
        <v>2020</v>
      </c>
      <c r="O3402">
        <v>6</v>
      </c>
    </row>
    <row r="3403" spans="1:15" x14ac:dyDescent="0.3">
      <c r="A3403" s="1">
        <v>44007</v>
      </c>
      <c r="B3403">
        <v>1000000044</v>
      </c>
      <c r="C3403" t="s">
        <v>23</v>
      </c>
      <c r="D3403">
        <v>1</v>
      </c>
      <c r="E3403">
        <v>10000.74</v>
      </c>
      <c r="F3403" t="s">
        <v>16</v>
      </c>
      <c r="G3403" t="s">
        <v>24</v>
      </c>
      <c r="H3403" t="s">
        <v>30</v>
      </c>
      <c r="I3403" t="s">
        <v>31</v>
      </c>
      <c r="J3403" t="s">
        <v>36</v>
      </c>
      <c r="K3403" t="s">
        <v>52</v>
      </c>
      <c r="L3403" t="s">
        <v>28</v>
      </c>
      <c r="M3403">
        <v>10000.74</v>
      </c>
      <c r="N3403">
        <v>2020</v>
      </c>
      <c r="O3403">
        <v>6</v>
      </c>
    </row>
    <row r="3404" spans="1:15" x14ac:dyDescent="0.3">
      <c r="A3404" s="1">
        <v>44007</v>
      </c>
      <c r="B3404">
        <v>1000000045</v>
      </c>
      <c r="C3404" t="s">
        <v>23</v>
      </c>
      <c r="D3404">
        <v>4</v>
      </c>
      <c r="E3404">
        <v>20843.89</v>
      </c>
      <c r="F3404" t="s">
        <v>16</v>
      </c>
      <c r="G3404" t="s">
        <v>24</v>
      </c>
      <c r="H3404" t="s">
        <v>47</v>
      </c>
      <c r="I3404" t="s">
        <v>59</v>
      </c>
      <c r="J3404" t="s">
        <v>26</v>
      </c>
      <c r="K3404" t="s">
        <v>60</v>
      </c>
      <c r="L3404" t="s">
        <v>22</v>
      </c>
      <c r="M3404">
        <v>5210.9724999999999</v>
      </c>
      <c r="N3404">
        <v>2020</v>
      </c>
      <c r="O3404">
        <v>6</v>
      </c>
    </row>
    <row r="3405" spans="1:15" x14ac:dyDescent="0.3">
      <c r="A3405" s="1">
        <v>44007</v>
      </c>
      <c r="B3405">
        <v>1000000045</v>
      </c>
      <c r="C3405" t="s">
        <v>15</v>
      </c>
      <c r="D3405">
        <v>1</v>
      </c>
      <c r="E3405">
        <v>17000.43</v>
      </c>
      <c r="F3405" t="s">
        <v>16</v>
      </c>
      <c r="G3405" t="s">
        <v>17</v>
      </c>
      <c r="H3405" t="s">
        <v>47</v>
      </c>
      <c r="I3405" t="s">
        <v>59</v>
      </c>
      <c r="J3405" t="s">
        <v>26</v>
      </c>
      <c r="K3405" t="s">
        <v>60</v>
      </c>
      <c r="L3405" t="s">
        <v>22</v>
      </c>
      <c r="M3405">
        <v>17000.43</v>
      </c>
      <c r="N3405">
        <v>2020</v>
      </c>
      <c r="O3405">
        <v>6</v>
      </c>
    </row>
    <row r="3406" spans="1:15" x14ac:dyDescent="0.3">
      <c r="A3406" s="1">
        <v>44007</v>
      </c>
      <c r="B3406">
        <v>1000000046</v>
      </c>
      <c r="C3406" t="s">
        <v>23</v>
      </c>
      <c r="D3406">
        <v>3</v>
      </c>
      <c r="E3406">
        <v>15201.869999999999</v>
      </c>
      <c r="F3406" t="s">
        <v>16</v>
      </c>
      <c r="G3406" t="s">
        <v>24</v>
      </c>
      <c r="H3406" t="s">
        <v>30</v>
      </c>
      <c r="I3406" t="s">
        <v>38</v>
      </c>
      <c r="J3406" t="s">
        <v>26</v>
      </c>
      <c r="K3406" t="s">
        <v>39</v>
      </c>
      <c r="L3406" t="s">
        <v>22</v>
      </c>
      <c r="M3406">
        <v>5067.29</v>
      </c>
      <c r="N3406">
        <v>2020</v>
      </c>
      <c r="O3406">
        <v>6</v>
      </c>
    </row>
    <row r="3407" spans="1:15" x14ac:dyDescent="0.3">
      <c r="A3407" s="1">
        <v>44007</v>
      </c>
      <c r="B3407">
        <v>1000000054</v>
      </c>
      <c r="C3407" t="s">
        <v>23</v>
      </c>
      <c r="D3407">
        <v>1</v>
      </c>
      <c r="E3407">
        <v>13999.99</v>
      </c>
      <c r="F3407" t="s">
        <v>16</v>
      </c>
      <c r="G3407" t="s">
        <v>24</v>
      </c>
      <c r="H3407" t="s">
        <v>18</v>
      </c>
      <c r="I3407" t="s">
        <v>34</v>
      </c>
      <c r="J3407" t="s">
        <v>26</v>
      </c>
      <c r="K3407" t="s">
        <v>35</v>
      </c>
      <c r="L3407" t="s">
        <v>22</v>
      </c>
      <c r="M3407">
        <v>13999.99</v>
      </c>
      <c r="N3407">
        <v>2020</v>
      </c>
      <c r="O3407">
        <v>6</v>
      </c>
    </row>
    <row r="3408" spans="1:15" x14ac:dyDescent="0.3">
      <c r="A3408" s="1">
        <v>44007</v>
      </c>
      <c r="B3408">
        <v>1000000054</v>
      </c>
      <c r="C3408" t="s">
        <v>15</v>
      </c>
      <c r="D3408">
        <v>2</v>
      </c>
      <c r="E3408">
        <v>25000.5</v>
      </c>
      <c r="F3408" t="s">
        <v>16</v>
      </c>
      <c r="G3408" t="s">
        <v>17</v>
      </c>
      <c r="H3408" t="s">
        <v>18</v>
      </c>
      <c r="I3408" t="s">
        <v>34</v>
      </c>
      <c r="J3408" t="s">
        <v>26</v>
      </c>
      <c r="K3408" t="s">
        <v>35</v>
      </c>
      <c r="L3408" t="s">
        <v>22</v>
      </c>
      <c r="M3408">
        <v>12500.25</v>
      </c>
      <c r="N3408">
        <v>2020</v>
      </c>
      <c r="O3408">
        <v>6</v>
      </c>
    </row>
    <row r="3409" spans="1:15" x14ac:dyDescent="0.3">
      <c r="A3409" s="1">
        <v>44007</v>
      </c>
      <c r="B3409">
        <v>1000000056</v>
      </c>
      <c r="C3409" t="s">
        <v>23</v>
      </c>
      <c r="D3409">
        <v>3</v>
      </c>
      <c r="E3409">
        <v>18000.400000000001</v>
      </c>
      <c r="F3409" t="s">
        <v>16</v>
      </c>
      <c r="G3409" t="s">
        <v>24</v>
      </c>
      <c r="H3409" t="s">
        <v>18</v>
      </c>
      <c r="I3409" t="s">
        <v>34</v>
      </c>
      <c r="J3409" t="s">
        <v>26</v>
      </c>
      <c r="K3409" t="s">
        <v>35</v>
      </c>
      <c r="L3409" t="s">
        <v>28</v>
      </c>
      <c r="M3409">
        <v>6000.1333333333341</v>
      </c>
      <c r="N3409">
        <v>2020</v>
      </c>
      <c r="O3409">
        <v>6</v>
      </c>
    </row>
    <row r="3410" spans="1:15" x14ac:dyDescent="0.3">
      <c r="A3410" s="1">
        <v>44007</v>
      </c>
      <c r="B3410">
        <v>1000000056</v>
      </c>
      <c r="C3410" t="s">
        <v>15</v>
      </c>
      <c r="D3410">
        <v>2</v>
      </c>
      <c r="E3410">
        <v>24000.75</v>
      </c>
      <c r="F3410" t="s">
        <v>16</v>
      </c>
      <c r="G3410" t="s">
        <v>17</v>
      </c>
      <c r="H3410" t="s">
        <v>18</v>
      </c>
      <c r="I3410" t="s">
        <v>34</v>
      </c>
      <c r="J3410" t="s">
        <v>26</v>
      </c>
      <c r="K3410" t="s">
        <v>35</v>
      </c>
      <c r="L3410" t="s">
        <v>28</v>
      </c>
      <c r="M3410">
        <v>12000.375</v>
      </c>
      <c r="N3410">
        <v>2020</v>
      </c>
      <c r="O3410">
        <v>6</v>
      </c>
    </row>
    <row r="3411" spans="1:15" x14ac:dyDescent="0.3">
      <c r="A3411" s="1">
        <v>44007</v>
      </c>
      <c r="B3411">
        <v>1000000056</v>
      </c>
      <c r="C3411" t="s">
        <v>42</v>
      </c>
      <c r="D3411">
        <v>2</v>
      </c>
      <c r="E3411">
        <v>38000.850000000006</v>
      </c>
      <c r="F3411" t="s">
        <v>16</v>
      </c>
      <c r="G3411" t="s">
        <v>43</v>
      </c>
      <c r="H3411" t="s">
        <v>18</v>
      </c>
      <c r="I3411" t="s">
        <v>34</v>
      </c>
      <c r="J3411" t="s">
        <v>26</v>
      </c>
      <c r="K3411" t="s">
        <v>35</v>
      </c>
      <c r="L3411" t="s">
        <v>28</v>
      </c>
      <c r="M3411">
        <v>19000.425000000003</v>
      </c>
      <c r="N3411">
        <v>2020</v>
      </c>
      <c r="O3411">
        <v>6</v>
      </c>
    </row>
    <row r="3412" spans="1:15" x14ac:dyDescent="0.3">
      <c r="A3412" s="1">
        <v>44007</v>
      </c>
      <c r="B3412">
        <v>1000000067</v>
      </c>
      <c r="C3412" t="s">
        <v>23</v>
      </c>
      <c r="D3412">
        <v>2</v>
      </c>
      <c r="E3412">
        <v>13350.01</v>
      </c>
      <c r="F3412" t="s">
        <v>16</v>
      </c>
      <c r="G3412" t="s">
        <v>24</v>
      </c>
      <c r="H3412" t="s">
        <v>18</v>
      </c>
      <c r="I3412" t="s">
        <v>25</v>
      </c>
      <c r="J3412" t="s">
        <v>20</v>
      </c>
      <c r="K3412" t="s">
        <v>51</v>
      </c>
      <c r="L3412" t="s">
        <v>22</v>
      </c>
      <c r="M3412">
        <v>6675.0050000000001</v>
      </c>
      <c r="N3412">
        <v>2020</v>
      </c>
      <c r="O3412">
        <v>6</v>
      </c>
    </row>
    <row r="3413" spans="1:15" x14ac:dyDescent="0.3">
      <c r="A3413" s="1">
        <v>44007</v>
      </c>
      <c r="B3413">
        <v>1000000067</v>
      </c>
      <c r="C3413" t="s">
        <v>15</v>
      </c>
      <c r="D3413">
        <v>1</v>
      </c>
      <c r="E3413">
        <v>10000.52</v>
      </c>
      <c r="F3413" t="s">
        <v>16</v>
      </c>
      <c r="G3413" t="s">
        <v>17</v>
      </c>
      <c r="H3413" t="s">
        <v>18</v>
      </c>
      <c r="I3413" t="s">
        <v>25</v>
      </c>
      <c r="J3413" t="s">
        <v>20</v>
      </c>
      <c r="K3413" t="s">
        <v>51</v>
      </c>
      <c r="L3413" t="s">
        <v>22</v>
      </c>
      <c r="M3413">
        <v>10000.52</v>
      </c>
      <c r="N3413">
        <v>2020</v>
      </c>
      <c r="O3413">
        <v>6</v>
      </c>
    </row>
    <row r="3414" spans="1:15" x14ac:dyDescent="0.3">
      <c r="A3414" s="1">
        <v>44007</v>
      </c>
      <c r="B3414">
        <v>1000000068</v>
      </c>
      <c r="C3414" t="s">
        <v>54</v>
      </c>
      <c r="D3414">
        <v>1</v>
      </c>
      <c r="E3414">
        <v>138.93</v>
      </c>
      <c r="F3414" t="s">
        <v>46</v>
      </c>
      <c r="G3414" t="s">
        <v>24</v>
      </c>
      <c r="H3414" t="s">
        <v>30</v>
      </c>
      <c r="I3414" t="s">
        <v>55</v>
      </c>
      <c r="J3414" t="s">
        <v>26</v>
      </c>
      <c r="K3414" t="s">
        <v>56</v>
      </c>
      <c r="L3414" t="s">
        <v>28</v>
      </c>
      <c r="M3414">
        <v>138.93</v>
      </c>
      <c r="N3414">
        <v>2020</v>
      </c>
      <c r="O3414">
        <v>6</v>
      </c>
    </row>
    <row r="3415" spans="1:15" x14ac:dyDescent="0.3">
      <c r="A3415" s="1">
        <v>44007</v>
      </c>
      <c r="B3415">
        <v>1000000068</v>
      </c>
      <c r="C3415" t="s">
        <v>23</v>
      </c>
      <c r="D3415">
        <v>2</v>
      </c>
      <c r="E3415">
        <v>18201.12</v>
      </c>
      <c r="F3415" t="s">
        <v>16</v>
      </c>
      <c r="G3415" t="s">
        <v>24</v>
      </c>
      <c r="H3415" t="s">
        <v>30</v>
      </c>
      <c r="I3415" t="s">
        <v>55</v>
      </c>
      <c r="J3415" t="s">
        <v>26</v>
      </c>
      <c r="K3415" t="s">
        <v>56</v>
      </c>
      <c r="L3415" t="s">
        <v>28</v>
      </c>
      <c r="M3415">
        <v>9100.56</v>
      </c>
      <c r="N3415">
        <v>2020</v>
      </c>
      <c r="O3415">
        <v>6</v>
      </c>
    </row>
    <row r="3416" spans="1:15" x14ac:dyDescent="0.3">
      <c r="A3416" s="1">
        <v>44007</v>
      </c>
      <c r="B3416">
        <v>1000000068</v>
      </c>
      <c r="C3416" t="s">
        <v>15</v>
      </c>
      <c r="D3416">
        <v>1</v>
      </c>
      <c r="E3416">
        <v>10000.34</v>
      </c>
      <c r="F3416" t="s">
        <v>16</v>
      </c>
      <c r="G3416" t="s">
        <v>17</v>
      </c>
      <c r="H3416" t="s">
        <v>30</v>
      </c>
      <c r="I3416" t="s">
        <v>55</v>
      </c>
      <c r="J3416" t="s">
        <v>26</v>
      </c>
      <c r="K3416" t="s">
        <v>56</v>
      </c>
      <c r="L3416" t="s">
        <v>28</v>
      </c>
      <c r="M3416">
        <v>10000.34</v>
      </c>
      <c r="N3416">
        <v>2020</v>
      </c>
      <c r="O3416">
        <v>6</v>
      </c>
    </row>
    <row r="3417" spans="1:15" x14ac:dyDescent="0.3">
      <c r="A3417" s="1">
        <v>44007</v>
      </c>
      <c r="B3417">
        <v>1000000237</v>
      </c>
      <c r="C3417" t="s">
        <v>23</v>
      </c>
      <c r="D3417">
        <v>1</v>
      </c>
      <c r="E3417">
        <v>10999.99</v>
      </c>
      <c r="F3417" t="s">
        <v>16</v>
      </c>
      <c r="G3417" t="s">
        <v>24</v>
      </c>
      <c r="H3417" t="s">
        <v>18</v>
      </c>
      <c r="I3417" t="s">
        <v>40</v>
      </c>
      <c r="J3417" t="s">
        <v>26</v>
      </c>
      <c r="K3417" t="s">
        <v>41</v>
      </c>
      <c r="L3417" t="s">
        <v>22</v>
      </c>
      <c r="M3417">
        <v>10999.99</v>
      </c>
      <c r="N3417">
        <v>2020</v>
      </c>
      <c r="O3417">
        <v>6</v>
      </c>
    </row>
    <row r="3418" spans="1:15" x14ac:dyDescent="0.3">
      <c r="A3418" s="1">
        <v>44007</v>
      </c>
      <c r="B3418">
        <v>1000000266</v>
      </c>
      <c r="C3418" t="s">
        <v>15</v>
      </c>
      <c r="D3418">
        <v>1</v>
      </c>
      <c r="E3418">
        <v>6999.97</v>
      </c>
      <c r="F3418" t="s">
        <v>16</v>
      </c>
      <c r="G3418" t="s">
        <v>17</v>
      </c>
      <c r="H3418" t="s">
        <v>30</v>
      </c>
      <c r="I3418" t="s">
        <v>55</v>
      </c>
      <c r="J3418" t="s">
        <v>26</v>
      </c>
      <c r="K3418" t="s">
        <v>56</v>
      </c>
      <c r="L3418" t="s">
        <v>22</v>
      </c>
      <c r="M3418">
        <v>6999.97</v>
      </c>
      <c r="N3418">
        <v>2020</v>
      </c>
      <c r="O3418">
        <v>6</v>
      </c>
    </row>
    <row r="3419" spans="1:15" x14ac:dyDescent="0.3">
      <c r="A3419" s="1">
        <v>44007</v>
      </c>
      <c r="B3419">
        <v>1000000566</v>
      </c>
      <c r="C3419" t="s">
        <v>73</v>
      </c>
      <c r="D3419">
        <v>1</v>
      </c>
      <c r="E3419">
        <v>1978.29</v>
      </c>
      <c r="F3419" t="s">
        <v>16</v>
      </c>
      <c r="G3419" t="s">
        <v>74</v>
      </c>
      <c r="H3419" t="s">
        <v>47</v>
      </c>
      <c r="I3419" t="s">
        <v>48</v>
      </c>
      <c r="J3419" t="s">
        <v>36</v>
      </c>
      <c r="K3419" t="s">
        <v>49</v>
      </c>
      <c r="L3419" t="s">
        <v>22</v>
      </c>
      <c r="M3419">
        <v>1978.29</v>
      </c>
      <c r="N3419">
        <v>2020</v>
      </c>
      <c r="O3419">
        <v>6</v>
      </c>
    </row>
    <row r="3420" spans="1:15" x14ac:dyDescent="0.3">
      <c r="A3420" s="1">
        <v>44007</v>
      </c>
      <c r="B3420">
        <v>1000000566</v>
      </c>
      <c r="C3420" t="s">
        <v>23</v>
      </c>
      <c r="D3420">
        <v>1</v>
      </c>
      <c r="E3420">
        <v>7500.18</v>
      </c>
      <c r="F3420" t="s">
        <v>16</v>
      </c>
      <c r="G3420" t="s">
        <v>24</v>
      </c>
      <c r="H3420" t="s">
        <v>47</v>
      </c>
      <c r="I3420" t="s">
        <v>48</v>
      </c>
      <c r="J3420" t="s">
        <v>36</v>
      </c>
      <c r="K3420" t="s">
        <v>49</v>
      </c>
      <c r="L3420" t="s">
        <v>22</v>
      </c>
      <c r="M3420">
        <v>7500.18</v>
      </c>
      <c r="N3420">
        <v>2020</v>
      </c>
      <c r="O3420">
        <v>6</v>
      </c>
    </row>
    <row r="3421" spans="1:15" x14ac:dyDescent="0.3">
      <c r="A3421" s="1">
        <v>44007</v>
      </c>
      <c r="B3421">
        <v>1000000566</v>
      </c>
      <c r="C3421" t="s">
        <v>15</v>
      </c>
      <c r="D3421">
        <v>1</v>
      </c>
      <c r="E3421">
        <v>6000.45</v>
      </c>
      <c r="F3421" t="s">
        <v>16</v>
      </c>
      <c r="G3421" t="s">
        <v>17</v>
      </c>
      <c r="H3421" t="s">
        <v>47</v>
      </c>
      <c r="I3421" t="s">
        <v>48</v>
      </c>
      <c r="J3421" t="s">
        <v>36</v>
      </c>
      <c r="K3421" t="s">
        <v>49</v>
      </c>
      <c r="L3421" t="s">
        <v>22</v>
      </c>
      <c r="M3421">
        <v>6000.45</v>
      </c>
      <c r="N3421">
        <v>2020</v>
      </c>
      <c r="O3421">
        <v>6</v>
      </c>
    </row>
    <row r="3422" spans="1:15" x14ac:dyDescent="0.3">
      <c r="A3422" s="1">
        <v>44007</v>
      </c>
      <c r="B3422">
        <v>1000000566</v>
      </c>
      <c r="C3422" t="s">
        <v>42</v>
      </c>
      <c r="D3422">
        <v>2</v>
      </c>
      <c r="E3422">
        <v>41000.36</v>
      </c>
      <c r="F3422" t="s">
        <v>16</v>
      </c>
      <c r="G3422" t="s">
        <v>43</v>
      </c>
      <c r="H3422" t="s">
        <v>47</v>
      </c>
      <c r="I3422" t="s">
        <v>48</v>
      </c>
      <c r="J3422" t="s">
        <v>36</v>
      </c>
      <c r="K3422" t="s">
        <v>49</v>
      </c>
      <c r="L3422" t="s">
        <v>22</v>
      </c>
      <c r="M3422">
        <v>20500.18</v>
      </c>
      <c r="N3422">
        <v>2020</v>
      </c>
      <c r="O3422">
        <v>6</v>
      </c>
    </row>
    <row r="3423" spans="1:15" x14ac:dyDescent="0.3">
      <c r="A3423" s="1">
        <v>44007</v>
      </c>
      <c r="B3423">
        <v>1000000576</v>
      </c>
      <c r="C3423" t="s">
        <v>42</v>
      </c>
      <c r="D3423">
        <v>1</v>
      </c>
      <c r="E3423">
        <v>2247.67</v>
      </c>
      <c r="F3423" t="s">
        <v>16</v>
      </c>
      <c r="G3423" t="s">
        <v>43</v>
      </c>
      <c r="H3423" t="s">
        <v>18</v>
      </c>
      <c r="I3423" t="s">
        <v>25</v>
      </c>
      <c r="J3423" t="s">
        <v>36</v>
      </c>
      <c r="K3423" t="s">
        <v>37</v>
      </c>
      <c r="L3423" t="s">
        <v>22</v>
      </c>
      <c r="M3423">
        <v>2247.67</v>
      </c>
      <c r="N3423">
        <v>2020</v>
      </c>
      <c r="O3423">
        <v>6</v>
      </c>
    </row>
    <row r="3424" spans="1:15" x14ac:dyDescent="0.3">
      <c r="A3424" s="1">
        <v>44007</v>
      </c>
      <c r="B3424">
        <v>1000000594</v>
      </c>
      <c r="C3424" t="s">
        <v>15</v>
      </c>
      <c r="D3424">
        <v>2</v>
      </c>
      <c r="E3424">
        <v>29001.120000000003</v>
      </c>
      <c r="F3424" t="s">
        <v>16</v>
      </c>
      <c r="G3424" t="s">
        <v>17</v>
      </c>
      <c r="H3424" t="s">
        <v>18</v>
      </c>
      <c r="I3424" t="s">
        <v>25</v>
      </c>
      <c r="J3424" t="s">
        <v>20</v>
      </c>
      <c r="K3424" t="s">
        <v>51</v>
      </c>
      <c r="L3424" t="s">
        <v>22</v>
      </c>
      <c r="M3424">
        <v>14500.560000000001</v>
      </c>
      <c r="N3424">
        <v>2020</v>
      </c>
      <c r="O3424">
        <v>6</v>
      </c>
    </row>
    <row r="3425" spans="1:15" x14ac:dyDescent="0.3">
      <c r="A3425" s="1">
        <v>44007</v>
      </c>
      <c r="B3425">
        <v>1000000594</v>
      </c>
      <c r="C3425" t="s">
        <v>42</v>
      </c>
      <c r="D3425">
        <v>1</v>
      </c>
      <c r="E3425">
        <v>1187.69</v>
      </c>
      <c r="F3425" t="s">
        <v>16</v>
      </c>
      <c r="G3425" t="s">
        <v>43</v>
      </c>
      <c r="H3425" t="s">
        <v>18</v>
      </c>
      <c r="I3425" t="s">
        <v>25</v>
      </c>
      <c r="J3425" t="s">
        <v>20</v>
      </c>
      <c r="K3425" t="s">
        <v>51</v>
      </c>
      <c r="L3425" t="s">
        <v>22</v>
      </c>
      <c r="M3425">
        <v>1187.69</v>
      </c>
      <c r="N3425">
        <v>2020</v>
      </c>
      <c r="O3425">
        <v>6</v>
      </c>
    </row>
    <row r="3426" spans="1:15" x14ac:dyDescent="0.3">
      <c r="A3426" s="1">
        <v>44007</v>
      </c>
      <c r="B3426">
        <v>1000001524</v>
      </c>
      <c r="C3426" t="s">
        <v>15</v>
      </c>
      <c r="D3426">
        <v>1</v>
      </c>
      <c r="E3426">
        <v>5000.53</v>
      </c>
      <c r="F3426" t="s">
        <v>16</v>
      </c>
      <c r="G3426" t="s">
        <v>17</v>
      </c>
      <c r="H3426" t="s">
        <v>18</v>
      </c>
      <c r="I3426" t="s">
        <v>25</v>
      </c>
      <c r="J3426" t="s">
        <v>20</v>
      </c>
      <c r="K3426" t="s">
        <v>51</v>
      </c>
      <c r="L3426" t="s">
        <v>22</v>
      </c>
      <c r="M3426">
        <v>5000.53</v>
      </c>
      <c r="N3426">
        <v>2020</v>
      </c>
      <c r="O3426">
        <v>6</v>
      </c>
    </row>
    <row r="3427" spans="1:15" x14ac:dyDescent="0.3">
      <c r="A3427" s="1">
        <v>44007</v>
      </c>
      <c r="B3427">
        <v>1000002861</v>
      </c>
      <c r="C3427" t="s">
        <v>23</v>
      </c>
      <c r="D3427">
        <v>1</v>
      </c>
      <c r="E3427">
        <v>10000.44</v>
      </c>
      <c r="F3427" t="s">
        <v>16</v>
      </c>
      <c r="G3427" t="s">
        <v>24</v>
      </c>
      <c r="H3427" t="s">
        <v>47</v>
      </c>
      <c r="I3427" t="s">
        <v>48</v>
      </c>
      <c r="J3427" t="s">
        <v>36</v>
      </c>
      <c r="K3427" t="s">
        <v>49</v>
      </c>
      <c r="L3427" t="s">
        <v>22</v>
      </c>
      <c r="M3427">
        <v>10000.44</v>
      </c>
      <c r="N3427">
        <v>2020</v>
      </c>
      <c r="O3427">
        <v>6</v>
      </c>
    </row>
    <row r="3428" spans="1:15" x14ac:dyDescent="0.3">
      <c r="A3428" s="1">
        <v>44007</v>
      </c>
      <c r="B3428">
        <v>1000002861</v>
      </c>
      <c r="C3428" t="s">
        <v>42</v>
      </c>
      <c r="D3428">
        <v>1</v>
      </c>
      <c r="E3428">
        <v>22000.080000000002</v>
      </c>
      <c r="F3428" t="s">
        <v>16</v>
      </c>
      <c r="G3428" t="s">
        <v>43</v>
      </c>
      <c r="H3428" t="s">
        <v>47</v>
      </c>
      <c r="I3428" t="s">
        <v>48</v>
      </c>
      <c r="J3428" t="s">
        <v>36</v>
      </c>
      <c r="K3428" t="s">
        <v>49</v>
      </c>
      <c r="L3428" t="s">
        <v>22</v>
      </c>
      <c r="M3428">
        <v>22000.080000000002</v>
      </c>
      <c r="N3428">
        <v>2020</v>
      </c>
      <c r="O3428">
        <v>6</v>
      </c>
    </row>
    <row r="3429" spans="1:15" x14ac:dyDescent="0.3">
      <c r="A3429" s="1">
        <v>44007</v>
      </c>
      <c r="B3429">
        <v>1000003489</v>
      </c>
      <c r="C3429" t="s">
        <v>23</v>
      </c>
      <c r="D3429">
        <v>1</v>
      </c>
      <c r="E3429">
        <v>1021.68</v>
      </c>
      <c r="F3429" t="s">
        <v>16</v>
      </c>
      <c r="G3429" t="s">
        <v>24</v>
      </c>
      <c r="H3429" t="s">
        <v>47</v>
      </c>
      <c r="I3429" t="s">
        <v>48</v>
      </c>
      <c r="J3429" t="s">
        <v>26</v>
      </c>
      <c r="K3429" t="s">
        <v>50</v>
      </c>
      <c r="L3429" t="s">
        <v>22</v>
      </c>
      <c r="M3429">
        <v>1021.68</v>
      </c>
      <c r="N3429">
        <v>2020</v>
      </c>
      <c r="O3429">
        <v>6</v>
      </c>
    </row>
    <row r="3430" spans="1:15" x14ac:dyDescent="0.3">
      <c r="A3430" s="1">
        <v>44007</v>
      </c>
      <c r="B3430">
        <v>1000003926</v>
      </c>
      <c r="C3430" t="s">
        <v>23</v>
      </c>
      <c r="D3430">
        <v>2</v>
      </c>
      <c r="E3430">
        <v>39000.399999999994</v>
      </c>
      <c r="F3430" t="s">
        <v>16</v>
      </c>
      <c r="G3430" t="s">
        <v>24</v>
      </c>
      <c r="H3430" t="s">
        <v>47</v>
      </c>
      <c r="I3430" t="s">
        <v>48</v>
      </c>
      <c r="J3430" t="s">
        <v>26</v>
      </c>
      <c r="K3430" t="s">
        <v>50</v>
      </c>
      <c r="L3430" t="s">
        <v>28</v>
      </c>
      <c r="M3430">
        <v>19500.199999999997</v>
      </c>
      <c r="N3430">
        <v>2020</v>
      </c>
      <c r="O3430">
        <v>6</v>
      </c>
    </row>
    <row r="3431" spans="1:15" x14ac:dyDescent="0.3">
      <c r="A3431" s="1">
        <v>44007</v>
      </c>
      <c r="B3431">
        <v>1000004170</v>
      </c>
      <c r="C3431" t="s">
        <v>23</v>
      </c>
      <c r="D3431">
        <v>1</v>
      </c>
      <c r="E3431">
        <v>20000.740000000002</v>
      </c>
      <c r="F3431" t="s">
        <v>16</v>
      </c>
      <c r="G3431" t="s">
        <v>24</v>
      </c>
      <c r="H3431" t="s">
        <v>18</v>
      </c>
      <c r="I3431" t="s">
        <v>34</v>
      </c>
      <c r="J3431" t="s">
        <v>20</v>
      </c>
      <c r="K3431" t="s">
        <v>44</v>
      </c>
      <c r="L3431" t="s">
        <v>28</v>
      </c>
      <c r="M3431">
        <v>20000.740000000002</v>
      </c>
      <c r="N3431">
        <v>2020</v>
      </c>
      <c r="O3431">
        <v>6</v>
      </c>
    </row>
    <row r="3432" spans="1:15" x14ac:dyDescent="0.3">
      <c r="A3432" s="1">
        <v>44007</v>
      </c>
      <c r="B3432">
        <v>1000004256</v>
      </c>
      <c r="C3432" t="s">
        <v>23</v>
      </c>
      <c r="D3432">
        <v>1</v>
      </c>
      <c r="E3432">
        <v>20000.7</v>
      </c>
      <c r="F3432" t="s">
        <v>16</v>
      </c>
      <c r="G3432" t="s">
        <v>24</v>
      </c>
      <c r="H3432" t="s">
        <v>18</v>
      </c>
      <c r="I3432" t="s">
        <v>40</v>
      </c>
      <c r="J3432" t="s">
        <v>26</v>
      </c>
      <c r="K3432" t="s">
        <v>41</v>
      </c>
      <c r="L3432" t="s">
        <v>22</v>
      </c>
      <c r="M3432">
        <v>20000.7</v>
      </c>
      <c r="N3432">
        <v>2020</v>
      </c>
      <c r="O3432">
        <v>6</v>
      </c>
    </row>
    <row r="3433" spans="1:15" x14ac:dyDescent="0.3">
      <c r="A3433" s="1">
        <v>44007</v>
      </c>
      <c r="B3433">
        <v>1000004256</v>
      </c>
      <c r="C3433" t="s">
        <v>42</v>
      </c>
      <c r="D3433">
        <v>2</v>
      </c>
      <c r="E3433">
        <v>14000.02</v>
      </c>
      <c r="F3433" t="s">
        <v>16</v>
      </c>
      <c r="G3433" t="s">
        <v>43</v>
      </c>
      <c r="H3433" t="s">
        <v>18</v>
      </c>
      <c r="I3433" t="s">
        <v>40</v>
      </c>
      <c r="J3433" t="s">
        <v>26</v>
      </c>
      <c r="K3433" t="s">
        <v>41</v>
      </c>
      <c r="L3433" t="s">
        <v>22</v>
      </c>
      <c r="M3433">
        <v>7000.01</v>
      </c>
      <c r="N3433">
        <v>2020</v>
      </c>
      <c r="O3433">
        <v>6</v>
      </c>
    </row>
    <row r="3434" spans="1:15" x14ac:dyDescent="0.3">
      <c r="A3434" s="1">
        <v>44007</v>
      </c>
      <c r="B3434">
        <v>1000005873</v>
      </c>
      <c r="C3434" t="s">
        <v>15</v>
      </c>
      <c r="D3434">
        <v>1</v>
      </c>
      <c r="E3434">
        <v>10000.68</v>
      </c>
      <c r="F3434" t="s">
        <v>16</v>
      </c>
      <c r="G3434" t="s">
        <v>17</v>
      </c>
      <c r="H3434" t="s">
        <v>18</v>
      </c>
      <c r="I3434" t="s">
        <v>19</v>
      </c>
      <c r="J3434" t="s">
        <v>20</v>
      </c>
      <c r="K3434" t="s">
        <v>21</v>
      </c>
      <c r="L3434" t="s">
        <v>28</v>
      </c>
      <c r="M3434">
        <v>10000.68</v>
      </c>
      <c r="N3434">
        <v>2020</v>
      </c>
      <c r="O3434">
        <v>6</v>
      </c>
    </row>
    <row r="3435" spans="1:15" x14ac:dyDescent="0.3">
      <c r="A3435" s="1">
        <v>44007</v>
      </c>
      <c r="B3435">
        <v>1000005873</v>
      </c>
      <c r="C3435" t="s">
        <v>42</v>
      </c>
      <c r="D3435">
        <v>1</v>
      </c>
      <c r="E3435">
        <v>7000.33</v>
      </c>
      <c r="F3435" t="s">
        <v>16</v>
      </c>
      <c r="G3435" t="s">
        <v>43</v>
      </c>
      <c r="H3435" t="s">
        <v>18</v>
      </c>
      <c r="I3435" t="s">
        <v>19</v>
      </c>
      <c r="J3435" t="s">
        <v>20</v>
      </c>
      <c r="K3435" t="s">
        <v>21</v>
      </c>
      <c r="L3435" t="s">
        <v>28</v>
      </c>
      <c r="M3435">
        <v>7000.33</v>
      </c>
      <c r="N3435">
        <v>2020</v>
      </c>
      <c r="O3435">
        <v>6</v>
      </c>
    </row>
    <row r="3436" spans="1:15" x14ac:dyDescent="0.3">
      <c r="A3436" s="1">
        <v>44007</v>
      </c>
      <c r="B3436">
        <v>1000006698</v>
      </c>
      <c r="C3436" t="s">
        <v>15</v>
      </c>
      <c r="D3436">
        <v>1</v>
      </c>
      <c r="E3436">
        <v>27000.58</v>
      </c>
      <c r="F3436" t="s">
        <v>16</v>
      </c>
      <c r="G3436" t="s">
        <v>17</v>
      </c>
      <c r="H3436" t="s">
        <v>30</v>
      </c>
      <c r="I3436" t="s">
        <v>38</v>
      </c>
      <c r="J3436" t="s">
        <v>26</v>
      </c>
      <c r="K3436" t="s">
        <v>39</v>
      </c>
      <c r="L3436" t="s">
        <v>28</v>
      </c>
      <c r="M3436">
        <v>27000.58</v>
      </c>
      <c r="N3436">
        <v>2020</v>
      </c>
      <c r="O3436">
        <v>6</v>
      </c>
    </row>
    <row r="3437" spans="1:15" x14ac:dyDescent="0.3">
      <c r="A3437" s="1">
        <v>44007</v>
      </c>
      <c r="B3437">
        <v>1000006698</v>
      </c>
      <c r="C3437" t="s">
        <v>42</v>
      </c>
      <c r="D3437">
        <v>1</v>
      </c>
      <c r="E3437">
        <v>14000.26</v>
      </c>
      <c r="F3437" t="s">
        <v>16</v>
      </c>
      <c r="G3437" t="s">
        <v>43</v>
      </c>
      <c r="H3437" t="s">
        <v>30</v>
      </c>
      <c r="I3437" t="s">
        <v>38</v>
      </c>
      <c r="J3437" t="s">
        <v>26</v>
      </c>
      <c r="K3437" t="s">
        <v>39</v>
      </c>
      <c r="L3437" t="s">
        <v>28</v>
      </c>
      <c r="M3437">
        <v>14000.26</v>
      </c>
      <c r="N3437">
        <v>2020</v>
      </c>
      <c r="O3437">
        <v>6</v>
      </c>
    </row>
    <row r="3438" spans="1:15" x14ac:dyDescent="0.3">
      <c r="A3438" s="1">
        <v>44007</v>
      </c>
      <c r="B3438">
        <v>1000006859</v>
      </c>
      <c r="C3438" t="s">
        <v>15</v>
      </c>
      <c r="D3438">
        <v>1</v>
      </c>
      <c r="E3438">
        <v>15000.23</v>
      </c>
      <c r="F3438" t="s">
        <v>16</v>
      </c>
      <c r="G3438" t="s">
        <v>17</v>
      </c>
      <c r="H3438" t="s">
        <v>18</v>
      </c>
      <c r="I3438" t="s">
        <v>61</v>
      </c>
      <c r="J3438" t="s">
        <v>26</v>
      </c>
      <c r="K3438" t="s">
        <v>62</v>
      </c>
      <c r="L3438" t="s">
        <v>22</v>
      </c>
      <c r="M3438">
        <v>15000.23</v>
      </c>
      <c r="N3438">
        <v>2020</v>
      </c>
      <c r="O3438">
        <v>6</v>
      </c>
    </row>
    <row r="3439" spans="1:15" x14ac:dyDescent="0.3">
      <c r="A3439" s="1">
        <v>44007</v>
      </c>
      <c r="B3439">
        <v>1000006869</v>
      </c>
      <c r="C3439" t="s">
        <v>23</v>
      </c>
      <c r="D3439">
        <v>1</v>
      </c>
      <c r="E3439">
        <v>7500.29</v>
      </c>
      <c r="F3439" t="s">
        <v>16</v>
      </c>
      <c r="G3439" t="s">
        <v>24</v>
      </c>
      <c r="H3439" t="s">
        <v>18</v>
      </c>
      <c r="I3439" t="s">
        <v>61</v>
      </c>
      <c r="J3439" t="s">
        <v>26</v>
      </c>
      <c r="K3439" t="s">
        <v>62</v>
      </c>
      <c r="L3439" t="s">
        <v>22</v>
      </c>
      <c r="M3439">
        <v>7500.29</v>
      </c>
      <c r="N3439">
        <v>2020</v>
      </c>
      <c r="O3439">
        <v>6</v>
      </c>
    </row>
    <row r="3440" spans="1:15" x14ac:dyDescent="0.3">
      <c r="A3440" s="1">
        <v>44007</v>
      </c>
      <c r="B3440">
        <v>1000007320</v>
      </c>
      <c r="C3440" t="s">
        <v>23</v>
      </c>
      <c r="D3440">
        <v>1</v>
      </c>
      <c r="E3440">
        <v>839.05</v>
      </c>
      <c r="F3440" t="s">
        <v>16</v>
      </c>
      <c r="G3440" t="s">
        <v>24</v>
      </c>
      <c r="H3440" t="s">
        <v>18</v>
      </c>
      <c r="I3440" t="s">
        <v>34</v>
      </c>
      <c r="J3440" t="s">
        <v>26</v>
      </c>
      <c r="K3440" t="s">
        <v>35</v>
      </c>
      <c r="L3440" t="s">
        <v>22</v>
      </c>
      <c r="M3440">
        <v>839.05</v>
      </c>
      <c r="N3440">
        <v>2020</v>
      </c>
      <c r="O3440">
        <v>6</v>
      </c>
    </row>
    <row r="3441" spans="1:15" x14ac:dyDescent="0.3">
      <c r="A3441" s="1">
        <v>44007</v>
      </c>
      <c r="B3441">
        <v>1000008228</v>
      </c>
      <c r="C3441" t="s">
        <v>23</v>
      </c>
      <c r="D3441">
        <v>1</v>
      </c>
      <c r="E3441">
        <v>6000.72</v>
      </c>
      <c r="F3441" t="s">
        <v>16</v>
      </c>
      <c r="G3441" t="s">
        <v>24</v>
      </c>
      <c r="H3441" t="s">
        <v>30</v>
      </c>
      <c r="I3441" t="s">
        <v>31</v>
      </c>
      <c r="J3441" t="s">
        <v>36</v>
      </c>
      <c r="K3441" t="s">
        <v>52</v>
      </c>
      <c r="L3441" t="s">
        <v>22</v>
      </c>
      <c r="M3441">
        <v>6000.72</v>
      </c>
      <c r="N3441">
        <v>2020</v>
      </c>
      <c r="O3441">
        <v>6</v>
      </c>
    </row>
    <row r="3442" spans="1:15" x14ac:dyDescent="0.3">
      <c r="A3442" s="1">
        <v>44007</v>
      </c>
      <c r="B3442">
        <v>1000008228</v>
      </c>
      <c r="C3442" t="s">
        <v>15</v>
      </c>
      <c r="D3442">
        <v>1</v>
      </c>
      <c r="E3442">
        <v>10000.620000000001</v>
      </c>
      <c r="F3442" t="s">
        <v>16</v>
      </c>
      <c r="G3442" t="s">
        <v>17</v>
      </c>
      <c r="H3442" t="s">
        <v>30</v>
      </c>
      <c r="I3442" t="s">
        <v>31</v>
      </c>
      <c r="J3442" t="s">
        <v>36</v>
      </c>
      <c r="K3442" t="s">
        <v>52</v>
      </c>
      <c r="L3442" t="s">
        <v>22</v>
      </c>
      <c r="M3442">
        <v>10000.620000000001</v>
      </c>
      <c r="N3442">
        <v>2020</v>
      </c>
      <c r="O3442">
        <v>6</v>
      </c>
    </row>
    <row r="3443" spans="1:15" x14ac:dyDescent="0.3">
      <c r="A3443" s="1">
        <v>44007</v>
      </c>
      <c r="B3443">
        <v>1000008239</v>
      </c>
      <c r="C3443" t="s">
        <v>15</v>
      </c>
      <c r="D3443">
        <v>1</v>
      </c>
      <c r="E3443">
        <v>20000.34</v>
      </c>
      <c r="F3443" t="s">
        <v>16</v>
      </c>
      <c r="G3443" t="s">
        <v>17</v>
      </c>
      <c r="H3443" t="s">
        <v>18</v>
      </c>
      <c r="I3443" t="s">
        <v>61</v>
      </c>
      <c r="J3443" t="s">
        <v>26</v>
      </c>
      <c r="K3443" t="s">
        <v>62</v>
      </c>
      <c r="L3443" t="s">
        <v>28</v>
      </c>
      <c r="M3443">
        <v>20000.34</v>
      </c>
      <c r="N3443">
        <v>2020</v>
      </c>
      <c r="O3443">
        <v>6</v>
      </c>
    </row>
    <row r="3444" spans="1:15" x14ac:dyDescent="0.3">
      <c r="A3444" s="1">
        <v>44007</v>
      </c>
      <c r="B3444">
        <v>1000008542</v>
      </c>
      <c r="C3444" t="s">
        <v>23</v>
      </c>
      <c r="D3444">
        <v>1</v>
      </c>
      <c r="E3444">
        <v>8000.12</v>
      </c>
      <c r="F3444" t="s">
        <v>16</v>
      </c>
      <c r="G3444" t="s">
        <v>24</v>
      </c>
      <c r="H3444" t="s">
        <v>18</v>
      </c>
      <c r="I3444" t="s">
        <v>40</v>
      </c>
      <c r="J3444" t="s">
        <v>26</v>
      </c>
      <c r="K3444" t="s">
        <v>41</v>
      </c>
      <c r="L3444" t="s">
        <v>22</v>
      </c>
      <c r="M3444">
        <v>8000.12</v>
      </c>
      <c r="N3444">
        <v>2020</v>
      </c>
      <c r="O3444">
        <v>6</v>
      </c>
    </row>
    <row r="3445" spans="1:15" x14ac:dyDescent="0.3">
      <c r="A3445" s="1">
        <v>44007</v>
      </c>
      <c r="B3445">
        <v>1000008542</v>
      </c>
      <c r="C3445" t="s">
        <v>15</v>
      </c>
      <c r="D3445">
        <v>1</v>
      </c>
      <c r="E3445">
        <v>8741.7000000000007</v>
      </c>
      <c r="F3445" t="s">
        <v>16</v>
      </c>
      <c r="G3445" t="s">
        <v>17</v>
      </c>
      <c r="H3445" t="s">
        <v>18</v>
      </c>
      <c r="I3445" t="s">
        <v>40</v>
      </c>
      <c r="J3445" t="s">
        <v>26</v>
      </c>
      <c r="K3445" t="s">
        <v>41</v>
      </c>
      <c r="L3445" t="s">
        <v>22</v>
      </c>
      <c r="M3445">
        <v>8741.7000000000007</v>
      </c>
      <c r="N3445">
        <v>2020</v>
      </c>
      <c r="O3445">
        <v>6</v>
      </c>
    </row>
    <row r="3446" spans="1:15" x14ac:dyDescent="0.3">
      <c r="A3446" s="1">
        <v>44007</v>
      </c>
      <c r="B3446">
        <v>1000008957</v>
      </c>
      <c r="C3446" t="s">
        <v>73</v>
      </c>
      <c r="D3446">
        <v>1</v>
      </c>
      <c r="E3446">
        <v>1256.99</v>
      </c>
      <c r="F3446" t="s">
        <v>16</v>
      </c>
      <c r="G3446" t="s">
        <v>74</v>
      </c>
      <c r="H3446" t="s">
        <v>18</v>
      </c>
      <c r="I3446" t="s">
        <v>34</v>
      </c>
      <c r="J3446" t="s">
        <v>20</v>
      </c>
      <c r="K3446" t="s">
        <v>44</v>
      </c>
      <c r="L3446" t="s">
        <v>22</v>
      </c>
      <c r="M3446">
        <v>1256.99</v>
      </c>
      <c r="N3446">
        <v>2020</v>
      </c>
      <c r="O3446">
        <v>6</v>
      </c>
    </row>
    <row r="3447" spans="1:15" x14ac:dyDescent="0.3">
      <c r="A3447" s="1">
        <v>44007</v>
      </c>
      <c r="B3447">
        <v>1000008957</v>
      </c>
      <c r="C3447" t="s">
        <v>23</v>
      </c>
      <c r="D3447">
        <v>1</v>
      </c>
      <c r="E3447">
        <v>15000.68</v>
      </c>
      <c r="F3447" t="s">
        <v>16</v>
      </c>
      <c r="G3447" t="s">
        <v>24</v>
      </c>
      <c r="H3447" t="s">
        <v>18</v>
      </c>
      <c r="I3447" t="s">
        <v>34</v>
      </c>
      <c r="J3447" t="s">
        <v>20</v>
      </c>
      <c r="K3447" t="s">
        <v>44</v>
      </c>
      <c r="L3447" t="s">
        <v>22</v>
      </c>
      <c r="M3447">
        <v>15000.68</v>
      </c>
      <c r="N3447">
        <v>2020</v>
      </c>
      <c r="O3447">
        <v>6</v>
      </c>
    </row>
    <row r="3448" spans="1:15" x14ac:dyDescent="0.3">
      <c r="A3448" s="1">
        <v>44007</v>
      </c>
      <c r="B3448">
        <v>1000009288</v>
      </c>
      <c r="C3448" t="s">
        <v>23</v>
      </c>
      <c r="D3448">
        <v>1</v>
      </c>
      <c r="E3448">
        <v>11000.68</v>
      </c>
      <c r="F3448" t="s">
        <v>16</v>
      </c>
      <c r="G3448" t="s">
        <v>24</v>
      </c>
      <c r="H3448" t="s">
        <v>18</v>
      </c>
      <c r="I3448" t="s">
        <v>25</v>
      </c>
      <c r="J3448" t="s">
        <v>20</v>
      </c>
      <c r="K3448" t="s">
        <v>51</v>
      </c>
      <c r="L3448" t="s">
        <v>22</v>
      </c>
      <c r="M3448">
        <v>11000.68</v>
      </c>
      <c r="N3448">
        <v>2020</v>
      </c>
      <c r="O3448">
        <v>6</v>
      </c>
    </row>
    <row r="3449" spans="1:15" x14ac:dyDescent="0.3">
      <c r="A3449" s="1">
        <v>44007</v>
      </c>
      <c r="B3449">
        <v>1000009288</v>
      </c>
      <c r="C3449" t="s">
        <v>15</v>
      </c>
      <c r="D3449">
        <v>1</v>
      </c>
      <c r="E3449">
        <v>13000.72</v>
      </c>
      <c r="F3449" t="s">
        <v>16</v>
      </c>
      <c r="G3449" t="s">
        <v>17</v>
      </c>
      <c r="H3449" t="s">
        <v>18</v>
      </c>
      <c r="I3449" t="s">
        <v>25</v>
      </c>
      <c r="J3449" t="s">
        <v>20</v>
      </c>
      <c r="K3449" t="s">
        <v>51</v>
      </c>
      <c r="L3449" t="s">
        <v>22</v>
      </c>
      <c r="M3449">
        <v>13000.72</v>
      </c>
      <c r="N3449">
        <v>2020</v>
      </c>
      <c r="O3449">
        <v>6</v>
      </c>
    </row>
    <row r="3450" spans="1:15" x14ac:dyDescent="0.3">
      <c r="A3450" s="1">
        <v>44007</v>
      </c>
      <c r="B3450">
        <v>1000010255</v>
      </c>
      <c r="C3450" t="s">
        <v>23</v>
      </c>
      <c r="D3450">
        <v>1</v>
      </c>
      <c r="E3450">
        <v>1000.63</v>
      </c>
      <c r="F3450" t="s">
        <v>16</v>
      </c>
      <c r="G3450" t="s">
        <v>24</v>
      </c>
      <c r="H3450" t="s">
        <v>47</v>
      </c>
      <c r="I3450" t="s">
        <v>48</v>
      </c>
      <c r="J3450" t="s">
        <v>36</v>
      </c>
      <c r="K3450" t="s">
        <v>49</v>
      </c>
      <c r="L3450" t="s">
        <v>22</v>
      </c>
      <c r="M3450">
        <v>1000.63</v>
      </c>
      <c r="N3450">
        <v>2020</v>
      </c>
      <c r="O3450">
        <v>6</v>
      </c>
    </row>
    <row r="3451" spans="1:15" x14ac:dyDescent="0.3">
      <c r="A3451" s="1">
        <v>44007</v>
      </c>
      <c r="B3451">
        <v>1000010814</v>
      </c>
      <c r="C3451" t="s">
        <v>23</v>
      </c>
      <c r="D3451">
        <v>1</v>
      </c>
      <c r="E3451">
        <v>13000.31</v>
      </c>
      <c r="F3451" t="s">
        <v>16</v>
      </c>
      <c r="G3451" t="s">
        <v>24</v>
      </c>
      <c r="H3451" t="s">
        <v>18</v>
      </c>
      <c r="I3451" t="s">
        <v>61</v>
      </c>
      <c r="J3451" t="s">
        <v>32</v>
      </c>
      <c r="K3451" t="s">
        <v>63</v>
      </c>
      <c r="L3451" t="s">
        <v>22</v>
      </c>
      <c r="M3451">
        <v>13000.31</v>
      </c>
      <c r="N3451">
        <v>2020</v>
      </c>
      <c r="O3451">
        <v>6</v>
      </c>
    </row>
    <row r="3452" spans="1:15" x14ac:dyDescent="0.3">
      <c r="A3452" s="1">
        <v>44007</v>
      </c>
      <c r="B3452">
        <v>1000010814</v>
      </c>
      <c r="C3452" t="s">
        <v>15</v>
      </c>
      <c r="D3452">
        <v>1</v>
      </c>
      <c r="E3452">
        <v>15000.59</v>
      </c>
      <c r="F3452" t="s">
        <v>16</v>
      </c>
      <c r="G3452" t="s">
        <v>17</v>
      </c>
      <c r="H3452" t="s">
        <v>18</v>
      </c>
      <c r="I3452" t="s">
        <v>61</v>
      </c>
      <c r="J3452" t="s">
        <v>32</v>
      </c>
      <c r="K3452" t="s">
        <v>63</v>
      </c>
      <c r="L3452" t="s">
        <v>22</v>
      </c>
      <c r="M3452">
        <v>15000.59</v>
      </c>
      <c r="N3452">
        <v>2020</v>
      </c>
      <c r="O3452">
        <v>6</v>
      </c>
    </row>
    <row r="3453" spans="1:15" x14ac:dyDescent="0.3">
      <c r="A3453" s="1">
        <v>44007</v>
      </c>
      <c r="B3453">
        <v>1000010814</v>
      </c>
      <c r="C3453" t="s">
        <v>42</v>
      </c>
      <c r="D3453">
        <v>1</v>
      </c>
      <c r="E3453">
        <v>15000.09</v>
      </c>
      <c r="F3453" t="s">
        <v>16</v>
      </c>
      <c r="G3453" t="s">
        <v>43</v>
      </c>
      <c r="H3453" t="s">
        <v>18</v>
      </c>
      <c r="I3453" t="s">
        <v>61</v>
      </c>
      <c r="J3453" t="s">
        <v>32</v>
      </c>
      <c r="K3453" t="s">
        <v>63</v>
      </c>
      <c r="L3453" t="s">
        <v>22</v>
      </c>
      <c r="M3453">
        <v>15000.09</v>
      </c>
      <c r="N3453">
        <v>2020</v>
      </c>
      <c r="O3453">
        <v>6</v>
      </c>
    </row>
    <row r="3454" spans="1:15" x14ac:dyDescent="0.3">
      <c r="A3454" s="1">
        <v>44007</v>
      </c>
      <c r="B3454">
        <v>1000010837</v>
      </c>
      <c r="C3454" t="s">
        <v>15</v>
      </c>
      <c r="D3454">
        <v>2</v>
      </c>
      <c r="E3454">
        <v>7500.2999999999993</v>
      </c>
      <c r="F3454" t="s">
        <v>16</v>
      </c>
      <c r="G3454" t="s">
        <v>17</v>
      </c>
      <c r="H3454" t="s">
        <v>18</v>
      </c>
      <c r="I3454" t="s">
        <v>61</v>
      </c>
      <c r="J3454" t="s">
        <v>26</v>
      </c>
      <c r="K3454" t="s">
        <v>62</v>
      </c>
      <c r="L3454" t="s">
        <v>22</v>
      </c>
      <c r="M3454">
        <v>3750.1499999999996</v>
      </c>
      <c r="N3454">
        <v>2020</v>
      </c>
      <c r="O3454">
        <v>6</v>
      </c>
    </row>
    <row r="3455" spans="1:15" x14ac:dyDescent="0.3">
      <c r="A3455" s="1">
        <v>44007</v>
      </c>
      <c r="B3455">
        <v>1000011697</v>
      </c>
      <c r="C3455" t="s">
        <v>23</v>
      </c>
      <c r="D3455">
        <v>2</v>
      </c>
      <c r="E3455">
        <v>27001.440000000002</v>
      </c>
      <c r="F3455" t="s">
        <v>16</v>
      </c>
      <c r="G3455" t="s">
        <v>24</v>
      </c>
      <c r="H3455" t="s">
        <v>18</v>
      </c>
      <c r="I3455" t="s">
        <v>34</v>
      </c>
      <c r="J3455" t="s">
        <v>20</v>
      </c>
      <c r="K3455" t="s">
        <v>44</v>
      </c>
      <c r="L3455" t="s">
        <v>22</v>
      </c>
      <c r="M3455">
        <v>13500.720000000001</v>
      </c>
      <c r="N3455">
        <v>2020</v>
      </c>
      <c r="O3455">
        <v>6</v>
      </c>
    </row>
    <row r="3456" spans="1:15" x14ac:dyDescent="0.3">
      <c r="A3456" s="1">
        <v>44007</v>
      </c>
      <c r="B3456">
        <v>1000011698</v>
      </c>
      <c r="C3456" t="s">
        <v>23</v>
      </c>
      <c r="D3456">
        <v>1</v>
      </c>
      <c r="E3456">
        <v>7000.41</v>
      </c>
      <c r="F3456" t="s">
        <v>16</v>
      </c>
      <c r="G3456" t="s">
        <v>24</v>
      </c>
      <c r="H3456" t="s">
        <v>18</v>
      </c>
      <c r="I3456" t="s">
        <v>34</v>
      </c>
      <c r="J3456" t="s">
        <v>20</v>
      </c>
      <c r="K3456" t="s">
        <v>44</v>
      </c>
      <c r="L3456" t="s">
        <v>22</v>
      </c>
      <c r="M3456">
        <v>7000.41</v>
      </c>
      <c r="N3456">
        <v>2020</v>
      </c>
      <c r="O3456">
        <v>6</v>
      </c>
    </row>
    <row r="3457" spans="1:15" x14ac:dyDescent="0.3">
      <c r="A3457" s="1">
        <v>44007</v>
      </c>
      <c r="B3457">
        <v>1000011698</v>
      </c>
      <c r="C3457" t="s">
        <v>15</v>
      </c>
      <c r="D3457">
        <v>1</v>
      </c>
      <c r="E3457">
        <v>18000.349999999999</v>
      </c>
      <c r="F3457" t="s">
        <v>16</v>
      </c>
      <c r="G3457" t="s">
        <v>17</v>
      </c>
      <c r="H3457" t="s">
        <v>18</v>
      </c>
      <c r="I3457" t="s">
        <v>34</v>
      </c>
      <c r="J3457" t="s">
        <v>20</v>
      </c>
      <c r="K3457" t="s">
        <v>44</v>
      </c>
      <c r="L3457" t="s">
        <v>22</v>
      </c>
      <c r="M3457">
        <v>18000.349999999999</v>
      </c>
      <c r="N3457">
        <v>2020</v>
      </c>
      <c r="O3457">
        <v>6</v>
      </c>
    </row>
    <row r="3458" spans="1:15" x14ac:dyDescent="0.3">
      <c r="A3458" s="1">
        <v>44007</v>
      </c>
      <c r="B3458">
        <v>1000011828</v>
      </c>
      <c r="C3458" t="s">
        <v>23</v>
      </c>
      <c r="D3458">
        <v>2</v>
      </c>
      <c r="E3458">
        <v>31000.04</v>
      </c>
      <c r="F3458" t="s">
        <v>16</v>
      </c>
      <c r="G3458" t="s">
        <v>24</v>
      </c>
      <c r="H3458" t="s">
        <v>18</v>
      </c>
      <c r="I3458" t="s">
        <v>19</v>
      </c>
      <c r="J3458" t="s">
        <v>20</v>
      </c>
      <c r="K3458" t="s">
        <v>21</v>
      </c>
      <c r="L3458" t="s">
        <v>22</v>
      </c>
      <c r="M3458">
        <v>15500.02</v>
      </c>
      <c r="N3458">
        <v>2020</v>
      </c>
      <c r="O3458">
        <v>6</v>
      </c>
    </row>
    <row r="3459" spans="1:15" x14ac:dyDescent="0.3">
      <c r="A3459" s="1">
        <v>44007</v>
      </c>
      <c r="B3459">
        <v>1000011828</v>
      </c>
      <c r="C3459" t="s">
        <v>15</v>
      </c>
      <c r="D3459">
        <v>1</v>
      </c>
      <c r="E3459">
        <v>15000.1</v>
      </c>
      <c r="F3459" t="s">
        <v>16</v>
      </c>
      <c r="G3459" t="s">
        <v>17</v>
      </c>
      <c r="H3459" t="s">
        <v>18</v>
      </c>
      <c r="I3459" t="s">
        <v>19</v>
      </c>
      <c r="J3459" t="s">
        <v>20</v>
      </c>
      <c r="K3459" t="s">
        <v>21</v>
      </c>
      <c r="L3459" t="s">
        <v>22</v>
      </c>
      <c r="M3459">
        <v>15000.1</v>
      </c>
      <c r="N3459">
        <v>2020</v>
      </c>
      <c r="O3459">
        <v>6</v>
      </c>
    </row>
    <row r="3460" spans="1:15" x14ac:dyDescent="0.3">
      <c r="A3460" s="1">
        <v>44007</v>
      </c>
      <c r="B3460">
        <v>1000012096</v>
      </c>
      <c r="C3460" t="s">
        <v>23</v>
      </c>
      <c r="D3460">
        <v>1</v>
      </c>
      <c r="E3460">
        <v>25000.03</v>
      </c>
      <c r="F3460" t="s">
        <v>16</v>
      </c>
      <c r="G3460" t="s">
        <v>24</v>
      </c>
      <c r="H3460" t="s">
        <v>18</v>
      </c>
      <c r="I3460" t="s">
        <v>19</v>
      </c>
      <c r="J3460" t="s">
        <v>26</v>
      </c>
      <c r="K3460" t="s">
        <v>29</v>
      </c>
      <c r="L3460" t="s">
        <v>22</v>
      </c>
      <c r="M3460">
        <v>25000.03</v>
      </c>
      <c r="N3460">
        <v>2020</v>
      </c>
      <c r="O3460">
        <v>6</v>
      </c>
    </row>
    <row r="3461" spans="1:15" x14ac:dyDescent="0.3">
      <c r="A3461" s="1">
        <v>44007</v>
      </c>
      <c r="B3461">
        <v>1000012096</v>
      </c>
      <c r="C3461" t="s">
        <v>42</v>
      </c>
      <c r="D3461">
        <v>1</v>
      </c>
      <c r="E3461">
        <v>8000.4</v>
      </c>
      <c r="F3461" t="s">
        <v>16</v>
      </c>
      <c r="G3461" t="s">
        <v>43</v>
      </c>
      <c r="H3461" t="s">
        <v>18</v>
      </c>
      <c r="I3461" t="s">
        <v>19</v>
      </c>
      <c r="J3461" t="s">
        <v>26</v>
      </c>
      <c r="K3461" t="s">
        <v>29</v>
      </c>
      <c r="L3461" t="s">
        <v>22</v>
      </c>
      <c r="M3461">
        <v>8000.4</v>
      </c>
      <c r="N3461">
        <v>2020</v>
      </c>
      <c r="O3461">
        <v>6</v>
      </c>
    </row>
    <row r="3462" spans="1:15" x14ac:dyDescent="0.3">
      <c r="A3462" s="1">
        <v>44007</v>
      </c>
      <c r="B3462">
        <v>1000012099</v>
      </c>
      <c r="C3462" t="s">
        <v>15</v>
      </c>
      <c r="D3462">
        <v>1</v>
      </c>
      <c r="E3462">
        <v>25000.34</v>
      </c>
      <c r="F3462" t="s">
        <v>16</v>
      </c>
      <c r="G3462" t="s">
        <v>17</v>
      </c>
      <c r="H3462" t="s">
        <v>18</v>
      </c>
      <c r="I3462" t="s">
        <v>19</v>
      </c>
      <c r="J3462" t="s">
        <v>20</v>
      </c>
      <c r="K3462" t="s">
        <v>21</v>
      </c>
      <c r="L3462" t="s">
        <v>22</v>
      </c>
      <c r="M3462">
        <v>25000.34</v>
      </c>
      <c r="N3462">
        <v>2020</v>
      </c>
      <c r="O3462">
        <v>6</v>
      </c>
    </row>
    <row r="3463" spans="1:15" x14ac:dyDescent="0.3">
      <c r="A3463" s="1">
        <v>44007</v>
      </c>
      <c r="B3463">
        <v>1000012112</v>
      </c>
      <c r="C3463" t="s">
        <v>23</v>
      </c>
      <c r="D3463">
        <v>4</v>
      </c>
      <c r="E3463">
        <v>56001.880000000005</v>
      </c>
      <c r="F3463" t="s">
        <v>16</v>
      </c>
      <c r="G3463" t="s">
        <v>24</v>
      </c>
      <c r="H3463" t="s">
        <v>18</v>
      </c>
      <c r="I3463" t="s">
        <v>19</v>
      </c>
      <c r="J3463" t="s">
        <v>36</v>
      </c>
      <c r="K3463" t="s">
        <v>64</v>
      </c>
      <c r="L3463" t="s">
        <v>28</v>
      </c>
      <c r="M3463">
        <v>14000.470000000001</v>
      </c>
      <c r="N3463">
        <v>2020</v>
      </c>
      <c r="O3463">
        <v>6</v>
      </c>
    </row>
    <row r="3464" spans="1:15" x14ac:dyDescent="0.3">
      <c r="A3464" s="1">
        <v>44007</v>
      </c>
      <c r="B3464">
        <v>1000012124</v>
      </c>
      <c r="C3464" t="s">
        <v>23</v>
      </c>
      <c r="D3464">
        <v>1</v>
      </c>
      <c r="E3464">
        <v>15000.12</v>
      </c>
      <c r="F3464" t="s">
        <v>16</v>
      </c>
      <c r="G3464" t="s">
        <v>24</v>
      </c>
      <c r="H3464" t="s">
        <v>18</v>
      </c>
      <c r="I3464" t="s">
        <v>19</v>
      </c>
      <c r="J3464" t="s">
        <v>26</v>
      </c>
      <c r="K3464" t="s">
        <v>29</v>
      </c>
      <c r="L3464" t="s">
        <v>22</v>
      </c>
      <c r="M3464">
        <v>15000.12</v>
      </c>
      <c r="N3464">
        <v>2020</v>
      </c>
      <c r="O3464">
        <v>6</v>
      </c>
    </row>
    <row r="3465" spans="1:15" x14ac:dyDescent="0.3">
      <c r="A3465" s="1">
        <v>44007</v>
      </c>
      <c r="B3465">
        <v>1000012126</v>
      </c>
      <c r="C3465" t="s">
        <v>23</v>
      </c>
      <c r="D3465">
        <v>1</v>
      </c>
      <c r="E3465">
        <v>13000.75</v>
      </c>
      <c r="F3465" t="s">
        <v>16</v>
      </c>
      <c r="G3465" t="s">
        <v>24</v>
      </c>
      <c r="H3465" t="s">
        <v>18</v>
      </c>
      <c r="I3465" t="s">
        <v>19</v>
      </c>
      <c r="J3465" t="s">
        <v>26</v>
      </c>
      <c r="K3465" t="s">
        <v>29</v>
      </c>
      <c r="L3465" t="s">
        <v>22</v>
      </c>
      <c r="M3465">
        <v>13000.75</v>
      </c>
      <c r="N3465">
        <v>2020</v>
      </c>
      <c r="O3465">
        <v>6</v>
      </c>
    </row>
    <row r="3466" spans="1:15" x14ac:dyDescent="0.3">
      <c r="A3466" s="1">
        <v>44007</v>
      </c>
      <c r="B3466">
        <v>1000012126</v>
      </c>
      <c r="C3466" t="s">
        <v>15</v>
      </c>
      <c r="D3466">
        <v>1</v>
      </c>
      <c r="E3466">
        <v>13000.64</v>
      </c>
      <c r="F3466" t="s">
        <v>16</v>
      </c>
      <c r="G3466" t="s">
        <v>17</v>
      </c>
      <c r="H3466" t="s">
        <v>18</v>
      </c>
      <c r="I3466" t="s">
        <v>19</v>
      </c>
      <c r="J3466" t="s">
        <v>26</v>
      </c>
      <c r="K3466" t="s">
        <v>29</v>
      </c>
      <c r="L3466" t="s">
        <v>22</v>
      </c>
      <c r="M3466">
        <v>13000.64</v>
      </c>
      <c r="N3466">
        <v>2020</v>
      </c>
      <c r="O3466">
        <v>6</v>
      </c>
    </row>
    <row r="3467" spans="1:15" x14ac:dyDescent="0.3">
      <c r="A3467" s="1">
        <v>44007</v>
      </c>
      <c r="B3467">
        <v>1000012675</v>
      </c>
      <c r="C3467" t="s">
        <v>23</v>
      </c>
      <c r="D3467">
        <v>3</v>
      </c>
      <c r="E3467">
        <v>22002.240000000002</v>
      </c>
      <c r="F3467" t="s">
        <v>16</v>
      </c>
      <c r="G3467" t="s">
        <v>24</v>
      </c>
      <c r="H3467" t="s">
        <v>18</v>
      </c>
      <c r="I3467" t="s">
        <v>34</v>
      </c>
      <c r="J3467" t="s">
        <v>26</v>
      </c>
      <c r="K3467" t="s">
        <v>35</v>
      </c>
      <c r="L3467" t="s">
        <v>22</v>
      </c>
      <c r="M3467">
        <v>7334.0800000000008</v>
      </c>
      <c r="N3467">
        <v>2020</v>
      </c>
      <c r="O3467">
        <v>6</v>
      </c>
    </row>
    <row r="3468" spans="1:15" x14ac:dyDescent="0.3">
      <c r="A3468" s="1">
        <v>44007</v>
      </c>
      <c r="B3468">
        <v>1000012675</v>
      </c>
      <c r="C3468" t="s">
        <v>15</v>
      </c>
      <c r="D3468">
        <v>2</v>
      </c>
      <c r="E3468">
        <v>17000.23</v>
      </c>
      <c r="F3468" t="s">
        <v>16</v>
      </c>
      <c r="G3468" t="s">
        <v>17</v>
      </c>
      <c r="H3468" t="s">
        <v>18</v>
      </c>
      <c r="I3468" t="s">
        <v>34</v>
      </c>
      <c r="J3468" t="s">
        <v>26</v>
      </c>
      <c r="K3468" t="s">
        <v>35</v>
      </c>
      <c r="L3468" t="s">
        <v>22</v>
      </c>
      <c r="M3468">
        <v>8500.1149999999998</v>
      </c>
      <c r="N3468">
        <v>2020</v>
      </c>
      <c r="O3468">
        <v>6</v>
      </c>
    </row>
    <row r="3469" spans="1:15" x14ac:dyDescent="0.3">
      <c r="A3469" s="1">
        <v>44007</v>
      </c>
      <c r="B3469">
        <v>1000013526</v>
      </c>
      <c r="C3469" t="s">
        <v>23</v>
      </c>
      <c r="D3469">
        <v>1</v>
      </c>
      <c r="E3469">
        <v>3000.22</v>
      </c>
      <c r="F3469" t="s">
        <v>16</v>
      </c>
      <c r="G3469" t="s">
        <v>24</v>
      </c>
      <c r="H3469" t="s">
        <v>47</v>
      </c>
      <c r="I3469" t="s">
        <v>65</v>
      </c>
      <c r="J3469" t="s">
        <v>26</v>
      </c>
      <c r="K3469" t="s">
        <v>66</v>
      </c>
      <c r="L3469" t="s">
        <v>22</v>
      </c>
      <c r="M3469">
        <v>3000.22</v>
      </c>
      <c r="N3469">
        <v>2020</v>
      </c>
      <c r="O3469">
        <v>6</v>
      </c>
    </row>
    <row r="3470" spans="1:15" x14ac:dyDescent="0.3">
      <c r="A3470" s="1">
        <v>44007</v>
      </c>
      <c r="B3470">
        <v>1000013526</v>
      </c>
      <c r="C3470" t="s">
        <v>15</v>
      </c>
      <c r="D3470">
        <v>2</v>
      </c>
      <c r="E3470">
        <v>30000.83</v>
      </c>
      <c r="F3470" t="s">
        <v>16</v>
      </c>
      <c r="G3470" t="s">
        <v>17</v>
      </c>
      <c r="H3470" t="s">
        <v>47</v>
      </c>
      <c r="I3470" t="s">
        <v>65</v>
      </c>
      <c r="J3470" t="s">
        <v>26</v>
      </c>
      <c r="K3470" t="s">
        <v>66</v>
      </c>
      <c r="L3470" t="s">
        <v>22</v>
      </c>
      <c r="M3470">
        <v>15000.415000000001</v>
      </c>
      <c r="N3470">
        <v>2020</v>
      </c>
      <c r="O3470">
        <v>6</v>
      </c>
    </row>
    <row r="3471" spans="1:15" x14ac:dyDescent="0.3">
      <c r="A3471" s="1">
        <v>44007</v>
      </c>
      <c r="B3471">
        <v>1000013535</v>
      </c>
      <c r="C3471" t="s">
        <v>23</v>
      </c>
      <c r="D3471">
        <v>1</v>
      </c>
      <c r="E3471">
        <v>5500.22</v>
      </c>
      <c r="F3471" t="s">
        <v>16</v>
      </c>
      <c r="G3471" t="s">
        <v>24</v>
      </c>
      <c r="H3471" t="s">
        <v>47</v>
      </c>
      <c r="I3471" t="s">
        <v>48</v>
      </c>
      <c r="J3471" t="s">
        <v>36</v>
      </c>
      <c r="K3471" t="s">
        <v>49</v>
      </c>
      <c r="L3471" t="s">
        <v>22</v>
      </c>
      <c r="M3471">
        <v>5500.22</v>
      </c>
      <c r="N3471">
        <v>2020</v>
      </c>
      <c r="O3471">
        <v>6</v>
      </c>
    </row>
    <row r="3472" spans="1:15" x14ac:dyDescent="0.3">
      <c r="A3472" s="1">
        <v>44007</v>
      </c>
      <c r="B3472">
        <v>1000013607</v>
      </c>
      <c r="C3472" t="s">
        <v>23</v>
      </c>
      <c r="D3472">
        <v>1</v>
      </c>
      <c r="E3472">
        <v>12000.76</v>
      </c>
      <c r="F3472" t="s">
        <v>16</v>
      </c>
      <c r="G3472" t="s">
        <v>24</v>
      </c>
      <c r="H3472" t="s">
        <v>18</v>
      </c>
      <c r="I3472" t="s">
        <v>25</v>
      </c>
      <c r="J3472" t="s">
        <v>26</v>
      </c>
      <c r="K3472" t="s">
        <v>27</v>
      </c>
      <c r="L3472" t="s">
        <v>22</v>
      </c>
      <c r="M3472">
        <v>12000.76</v>
      </c>
      <c r="N3472">
        <v>2020</v>
      </c>
      <c r="O3472">
        <v>6</v>
      </c>
    </row>
    <row r="3473" spans="1:15" x14ac:dyDescent="0.3">
      <c r="A3473" s="1">
        <v>44007</v>
      </c>
      <c r="B3473">
        <v>1000014037</v>
      </c>
      <c r="C3473" t="s">
        <v>15</v>
      </c>
      <c r="D3473">
        <v>1</v>
      </c>
      <c r="E3473">
        <v>15000.16</v>
      </c>
      <c r="F3473" t="s">
        <v>16</v>
      </c>
      <c r="G3473" t="s">
        <v>17</v>
      </c>
      <c r="H3473" t="s">
        <v>18</v>
      </c>
      <c r="I3473" t="s">
        <v>25</v>
      </c>
      <c r="J3473" t="s">
        <v>36</v>
      </c>
      <c r="K3473" t="s">
        <v>37</v>
      </c>
      <c r="L3473" t="s">
        <v>22</v>
      </c>
      <c r="M3473">
        <v>15000.16</v>
      </c>
      <c r="N3473">
        <v>2020</v>
      </c>
      <c r="O3473">
        <v>6</v>
      </c>
    </row>
    <row r="3474" spans="1:15" x14ac:dyDescent="0.3">
      <c r="A3474" s="1">
        <v>44007</v>
      </c>
      <c r="B3474">
        <v>1000014273</v>
      </c>
      <c r="C3474" t="s">
        <v>23</v>
      </c>
      <c r="D3474">
        <v>1</v>
      </c>
      <c r="E3474">
        <v>20000.419999999998</v>
      </c>
      <c r="F3474" t="s">
        <v>16</v>
      </c>
      <c r="G3474" t="s">
        <v>24</v>
      </c>
      <c r="H3474" t="s">
        <v>18</v>
      </c>
      <c r="I3474" t="s">
        <v>19</v>
      </c>
      <c r="J3474" t="s">
        <v>20</v>
      </c>
      <c r="K3474" t="s">
        <v>21</v>
      </c>
      <c r="L3474" t="s">
        <v>22</v>
      </c>
      <c r="M3474">
        <v>20000.419999999998</v>
      </c>
      <c r="N3474">
        <v>2020</v>
      </c>
      <c r="O3474">
        <v>6</v>
      </c>
    </row>
    <row r="3475" spans="1:15" x14ac:dyDescent="0.3">
      <c r="A3475" s="1">
        <v>44007</v>
      </c>
      <c r="B3475">
        <v>1000014291</v>
      </c>
      <c r="C3475" t="s">
        <v>23</v>
      </c>
      <c r="D3475">
        <v>1</v>
      </c>
      <c r="E3475">
        <v>11000.02</v>
      </c>
      <c r="F3475" t="s">
        <v>16</v>
      </c>
      <c r="G3475" t="s">
        <v>24</v>
      </c>
      <c r="H3475" t="s">
        <v>47</v>
      </c>
      <c r="I3475" t="s">
        <v>48</v>
      </c>
      <c r="J3475" t="s">
        <v>20</v>
      </c>
      <c r="K3475" t="s">
        <v>67</v>
      </c>
      <c r="L3475" t="s">
        <v>28</v>
      </c>
      <c r="M3475">
        <v>11000.02</v>
      </c>
      <c r="N3475">
        <v>2020</v>
      </c>
      <c r="O3475">
        <v>6</v>
      </c>
    </row>
    <row r="3476" spans="1:15" x14ac:dyDescent="0.3">
      <c r="A3476" s="1">
        <v>44007</v>
      </c>
      <c r="B3476">
        <v>1000014291</v>
      </c>
      <c r="C3476" t="s">
        <v>15</v>
      </c>
      <c r="D3476">
        <v>2</v>
      </c>
      <c r="E3476">
        <v>2788.07</v>
      </c>
      <c r="F3476" t="s">
        <v>16</v>
      </c>
      <c r="G3476" t="s">
        <v>17</v>
      </c>
      <c r="H3476" t="s">
        <v>47</v>
      </c>
      <c r="I3476" t="s">
        <v>48</v>
      </c>
      <c r="J3476" t="s">
        <v>20</v>
      </c>
      <c r="K3476" t="s">
        <v>67</v>
      </c>
      <c r="L3476" t="s">
        <v>28</v>
      </c>
      <c r="M3476">
        <v>1394.0350000000001</v>
      </c>
      <c r="N3476">
        <v>2020</v>
      </c>
      <c r="O3476">
        <v>6</v>
      </c>
    </row>
    <row r="3477" spans="1:15" x14ac:dyDescent="0.3">
      <c r="A3477" s="1">
        <v>44007</v>
      </c>
      <c r="B3477">
        <v>1000014291</v>
      </c>
      <c r="C3477" t="s">
        <v>42</v>
      </c>
      <c r="D3477">
        <v>1</v>
      </c>
      <c r="E3477">
        <v>17000</v>
      </c>
      <c r="F3477" t="s">
        <v>16</v>
      </c>
      <c r="G3477" t="s">
        <v>43</v>
      </c>
      <c r="H3477" t="s">
        <v>47</v>
      </c>
      <c r="I3477" t="s">
        <v>48</v>
      </c>
      <c r="J3477" t="s">
        <v>20</v>
      </c>
      <c r="K3477" t="s">
        <v>67</v>
      </c>
      <c r="L3477" t="s">
        <v>28</v>
      </c>
      <c r="M3477">
        <v>17000</v>
      </c>
      <c r="N3477">
        <v>2020</v>
      </c>
      <c r="O3477">
        <v>6</v>
      </c>
    </row>
    <row r="3478" spans="1:15" x14ac:dyDescent="0.3">
      <c r="A3478" s="1">
        <v>44007</v>
      </c>
      <c r="B3478">
        <v>1000014530</v>
      </c>
      <c r="C3478" t="s">
        <v>15</v>
      </c>
      <c r="D3478">
        <v>2</v>
      </c>
      <c r="E3478">
        <v>15001.08</v>
      </c>
      <c r="F3478" t="s">
        <v>16</v>
      </c>
      <c r="G3478" t="s">
        <v>17</v>
      </c>
      <c r="H3478" t="s">
        <v>47</v>
      </c>
      <c r="I3478" t="s">
        <v>65</v>
      </c>
      <c r="J3478" t="s">
        <v>26</v>
      </c>
      <c r="K3478" t="s">
        <v>66</v>
      </c>
      <c r="L3478" t="s">
        <v>22</v>
      </c>
      <c r="M3478">
        <v>7500.54</v>
      </c>
      <c r="N3478">
        <v>2020</v>
      </c>
      <c r="O3478">
        <v>6</v>
      </c>
    </row>
    <row r="3479" spans="1:15" x14ac:dyDescent="0.3">
      <c r="A3479" s="1">
        <v>44007</v>
      </c>
      <c r="B3479">
        <v>1000014530</v>
      </c>
      <c r="C3479" t="s">
        <v>42</v>
      </c>
      <c r="D3479">
        <v>1</v>
      </c>
      <c r="E3479">
        <v>5500.42</v>
      </c>
      <c r="F3479" t="s">
        <v>16</v>
      </c>
      <c r="G3479" t="s">
        <v>43</v>
      </c>
      <c r="H3479" t="s">
        <v>47</v>
      </c>
      <c r="I3479" t="s">
        <v>65</v>
      </c>
      <c r="J3479" t="s">
        <v>26</v>
      </c>
      <c r="K3479" t="s">
        <v>66</v>
      </c>
      <c r="L3479" t="s">
        <v>22</v>
      </c>
      <c r="M3479">
        <v>5500.42</v>
      </c>
      <c r="N3479">
        <v>2020</v>
      </c>
      <c r="O3479">
        <v>6</v>
      </c>
    </row>
    <row r="3480" spans="1:15" x14ac:dyDescent="0.3">
      <c r="A3480" s="1">
        <v>44007</v>
      </c>
      <c r="B3480">
        <v>1000014572</v>
      </c>
      <c r="C3480" t="s">
        <v>23</v>
      </c>
      <c r="D3480">
        <v>2</v>
      </c>
      <c r="E3480">
        <v>41001.160000000003</v>
      </c>
      <c r="F3480" t="s">
        <v>16</v>
      </c>
      <c r="G3480" t="s">
        <v>24</v>
      </c>
      <c r="H3480" t="s">
        <v>18</v>
      </c>
      <c r="I3480" t="s">
        <v>34</v>
      </c>
      <c r="J3480" t="s">
        <v>26</v>
      </c>
      <c r="K3480" t="s">
        <v>35</v>
      </c>
      <c r="L3480" t="s">
        <v>22</v>
      </c>
      <c r="M3480">
        <v>20500.580000000002</v>
      </c>
      <c r="N3480">
        <v>2020</v>
      </c>
      <c r="O3480">
        <v>6</v>
      </c>
    </row>
    <row r="3481" spans="1:15" x14ac:dyDescent="0.3">
      <c r="A3481" s="1">
        <v>44007</v>
      </c>
      <c r="B3481">
        <v>1000014572</v>
      </c>
      <c r="C3481" t="s">
        <v>15</v>
      </c>
      <c r="D3481">
        <v>1</v>
      </c>
      <c r="E3481">
        <v>22000.45</v>
      </c>
      <c r="F3481" t="s">
        <v>16</v>
      </c>
      <c r="G3481" t="s">
        <v>17</v>
      </c>
      <c r="H3481" t="s">
        <v>18</v>
      </c>
      <c r="I3481" t="s">
        <v>34</v>
      </c>
      <c r="J3481" t="s">
        <v>26</v>
      </c>
      <c r="K3481" t="s">
        <v>35</v>
      </c>
      <c r="L3481" t="s">
        <v>22</v>
      </c>
      <c r="M3481">
        <v>22000.45</v>
      </c>
      <c r="N3481">
        <v>2020</v>
      </c>
      <c r="O3481">
        <v>6</v>
      </c>
    </row>
    <row r="3482" spans="1:15" x14ac:dyDescent="0.3">
      <c r="A3482" s="1">
        <v>44007</v>
      </c>
      <c r="B3482">
        <v>1000014588</v>
      </c>
      <c r="C3482" t="s">
        <v>15</v>
      </c>
      <c r="D3482">
        <v>1</v>
      </c>
      <c r="E3482">
        <v>16999.939999999999</v>
      </c>
      <c r="F3482" t="s">
        <v>16</v>
      </c>
      <c r="G3482" t="s">
        <v>17</v>
      </c>
      <c r="H3482" t="s">
        <v>18</v>
      </c>
      <c r="I3482" t="s">
        <v>40</v>
      </c>
      <c r="J3482" t="s">
        <v>20</v>
      </c>
      <c r="K3482" t="s">
        <v>68</v>
      </c>
      <c r="L3482" t="s">
        <v>22</v>
      </c>
      <c r="M3482">
        <v>16999.939999999999</v>
      </c>
      <c r="N3482">
        <v>2020</v>
      </c>
      <c r="O3482">
        <v>6</v>
      </c>
    </row>
    <row r="3483" spans="1:15" x14ac:dyDescent="0.3">
      <c r="A3483" s="1">
        <v>44007</v>
      </c>
      <c r="B3483">
        <v>1000014588</v>
      </c>
      <c r="C3483" t="s">
        <v>42</v>
      </c>
      <c r="D3483">
        <v>1</v>
      </c>
      <c r="E3483">
        <v>5499.96</v>
      </c>
      <c r="F3483" t="s">
        <v>16</v>
      </c>
      <c r="G3483" t="s">
        <v>43</v>
      </c>
      <c r="H3483" t="s">
        <v>18</v>
      </c>
      <c r="I3483" t="s">
        <v>40</v>
      </c>
      <c r="J3483" t="s">
        <v>20</v>
      </c>
      <c r="K3483" t="s">
        <v>68</v>
      </c>
      <c r="L3483" t="s">
        <v>22</v>
      </c>
      <c r="M3483">
        <v>5499.96</v>
      </c>
      <c r="N3483">
        <v>2020</v>
      </c>
      <c r="O3483">
        <v>6</v>
      </c>
    </row>
    <row r="3484" spans="1:15" x14ac:dyDescent="0.3">
      <c r="A3484" s="1">
        <v>44007</v>
      </c>
      <c r="B3484">
        <v>1000014879</v>
      </c>
      <c r="C3484" t="s">
        <v>15</v>
      </c>
      <c r="D3484">
        <v>1</v>
      </c>
      <c r="E3484">
        <v>17000.310000000001</v>
      </c>
      <c r="F3484" t="s">
        <v>16</v>
      </c>
      <c r="G3484" t="s">
        <v>17</v>
      </c>
      <c r="H3484" t="s">
        <v>18</v>
      </c>
      <c r="I3484" t="s">
        <v>40</v>
      </c>
      <c r="J3484" t="s">
        <v>26</v>
      </c>
      <c r="K3484" t="s">
        <v>41</v>
      </c>
      <c r="L3484" t="s">
        <v>22</v>
      </c>
      <c r="M3484">
        <v>17000.310000000001</v>
      </c>
      <c r="N3484">
        <v>2020</v>
      </c>
      <c r="O3484">
        <v>6</v>
      </c>
    </row>
    <row r="3485" spans="1:15" x14ac:dyDescent="0.3">
      <c r="A3485" s="1">
        <v>44007</v>
      </c>
      <c r="B3485">
        <v>1000014879</v>
      </c>
      <c r="C3485" t="s">
        <v>42</v>
      </c>
      <c r="D3485">
        <v>1</v>
      </c>
      <c r="E3485">
        <v>25000.7</v>
      </c>
      <c r="F3485" t="s">
        <v>16</v>
      </c>
      <c r="G3485" t="s">
        <v>43</v>
      </c>
      <c r="H3485" t="s">
        <v>18</v>
      </c>
      <c r="I3485" t="s">
        <v>40</v>
      </c>
      <c r="J3485" t="s">
        <v>26</v>
      </c>
      <c r="K3485" t="s">
        <v>41</v>
      </c>
      <c r="L3485" t="s">
        <v>22</v>
      </c>
      <c r="M3485">
        <v>25000.7</v>
      </c>
      <c r="N3485">
        <v>2020</v>
      </c>
      <c r="O3485">
        <v>6</v>
      </c>
    </row>
    <row r="3486" spans="1:15" x14ac:dyDescent="0.3">
      <c r="A3486" s="1">
        <v>44007</v>
      </c>
      <c r="B3486">
        <v>1000014996</v>
      </c>
      <c r="C3486" t="s">
        <v>15</v>
      </c>
      <c r="D3486">
        <v>2</v>
      </c>
      <c r="E3486">
        <v>22501.08</v>
      </c>
      <c r="F3486" t="s">
        <v>16</v>
      </c>
      <c r="G3486" t="s">
        <v>17</v>
      </c>
      <c r="H3486" t="s">
        <v>30</v>
      </c>
      <c r="I3486" t="s">
        <v>57</v>
      </c>
      <c r="J3486" t="s">
        <v>26</v>
      </c>
      <c r="K3486" t="s">
        <v>58</v>
      </c>
      <c r="L3486" t="s">
        <v>22</v>
      </c>
      <c r="M3486">
        <v>11250.54</v>
      </c>
      <c r="N3486">
        <v>2020</v>
      </c>
      <c r="O3486">
        <v>6</v>
      </c>
    </row>
    <row r="3487" spans="1:15" x14ac:dyDescent="0.3">
      <c r="A3487" s="1">
        <v>44007</v>
      </c>
      <c r="B3487">
        <v>1000015013</v>
      </c>
      <c r="C3487" t="s">
        <v>23</v>
      </c>
      <c r="D3487">
        <v>1</v>
      </c>
      <c r="E3487">
        <v>10000.6</v>
      </c>
      <c r="F3487" t="s">
        <v>16</v>
      </c>
      <c r="G3487" t="s">
        <v>24</v>
      </c>
      <c r="H3487" t="s">
        <v>18</v>
      </c>
      <c r="I3487" t="s">
        <v>19</v>
      </c>
      <c r="J3487" t="s">
        <v>26</v>
      </c>
      <c r="K3487" t="s">
        <v>29</v>
      </c>
      <c r="L3487" t="s">
        <v>22</v>
      </c>
      <c r="M3487">
        <v>10000.6</v>
      </c>
      <c r="N3487">
        <v>2020</v>
      </c>
      <c r="O3487">
        <v>6</v>
      </c>
    </row>
    <row r="3488" spans="1:15" x14ac:dyDescent="0.3">
      <c r="A3488" s="1">
        <v>44007</v>
      </c>
      <c r="B3488">
        <v>1000015015</v>
      </c>
      <c r="C3488" t="s">
        <v>23</v>
      </c>
      <c r="D3488">
        <v>1</v>
      </c>
      <c r="E3488">
        <v>5000.67</v>
      </c>
      <c r="F3488" t="s">
        <v>16</v>
      </c>
      <c r="G3488" t="s">
        <v>24</v>
      </c>
      <c r="H3488" t="s">
        <v>18</v>
      </c>
      <c r="I3488" t="s">
        <v>61</v>
      </c>
      <c r="J3488" t="s">
        <v>26</v>
      </c>
      <c r="K3488" t="s">
        <v>62</v>
      </c>
      <c r="L3488" t="s">
        <v>22</v>
      </c>
      <c r="M3488">
        <v>5000.67</v>
      </c>
      <c r="N3488">
        <v>2020</v>
      </c>
      <c r="O3488">
        <v>6</v>
      </c>
    </row>
    <row r="3489" spans="1:15" x14ac:dyDescent="0.3">
      <c r="A3489" s="1">
        <v>44007</v>
      </c>
      <c r="B3489">
        <v>1000015015</v>
      </c>
      <c r="C3489" t="s">
        <v>15</v>
      </c>
      <c r="D3489">
        <v>2</v>
      </c>
      <c r="E3489">
        <v>34000.559999999998</v>
      </c>
      <c r="F3489" t="s">
        <v>16</v>
      </c>
      <c r="G3489" t="s">
        <v>17</v>
      </c>
      <c r="H3489" t="s">
        <v>18</v>
      </c>
      <c r="I3489" t="s">
        <v>61</v>
      </c>
      <c r="J3489" t="s">
        <v>26</v>
      </c>
      <c r="K3489" t="s">
        <v>62</v>
      </c>
      <c r="L3489" t="s">
        <v>22</v>
      </c>
      <c r="M3489">
        <v>17000.28</v>
      </c>
      <c r="N3489">
        <v>2020</v>
      </c>
      <c r="O3489">
        <v>6</v>
      </c>
    </row>
    <row r="3490" spans="1:15" x14ac:dyDescent="0.3">
      <c r="A3490" s="1">
        <v>44007</v>
      </c>
      <c r="B3490">
        <v>1000015133</v>
      </c>
      <c r="C3490" t="s">
        <v>42</v>
      </c>
      <c r="D3490">
        <v>1</v>
      </c>
      <c r="E3490">
        <v>18000.439999999999</v>
      </c>
      <c r="F3490" t="s">
        <v>16</v>
      </c>
      <c r="G3490" t="s">
        <v>43</v>
      </c>
      <c r="H3490" t="s">
        <v>30</v>
      </c>
      <c r="I3490" t="s">
        <v>31</v>
      </c>
      <c r="J3490" t="s">
        <v>36</v>
      </c>
      <c r="K3490" t="s">
        <v>52</v>
      </c>
      <c r="L3490" t="s">
        <v>22</v>
      </c>
      <c r="M3490">
        <v>18000.439999999999</v>
      </c>
      <c r="N3490">
        <v>2020</v>
      </c>
      <c r="O3490">
        <v>6</v>
      </c>
    </row>
    <row r="3491" spans="1:15" x14ac:dyDescent="0.3">
      <c r="A3491" s="1">
        <v>44007</v>
      </c>
      <c r="B3491">
        <v>1000015203</v>
      </c>
      <c r="C3491" t="s">
        <v>23</v>
      </c>
      <c r="D3491">
        <v>1</v>
      </c>
      <c r="E3491">
        <v>15000.5</v>
      </c>
      <c r="F3491" t="s">
        <v>16</v>
      </c>
      <c r="G3491" t="s">
        <v>24</v>
      </c>
      <c r="H3491" t="s">
        <v>47</v>
      </c>
      <c r="I3491" t="s">
        <v>65</v>
      </c>
      <c r="J3491" t="s">
        <v>26</v>
      </c>
      <c r="K3491" t="s">
        <v>66</v>
      </c>
      <c r="L3491" t="s">
        <v>22</v>
      </c>
      <c r="M3491">
        <v>15000.5</v>
      </c>
      <c r="N3491">
        <v>2020</v>
      </c>
      <c r="O3491">
        <v>6</v>
      </c>
    </row>
    <row r="3492" spans="1:15" x14ac:dyDescent="0.3">
      <c r="A3492" s="1">
        <v>44007</v>
      </c>
      <c r="B3492">
        <v>1000015788</v>
      </c>
      <c r="C3492" t="s">
        <v>71</v>
      </c>
      <c r="D3492">
        <v>1</v>
      </c>
      <c r="E3492">
        <v>6999.98</v>
      </c>
      <c r="F3492" t="s">
        <v>16</v>
      </c>
      <c r="G3492" t="s">
        <v>72</v>
      </c>
      <c r="H3492" t="s">
        <v>30</v>
      </c>
      <c r="I3492" t="s">
        <v>31</v>
      </c>
      <c r="J3492" t="s">
        <v>36</v>
      </c>
      <c r="K3492" t="s">
        <v>52</v>
      </c>
      <c r="L3492" t="s">
        <v>22</v>
      </c>
      <c r="M3492">
        <v>6999.98</v>
      </c>
      <c r="N3492">
        <v>2020</v>
      </c>
      <c r="O3492">
        <v>6</v>
      </c>
    </row>
    <row r="3493" spans="1:15" x14ac:dyDescent="0.3">
      <c r="A3493" s="1">
        <v>44007</v>
      </c>
      <c r="B3493">
        <v>1000015788</v>
      </c>
      <c r="C3493" t="s">
        <v>15</v>
      </c>
      <c r="D3493">
        <v>1</v>
      </c>
      <c r="E3493">
        <v>1000.44</v>
      </c>
      <c r="F3493" t="s">
        <v>16</v>
      </c>
      <c r="G3493" t="s">
        <v>17</v>
      </c>
      <c r="H3493" t="s">
        <v>30</v>
      </c>
      <c r="I3493" t="s">
        <v>31</v>
      </c>
      <c r="J3493" t="s">
        <v>36</v>
      </c>
      <c r="K3493" t="s">
        <v>52</v>
      </c>
      <c r="L3493" t="s">
        <v>22</v>
      </c>
      <c r="M3493">
        <v>1000.44</v>
      </c>
      <c r="N3493">
        <v>2020</v>
      </c>
      <c r="O3493">
        <v>6</v>
      </c>
    </row>
    <row r="3494" spans="1:15" x14ac:dyDescent="0.3">
      <c r="A3494" s="1">
        <v>44007</v>
      </c>
      <c r="B3494">
        <v>1000017576</v>
      </c>
      <c r="C3494" t="s">
        <v>15</v>
      </c>
      <c r="D3494">
        <v>2</v>
      </c>
      <c r="E3494">
        <v>28001.26</v>
      </c>
      <c r="F3494" t="s">
        <v>16</v>
      </c>
      <c r="G3494" t="s">
        <v>17</v>
      </c>
      <c r="H3494" t="s">
        <v>18</v>
      </c>
      <c r="I3494" t="s">
        <v>19</v>
      </c>
      <c r="J3494" t="s">
        <v>36</v>
      </c>
      <c r="K3494" t="s">
        <v>64</v>
      </c>
      <c r="L3494" t="s">
        <v>22</v>
      </c>
      <c r="M3494">
        <v>14000.63</v>
      </c>
      <c r="N3494">
        <v>2020</v>
      </c>
      <c r="O3494">
        <v>6</v>
      </c>
    </row>
    <row r="3495" spans="1:15" x14ac:dyDescent="0.3">
      <c r="A3495" s="1">
        <v>44007</v>
      </c>
      <c r="B3495">
        <v>1000017576</v>
      </c>
      <c r="C3495" t="s">
        <v>42</v>
      </c>
      <c r="D3495">
        <v>2</v>
      </c>
      <c r="E3495">
        <v>17500.97</v>
      </c>
      <c r="F3495" t="s">
        <v>16</v>
      </c>
      <c r="G3495" t="s">
        <v>43</v>
      </c>
      <c r="H3495" t="s">
        <v>18</v>
      </c>
      <c r="I3495" t="s">
        <v>19</v>
      </c>
      <c r="J3495" t="s">
        <v>36</v>
      </c>
      <c r="K3495" t="s">
        <v>64</v>
      </c>
      <c r="L3495" t="s">
        <v>22</v>
      </c>
      <c r="M3495">
        <v>8750.4850000000006</v>
      </c>
      <c r="N3495">
        <v>2020</v>
      </c>
      <c r="O3495">
        <v>6</v>
      </c>
    </row>
    <row r="3496" spans="1:15" x14ac:dyDescent="0.3">
      <c r="A3496" s="1">
        <v>44007</v>
      </c>
      <c r="B3496">
        <v>1000017688</v>
      </c>
      <c r="C3496" t="s">
        <v>23</v>
      </c>
      <c r="D3496">
        <v>1</v>
      </c>
      <c r="E3496">
        <v>10000.620000000001</v>
      </c>
      <c r="F3496" t="s">
        <v>16</v>
      </c>
      <c r="G3496" t="s">
        <v>24</v>
      </c>
      <c r="H3496" t="s">
        <v>47</v>
      </c>
      <c r="I3496" t="s">
        <v>48</v>
      </c>
      <c r="J3496" t="s">
        <v>36</v>
      </c>
      <c r="K3496" t="s">
        <v>49</v>
      </c>
      <c r="L3496" t="s">
        <v>22</v>
      </c>
      <c r="M3496">
        <v>10000.620000000001</v>
      </c>
      <c r="N3496">
        <v>2020</v>
      </c>
      <c r="O3496">
        <v>6</v>
      </c>
    </row>
    <row r="3497" spans="1:15" x14ac:dyDescent="0.3">
      <c r="A3497" s="1">
        <v>44007</v>
      </c>
      <c r="B3497">
        <v>1000017700</v>
      </c>
      <c r="C3497" t="s">
        <v>15</v>
      </c>
      <c r="D3497">
        <v>1</v>
      </c>
      <c r="E3497">
        <v>7000.07</v>
      </c>
      <c r="F3497" t="s">
        <v>16</v>
      </c>
      <c r="G3497" t="s">
        <v>17</v>
      </c>
      <c r="H3497" t="s">
        <v>47</v>
      </c>
      <c r="I3497" t="s">
        <v>65</v>
      </c>
      <c r="J3497" t="s">
        <v>26</v>
      </c>
      <c r="K3497" t="s">
        <v>66</v>
      </c>
      <c r="L3497" t="s">
        <v>22</v>
      </c>
      <c r="M3497">
        <v>7000.07</v>
      </c>
      <c r="N3497">
        <v>2020</v>
      </c>
      <c r="O3497">
        <v>6</v>
      </c>
    </row>
    <row r="3498" spans="1:15" x14ac:dyDescent="0.3">
      <c r="A3498" s="1">
        <v>44007</v>
      </c>
      <c r="B3498">
        <v>1000020084</v>
      </c>
      <c r="C3498" t="s">
        <v>23</v>
      </c>
      <c r="D3498">
        <v>1</v>
      </c>
      <c r="E3498">
        <v>8000.57</v>
      </c>
      <c r="F3498" t="s">
        <v>16</v>
      </c>
      <c r="G3498" t="s">
        <v>24</v>
      </c>
      <c r="H3498" t="s">
        <v>47</v>
      </c>
      <c r="I3498" t="s">
        <v>59</v>
      </c>
      <c r="J3498" t="s">
        <v>26</v>
      </c>
      <c r="K3498" t="s">
        <v>60</v>
      </c>
      <c r="L3498" t="s">
        <v>22</v>
      </c>
      <c r="M3498">
        <v>8000.57</v>
      </c>
      <c r="N3498">
        <v>2020</v>
      </c>
      <c r="O3498">
        <v>6</v>
      </c>
    </row>
    <row r="3499" spans="1:15" x14ac:dyDescent="0.3">
      <c r="A3499" s="1">
        <v>44007</v>
      </c>
      <c r="B3499">
        <v>1000020084</v>
      </c>
      <c r="C3499" t="s">
        <v>15</v>
      </c>
      <c r="D3499">
        <v>1</v>
      </c>
      <c r="E3499">
        <v>15000.64</v>
      </c>
      <c r="F3499" t="s">
        <v>16</v>
      </c>
      <c r="G3499" t="s">
        <v>17</v>
      </c>
      <c r="H3499" t="s">
        <v>47</v>
      </c>
      <c r="I3499" t="s">
        <v>59</v>
      </c>
      <c r="J3499" t="s">
        <v>26</v>
      </c>
      <c r="K3499" t="s">
        <v>60</v>
      </c>
      <c r="L3499" t="s">
        <v>22</v>
      </c>
      <c r="M3499">
        <v>15000.64</v>
      </c>
      <c r="N3499">
        <v>2020</v>
      </c>
      <c r="O3499">
        <v>6</v>
      </c>
    </row>
    <row r="3500" spans="1:15" x14ac:dyDescent="0.3">
      <c r="A3500" s="1">
        <v>44007</v>
      </c>
      <c r="B3500">
        <v>1000020128</v>
      </c>
      <c r="C3500" t="s">
        <v>23</v>
      </c>
      <c r="D3500">
        <v>1</v>
      </c>
      <c r="E3500">
        <v>6000.54</v>
      </c>
      <c r="F3500" t="s">
        <v>16</v>
      </c>
      <c r="G3500" t="s">
        <v>24</v>
      </c>
      <c r="H3500" t="s">
        <v>30</v>
      </c>
      <c r="I3500" t="s">
        <v>57</v>
      </c>
      <c r="J3500" t="s">
        <v>26</v>
      </c>
      <c r="K3500" t="s">
        <v>58</v>
      </c>
      <c r="L3500" t="s">
        <v>28</v>
      </c>
      <c r="M3500">
        <v>6000.54</v>
      </c>
      <c r="N3500">
        <v>2020</v>
      </c>
      <c r="O3500">
        <v>6</v>
      </c>
    </row>
    <row r="3501" spans="1:15" x14ac:dyDescent="0.3">
      <c r="A3501" s="1">
        <v>44007</v>
      </c>
      <c r="B3501">
        <v>1000020128</v>
      </c>
      <c r="C3501" t="s">
        <v>15</v>
      </c>
      <c r="D3501">
        <v>2</v>
      </c>
      <c r="E3501">
        <v>23001.07</v>
      </c>
      <c r="F3501" t="s">
        <v>16</v>
      </c>
      <c r="G3501" t="s">
        <v>17</v>
      </c>
      <c r="H3501" t="s">
        <v>30</v>
      </c>
      <c r="I3501" t="s">
        <v>57</v>
      </c>
      <c r="J3501" t="s">
        <v>26</v>
      </c>
      <c r="K3501" t="s">
        <v>58</v>
      </c>
      <c r="L3501" t="s">
        <v>28</v>
      </c>
      <c r="M3501">
        <v>11500.535</v>
      </c>
      <c r="N3501">
        <v>2020</v>
      </c>
      <c r="O3501">
        <v>6</v>
      </c>
    </row>
    <row r="3502" spans="1:15" x14ac:dyDescent="0.3">
      <c r="A3502" s="1">
        <v>44007</v>
      </c>
      <c r="B3502">
        <v>1000020128</v>
      </c>
      <c r="C3502" t="s">
        <v>42</v>
      </c>
      <c r="D3502">
        <v>1</v>
      </c>
      <c r="E3502">
        <v>25000.67</v>
      </c>
      <c r="F3502" t="s">
        <v>16</v>
      </c>
      <c r="G3502" t="s">
        <v>43</v>
      </c>
      <c r="H3502" t="s">
        <v>30</v>
      </c>
      <c r="I3502" t="s">
        <v>57</v>
      </c>
      <c r="J3502" t="s">
        <v>26</v>
      </c>
      <c r="K3502" t="s">
        <v>58</v>
      </c>
      <c r="L3502" t="s">
        <v>28</v>
      </c>
      <c r="M3502">
        <v>25000.67</v>
      </c>
      <c r="N3502">
        <v>2020</v>
      </c>
      <c r="O3502">
        <v>6</v>
      </c>
    </row>
    <row r="3503" spans="1:15" x14ac:dyDescent="0.3">
      <c r="A3503" s="1">
        <v>44008</v>
      </c>
      <c r="B3503">
        <v>1000000028</v>
      </c>
      <c r="C3503" t="s">
        <v>23</v>
      </c>
      <c r="D3503">
        <v>1</v>
      </c>
      <c r="E3503">
        <v>6000.47</v>
      </c>
      <c r="F3503" t="s">
        <v>16</v>
      </c>
      <c r="G3503" t="s">
        <v>24</v>
      </c>
      <c r="H3503" t="s">
        <v>18</v>
      </c>
      <c r="I3503" t="s">
        <v>19</v>
      </c>
      <c r="J3503" t="s">
        <v>20</v>
      </c>
      <c r="K3503" t="s">
        <v>21</v>
      </c>
      <c r="L3503" t="s">
        <v>22</v>
      </c>
      <c r="M3503">
        <v>6000.47</v>
      </c>
      <c r="N3503">
        <v>2020</v>
      </c>
      <c r="O3503">
        <v>6</v>
      </c>
    </row>
    <row r="3504" spans="1:15" x14ac:dyDescent="0.3">
      <c r="A3504" s="1">
        <v>44008</v>
      </c>
      <c r="B3504">
        <v>1000000028</v>
      </c>
      <c r="C3504" t="s">
        <v>42</v>
      </c>
      <c r="D3504">
        <v>1</v>
      </c>
      <c r="E3504">
        <v>1112.97</v>
      </c>
      <c r="F3504" t="s">
        <v>16</v>
      </c>
      <c r="G3504" t="s">
        <v>43</v>
      </c>
      <c r="H3504" t="s">
        <v>18</v>
      </c>
      <c r="I3504" t="s">
        <v>19</v>
      </c>
      <c r="J3504" t="s">
        <v>20</v>
      </c>
      <c r="K3504" t="s">
        <v>21</v>
      </c>
      <c r="L3504" t="s">
        <v>22</v>
      </c>
      <c r="M3504">
        <v>1112.97</v>
      </c>
      <c r="N3504">
        <v>2020</v>
      </c>
      <c r="O3504">
        <v>6</v>
      </c>
    </row>
    <row r="3505" spans="1:15" x14ac:dyDescent="0.3">
      <c r="A3505" s="1">
        <v>44008</v>
      </c>
      <c r="B3505">
        <v>1000000029</v>
      </c>
      <c r="C3505" t="s">
        <v>75</v>
      </c>
      <c r="D3505">
        <v>2</v>
      </c>
      <c r="E3505">
        <v>3052.87</v>
      </c>
      <c r="F3505" t="s">
        <v>16</v>
      </c>
      <c r="G3505" t="s">
        <v>76</v>
      </c>
      <c r="H3505" t="s">
        <v>18</v>
      </c>
      <c r="I3505" t="s">
        <v>19</v>
      </c>
      <c r="J3505" t="s">
        <v>20</v>
      </c>
      <c r="K3505" t="s">
        <v>21</v>
      </c>
      <c r="L3505" t="s">
        <v>22</v>
      </c>
      <c r="M3505">
        <v>1526.4349999999999</v>
      </c>
      <c r="N3505">
        <v>2020</v>
      </c>
      <c r="O3505">
        <v>6</v>
      </c>
    </row>
    <row r="3506" spans="1:15" x14ac:dyDescent="0.3">
      <c r="A3506" s="1">
        <v>44008</v>
      </c>
      <c r="B3506">
        <v>1000000029</v>
      </c>
      <c r="C3506" t="s">
        <v>23</v>
      </c>
      <c r="D3506">
        <v>1</v>
      </c>
      <c r="E3506">
        <v>1602.02</v>
      </c>
      <c r="F3506" t="s">
        <v>16</v>
      </c>
      <c r="G3506" t="s">
        <v>24</v>
      </c>
      <c r="H3506" t="s">
        <v>18</v>
      </c>
      <c r="I3506" t="s">
        <v>19</v>
      </c>
      <c r="J3506" t="s">
        <v>20</v>
      </c>
      <c r="K3506" t="s">
        <v>21</v>
      </c>
      <c r="L3506" t="s">
        <v>22</v>
      </c>
      <c r="M3506">
        <v>1602.02</v>
      </c>
      <c r="N3506">
        <v>2020</v>
      </c>
      <c r="O3506">
        <v>6</v>
      </c>
    </row>
    <row r="3507" spans="1:15" x14ac:dyDescent="0.3">
      <c r="A3507" s="1">
        <v>44008</v>
      </c>
      <c r="B3507">
        <v>1000000029</v>
      </c>
      <c r="C3507" t="s">
        <v>15</v>
      </c>
      <c r="D3507">
        <v>2</v>
      </c>
      <c r="E3507">
        <v>21000.27</v>
      </c>
      <c r="F3507" t="s">
        <v>16</v>
      </c>
      <c r="G3507" t="s">
        <v>17</v>
      </c>
      <c r="H3507" t="s">
        <v>18</v>
      </c>
      <c r="I3507" t="s">
        <v>19</v>
      </c>
      <c r="J3507" t="s">
        <v>20</v>
      </c>
      <c r="K3507" t="s">
        <v>21</v>
      </c>
      <c r="L3507" t="s">
        <v>22</v>
      </c>
      <c r="M3507">
        <v>10500.135</v>
      </c>
      <c r="N3507">
        <v>2020</v>
      </c>
      <c r="O3507">
        <v>6</v>
      </c>
    </row>
    <row r="3508" spans="1:15" x14ac:dyDescent="0.3">
      <c r="A3508" s="1">
        <v>44008</v>
      </c>
      <c r="B3508">
        <v>1000000029</v>
      </c>
      <c r="C3508" t="s">
        <v>42</v>
      </c>
      <c r="D3508">
        <v>1</v>
      </c>
      <c r="E3508">
        <v>6500.5</v>
      </c>
      <c r="F3508" t="s">
        <v>16</v>
      </c>
      <c r="G3508" t="s">
        <v>43</v>
      </c>
      <c r="H3508" t="s">
        <v>18</v>
      </c>
      <c r="I3508" t="s">
        <v>19</v>
      </c>
      <c r="J3508" t="s">
        <v>20</v>
      </c>
      <c r="K3508" t="s">
        <v>21</v>
      </c>
      <c r="L3508" t="s">
        <v>22</v>
      </c>
      <c r="M3508">
        <v>6500.5</v>
      </c>
      <c r="N3508">
        <v>2020</v>
      </c>
      <c r="O3508">
        <v>6</v>
      </c>
    </row>
    <row r="3509" spans="1:15" x14ac:dyDescent="0.3">
      <c r="A3509" s="1">
        <v>44008</v>
      </c>
      <c r="B3509">
        <v>1000000030</v>
      </c>
      <c r="C3509" t="s">
        <v>15</v>
      </c>
      <c r="D3509">
        <v>2</v>
      </c>
      <c r="E3509">
        <v>34000.19</v>
      </c>
      <c r="F3509" t="s">
        <v>16</v>
      </c>
      <c r="G3509" t="s">
        <v>17</v>
      </c>
      <c r="H3509" t="s">
        <v>47</v>
      </c>
      <c r="I3509" t="s">
        <v>48</v>
      </c>
      <c r="J3509" t="s">
        <v>36</v>
      </c>
      <c r="K3509" t="s">
        <v>49</v>
      </c>
      <c r="L3509" t="s">
        <v>22</v>
      </c>
      <c r="M3509">
        <v>17000.095000000001</v>
      </c>
      <c r="N3509">
        <v>2020</v>
      </c>
      <c r="O3509">
        <v>6</v>
      </c>
    </row>
    <row r="3510" spans="1:15" x14ac:dyDescent="0.3">
      <c r="A3510" s="1">
        <v>44008</v>
      </c>
      <c r="B3510">
        <v>1000000032</v>
      </c>
      <c r="C3510" t="s">
        <v>23</v>
      </c>
      <c r="D3510">
        <v>1</v>
      </c>
      <c r="E3510">
        <v>12000.69</v>
      </c>
      <c r="F3510" t="s">
        <v>16</v>
      </c>
      <c r="G3510" t="s">
        <v>24</v>
      </c>
      <c r="H3510" t="s">
        <v>18</v>
      </c>
      <c r="I3510" t="s">
        <v>25</v>
      </c>
      <c r="J3510" t="s">
        <v>26</v>
      </c>
      <c r="K3510" t="s">
        <v>27</v>
      </c>
      <c r="L3510" t="s">
        <v>28</v>
      </c>
      <c r="M3510">
        <v>12000.69</v>
      </c>
      <c r="N3510">
        <v>2020</v>
      </c>
      <c r="O3510">
        <v>6</v>
      </c>
    </row>
    <row r="3511" spans="1:15" x14ac:dyDescent="0.3">
      <c r="A3511" s="1">
        <v>44008</v>
      </c>
      <c r="B3511">
        <v>1000000032</v>
      </c>
      <c r="C3511" t="s">
        <v>15</v>
      </c>
      <c r="D3511">
        <v>1</v>
      </c>
      <c r="E3511">
        <v>25000.47</v>
      </c>
      <c r="F3511" t="s">
        <v>16</v>
      </c>
      <c r="G3511" t="s">
        <v>17</v>
      </c>
      <c r="H3511" t="s">
        <v>18</v>
      </c>
      <c r="I3511" t="s">
        <v>25</v>
      </c>
      <c r="J3511" t="s">
        <v>26</v>
      </c>
      <c r="K3511" t="s">
        <v>27</v>
      </c>
      <c r="L3511" t="s">
        <v>28</v>
      </c>
      <c r="M3511">
        <v>25000.47</v>
      </c>
      <c r="N3511">
        <v>2020</v>
      </c>
      <c r="O3511">
        <v>6</v>
      </c>
    </row>
    <row r="3512" spans="1:15" x14ac:dyDescent="0.3">
      <c r="A3512" s="1">
        <v>44008</v>
      </c>
      <c r="B3512">
        <v>1000000033</v>
      </c>
      <c r="C3512" t="s">
        <v>71</v>
      </c>
      <c r="D3512">
        <v>1</v>
      </c>
      <c r="E3512">
        <v>2550.4899999999998</v>
      </c>
      <c r="F3512" t="s">
        <v>16</v>
      </c>
      <c r="G3512" t="s">
        <v>72</v>
      </c>
      <c r="H3512" t="s">
        <v>18</v>
      </c>
      <c r="I3512" t="s">
        <v>25</v>
      </c>
      <c r="J3512" t="s">
        <v>26</v>
      </c>
      <c r="K3512" t="s">
        <v>27</v>
      </c>
      <c r="L3512" t="s">
        <v>22</v>
      </c>
      <c r="M3512">
        <v>2550.4899999999998</v>
      </c>
      <c r="N3512">
        <v>2020</v>
      </c>
      <c r="O3512">
        <v>6</v>
      </c>
    </row>
    <row r="3513" spans="1:15" x14ac:dyDescent="0.3">
      <c r="A3513" s="1">
        <v>44008</v>
      </c>
      <c r="B3513">
        <v>1000000034</v>
      </c>
      <c r="C3513" t="s">
        <v>23</v>
      </c>
      <c r="D3513">
        <v>1</v>
      </c>
      <c r="E3513">
        <v>18000.509999999998</v>
      </c>
      <c r="F3513" t="s">
        <v>16</v>
      </c>
      <c r="G3513" t="s">
        <v>24</v>
      </c>
      <c r="H3513" t="s">
        <v>18</v>
      </c>
      <c r="I3513" t="s">
        <v>25</v>
      </c>
      <c r="J3513" t="s">
        <v>26</v>
      </c>
      <c r="K3513" t="s">
        <v>27</v>
      </c>
      <c r="L3513" t="s">
        <v>22</v>
      </c>
      <c r="M3513">
        <v>18000.509999999998</v>
      </c>
      <c r="N3513">
        <v>2020</v>
      </c>
      <c r="O3513">
        <v>6</v>
      </c>
    </row>
    <row r="3514" spans="1:15" x14ac:dyDescent="0.3">
      <c r="A3514" s="1">
        <v>44008</v>
      </c>
      <c r="B3514">
        <v>1000000034</v>
      </c>
      <c r="C3514" t="s">
        <v>71</v>
      </c>
      <c r="D3514">
        <v>1</v>
      </c>
      <c r="E3514">
        <v>1113.47</v>
      </c>
      <c r="F3514" t="s">
        <v>16</v>
      </c>
      <c r="G3514" t="s">
        <v>72</v>
      </c>
      <c r="H3514" t="s">
        <v>18</v>
      </c>
      <c r="I3514" t="s">
        <v>25</v>
      </c>
      <c r="J3514" t="s">
        <v>26</v>
      </c>
      <c r="K3514" t="s">
        <v>27</v>
      </c>
      <c r="L3514" t="s">
        <v>22</v>
      </c>
      <c r="M3514">
        <v>1113.47</v>
      </c>
      <c r="N3514">
        <v>2020</v>
      </c>
      <c r="O3514">
        <v>6</v>
      </c>
    </row>
    <row r="3515" spans="1:15" x14ac:dyDescent="0.3">
      <c r="A3515" s="1">
        <v>44008</v>
      </c>
      <c r="B3515">
        <v>1000000036</v>
      </c>
      <c r="C3515" t="s">
        <v>75</v>
      </c>
      <c r="D3515">
        <v>1</v>
      </c>
      <c r="E3515">
        <v>1300.44</v>
      </c>
      <c r="F3515" t="s">
        <v>16</v>
      </c>
      <c r="G3515" t="s">
        <v>76</v>
      </c>
      <c r="H3515" t="s">
        <v>47</v>
      </c>
      <c r="I3515" t="s">
        <v>48</v>
      </c>
      <c r="J3515" t="s">
        <v>36</v>
      </c>
      <c r="K3515" t="s">
        <v>49</v>
      </c>
      <c r="L3515" t="s">
        <v>28</v>
      </c>
      <c r="M3515">
        <v>1300.44</v>
      </c>
      <c r="N3515">
        <v>2020</v>
      </c>
      <c r="O3515">
        <v>6</v>
      </c>
    </row>
    <row r="3516" spans="1:15" x14ac:dyDescent="0.3">
      <c r="A3516" s="1">
        <v>44008</v>
      </c>
      <c r="B3516">
        <v>1000000036</v>
      </c>
      <c r="C3516" t="s">
        <v>23</v>
      </c>
      <c r="D3516">
        <v>3</v>
      </c>
      <c r="E3516">
        <v>28501.81</v>
      </c>
      <c r="F3516" t="s">
        <v>16</v>
      </c>
      <c r="G3516" t="s">
        <v>24</v>
      </c>
      <c r="H3516" t="s">
        <v>47</v>
      </c>
      <c r="I3516" t="s">
        <v>48</v>
      </c>
      <c r="J3516" t="s">
        <v>36</v>
      </c>
      <c r="K3516" t="s">
        <v>49</v>
      </c>
      <c r="L3516" t="s">
        <v>28</v>
      </c>
      <c r="M3516">
        <v>9500.6033333333344</v>
      </c>
      <c r="N3516">
        <v>2020</v>
      </c>
      <c r="O3516">
        <v>6</v>
      </c>
    </row>
    <row r="3517" spans="1:15" x14ac:dyDescent="0.3">
      <c r="A3517" s="1">
        <v>44008</v>
      </c>
      <c r="B3517">
        <v>1000000036</v>
      </c>
      <c r="C3517" t="s">
        <v>42</v>
      </c>
      <c r="D3517">
        <v>1</v>
      </c>
      <c r="E3517">
        <v>25000.58</v>
      </c>
      <c r="F3517" t="s">
        <v>16</v>
      </c>
      <c r="G3517" t="s">
        <v>43</v>
      </c>
      <c r="H3517" t="s">
        <v>47</v>
      </c>
      <c r="I3517" t="s">
        <v>48</v>
      </c>
      <c r="J3517" t="s">
        <v>36</v>
      </c>
      <c r="K3517" t="s">
        <v>49</v>
      </c>
      <c r="L3517" t="s">
        <v>28</v>
      </c>
      <c r="M3517">
        <v>25000.58</v>
      </c>
      <c r="N3517">
        <v>2020</v>
      </c>
      <c r="O3517">
        <v>6</v>
      </c>
    </row>
    <row r="3518" spans="1:15" x14ac:dyDescent="0.3">
      <c r="A3518" s="1">
        <v>44008</v>
      </c>
      <c r="B3518">
        <v>1000000037</v>
      </c>
      <c r="C3518" t="s">
        <v>73</v>
      </c>
      <c r="D3518">
        <v>1</v>
      </c>
      <c r="E3518">
        <v>1300.6500000000001</v>
      </c>
      <c r="F3518" t="s">
        <v>16</v>
      </c>
      <c r="G3518" t="s">
        <v>74</v>
      </c>
      <c r="H3518" t="s">
        <v>18</v>
      </c>
      <c r="I3518" t="s">
        <v>19</v>
      </c>
      <c r="J3518" t="s">
        <v>20</v>
      </c>
      <c r="K3518" t="s">
        <v>21</v>
      </c>
      <c r="L3518" t="s">
        <v>22</v>
      </c>
      <c r="M3518">
        <v>1300.6500000000001</v>
      </c>
      <c r="N3518">
        <v>2020</v>
      </c>
      <c r="O3518">
        <v>6</v>
      </c>
    </row>
    <row r="3519" spans="1:15" x14ac:dyDescent="0.3">
      <c r="A3519" s="1">
        <v>44008</v>
      </c>
      <c r="B3519">
        <v>1000000037</v>
      </c>
      <c r="C3519" t="s">
        <v>23</v>
      </c>
      <c r="D3519">
        <v>2</v>
      </c>
      <c r="E3519">
        <v>33999.980000000003</v>
      </c>
      <c r="F3519" t="s">
        <v>16</v>
      </c>
      <c r="G3519" t="s">
        <v>24</v>
      </c>
      <c r="H3519" t="s">
        <v>18</v>
      </c>
      <c r="I3519" t="s">
        <v>19</v>
      </c>
      <c r="J3519" t="s">
        <v>20</v>
      </c>
      <c r="K3519" t="s">
        <v>21</v>
      </c>
      <c r="L3519" t="s">
        <v>22</v>
      </c>
      <c r="M3519">
        <v>16999.990000000002</v>
      </c>
      <c r="N3519">
        <v>2020</v>
      </c>
      <c r="O3519">
        <v>6</v>
      </c>
    </row>
    <row r="3520" spans="1:15" x14ac:dyDescent="0.3">
      <c r="A3520" s="1">
        <v>44008</v>
      </c>
      <c r="B3520">
        <v>1000000040</v>
      </c>
      <c r="C3520" t="s">
        <v>73</v>
      </c>
      <c r="D3520">
        <v>1</v>
      </c>
      <c r="E3520">
        <v>3600.1</v>
      </c>
      <c r="F3520" t="s">
        <v>16</v>
      </c>
      <c r="G3520" t="s">
        <v>74</v>
      </c>
      <c r="H3520" t="s">
        <v>30</v>
      </c>
      <c r="I3520" t="s">
        <v>31</v>
      </c>
      <c r="J3520" t="s">
        <v>32</v>
      </c>
      <c r="K3520" t="s">
        <v>33</v>
      </c>
      <c r="L3520" t="s">
        <v>28</v>
      </c>
      <c r="M3520">
        <v>3600.1</v>
      </c>
      <c r="N3520">
        <v>2020</v>
      </c>
      <c r="O3520">
        <v>6</v>
      </c>
    </row>
    <row r="3521" spans="1:15" x14ac:dyDescent="0.3">
      <c r="A3521" s="1">
        <v>44008</v>
      </c>
      <c r="B3521">
        <v>1000000044</v>
      </c>
      <c r="C3521" t="s">
        <v>23</v>
      </c>
      <c r="D3521">
        <v>2</v>
      </c>
      <c r="E3521">
        <v>23000.71</v>
      </c>
      <c r="F3521" t="s">
        <v>16</v>
      </c>
      <c r="G3521" t="s">
        <v>24</v>
      </c>
      <c r="H3521" t="s">
        <v>30</v>
      </c>
      <c r="I3521" t="s">
        <v>31</v>
      </c>
      <c r="J3521" t="s">
        <v>36</v>
      </c>
      <c r="K3521" t="s">
        <v>52</v>
      </c>
      <c r="L3521" t="s">
        <v>28</v>
      </c>
      <c r="M3521">
        <v>11500.355</v>
      </c>
      <c r="N3521">
        <v>2020</v>
      </c>
      <c r="O3521">
        <v>6</v>
      </c>
    </row>
    <row r="3522" spans="1:15" x14ac:dyDescent="0.3">
      <c r="A3522" s="1">
        <v>44008</v>
      </c>
      <c r="B3522">
        <v>1000000045</v>
      </c>
      <c r="C3522" t="s">
        <v>73</v>
      </c>
      <c r="D3522">
        <v>1</v>
      </c>
      <c r="E3522">
        <v>943.12</v>
      </c>
      <c r="F3522" t="s">
        <v>16</v>
      </c>
      <c r="G3522" t="s">
        <v>74</v>
      </c>
      <c r="H3522" t="s">
        <v>47</v>
      </c>
      <c r="I3522" t="s">
        <v>59</v>
      </c>
      <c r="J3522" t="s">
        <v>26</v>
      </c>
      <c r="K3522" t="s">
        <v>60</v>
      </c>
      <c r="L3522" t="s">
        <v>22</v>
      </c>
      <c r="M3522">
        <v>943.12</v>
      </c>
      <c r="N3522">
        <v>2020</v>
      </c>
      <c r="O3522">
        <v>6</v>
      </c>
    </row>
    <row r="3523" spans="1:15" x14ac:dyDescent="0.3">
      <c r="A3523" s="1">
        <v>44008</v>
      </c>
      <c r="B3523">
        <v>1000000045</v>
      </c>
      <c r="C3523" t="s">
        <v>23</v>
      </c>
      <c r="D3523">
        <v>1</v>
      </c>
      <c r="E3523">
        <v>24000.13</v>
      </c>
      <c r="F3523" t="s">
        <v>16</v>
      </c>
      <c r="G3523" t="s">
        <v>24</v>
      </c>
      <c r="H3523" t="s">
        <v>47</v>
      </c>
      <c r="I3523" t="s">
        <v>59</v>
      </c>
      <c r="J3523" t="s">
        <v>26</v>
      </c>
      <c r="K3523" t="s">
        <v>60</v>
      </c>
      <c r="L3523" t="s">
        <v>22</v>
      </c>
      <c r="M3523">
        <v>24000.13</v>
      </c>
      <c r="N3523">
        <v>2020</v>
      </c>
      <c r="O3523">
        <v>6</v>
      </c>
    </row>
    <row r="3524" spans="1:15" x14ac:dyDescent="0.3">
      <c r="A3524" s="1">
        <v>44008</v>
      </c>
      <c r="B3524">
        <v>1000000046</v>
      </c>
      <c r="C3524" t="s">
        <v>23</v>
      </c>
      <c r="D3524">
        <v>1</v>
      </c>
      <c r="E3524">
        <v>20000.03</v>
      </c>
      <c r="F3524" t="s">
        <v>16</v>
      </c>
      <c r="G3524" t="s">
        <v>24</v>
      </c>
      <c r="H3524" t="s">
        <v>30</v>
      </c>
      <c r="I3524" t="s">
        <v>38</v>
      </c>
      <c r="J3524" t="s">
        <v>26</v>
      </c>
      <c r="K3524" t="s">
        <v>39</v>
      </c>
      <c r="L3524" t="s">
        <v>22</v>
      </c>
      <c r="M3524">
        <v>20000.03</v>
      </c>
      <c r="N3524">
        <v>2020</v>
      </c>
      <c r="O3524">
        <v>6</v>
      </c>
    </row>
    <row r="3525" spans="1:15" x14ac:dyDescent="0.3">
      <c r="A3525" s="1">
        <v>44008</v>
      </c>
      <c r="B3525">
        <v>1000000046</v>
      </c>
      <c r="C3525" t="s">
        <v>42</v>
      </c>
      <c r="D3525">
        <v>1</v>
      </c>
      <c r="E3525">
        <v>1012.18</v>
      </c>
      <c r="F3525" t="s">
        <v>16</v>
      </c>
      <c r="G3525" t="s">
        <v>43</v>
      </c>
      <c r="H3525" t="s">
        <v>30</v>
      </c>
      <c r="I3525" t="s">
        <v>38</v>
      </c>
      <c r="J3525" t="s">
        <v>26</v>
      </c>
      <c r="K3525" t="s">
        <v>39</v>
      </c>
      <c r="L3525" t="s">
        <v>22</v>
      </c>
      <c r="M3525">
        <v>1012.18</v>
      </c>
      <c r="N3525">
        <v>2020</v>
      </c>
      <c r="O3525">
        <v>6</v>
      </c>
    </row>
    <row r="3526" spans="1:15" x14ac:dyDescent="0.3">
      <c r="A3526" s="1">
        <v>44008</v>
      </c>
      <c r="B3526">
        <v>1000000050</v>
      </c>
      <c r="C3526" t="s">
        <v>15</v>
      </c>
      <c r="D3526">
        <v>1</v>
      </c>
      <c r="E3526">
        <v>17000.21</v>
      </c>
      <c r="F3526" t="s">
        <v>16</v>
      </c>
      <c r="G3526" t="s">
        <v>17</v>
      </c>
      <c r="H3526" t="s">
        <v>18</v>
      </c>
      <c r="I3526" t="s">
        <v>40</v>
      </c>
      <c r="J3526" t="s">
        <v>26</v>
      </c>
      <c r="K3526" t="s">
        <v>41</v>
      </c>
      <c r="L3526" t="s">
        <v>22</v>
      </c>
      <c r="M3526">
        <v>17000.21</v>
      </c>
      <c r="N3526">
        <v>2020</v>
      </c>
      <c r="O3526">
        <v>6</v>
      </c>
    </row>
    <row r="3527" spans="1:15" x14ac:dyDescent="0.3">
      <c r="A3527" s="1">
        <v>44008</v>
      </c>
      <c r="B3527">
        <v>1000000052</v>
      </c>
      <c r="C3527" t="s">
        <v>75</v>
      </c>
      <c r="D3527">
        <v>1</v>
      </c>
      <c r="E3527">
        <v>2474.02</v>
      </c>
      <c r="F3527" t="s">
        <v>16</v>
      </c>
      <c r="G3527" t="s">
        <v>76</v>
      </c>
      <c r="H3527" t="s">
        <v>18</v>
      </c>
      <c r="I3527" t="s">
        <v>34</v>
      </c>
      <c r="J3527" t="s">
        <v>20</v>
      </c>
      <c r="K3527" t="s">
        <v>44</v>
      </c>
      <c r="L3527" t="s">
        <v>22</v>
      </c>
      <c r="M3527">
        <v>2474.02</v>
      </c>
      <c r="N3527">
        <v>2020</v>
      </c>
      <c r="O3527">
        <v>6</v>
      </c>
    </row>
    <row r="3528" spans="1:15" x14ac:dyDescent="0.3">
      <c r="A3528" s="1">
        <v>44008</v>
      </c>
      <c r="B3528">
        <v>1000000054</v>
      </c>
      <c r="C3528" t="s">
        <v>73</v>
      </c>
      <c r="D3528">
        <v>1</v>
      </c>
      <c r="E3528">
        <v>1000.31</v>
      </c>
      <c r="F3528" t="s">
        <v>16</v>
      </c>
      <c r="G3528" t="s">
        <v>74</v>
      </c>
      <c r="H3528" t="s">
        <v>18</v>
      </c>
      <c r="I3528" t="s">
        <v>34</v>
      </c>
      <c r="J3528" t="s">
        <v>26</v>
      </c>
      <c r="K3528" t="s">
        <v>35</v>
      </c>
      <c r="L3528" t="s">
        <v>22</v>
      </c>
      <c r="M3528">
        <v>1000.31</v>
      </c>
      <c r="N3528">
        <v>2020</v>
      </c>
      <c r="O3528">
        <v>6</v>
      </c>
    </row>
    <row r="3529" spans="1:15" x14ac:dyDescent="0.3">
      <c r="A3529" s="1">
        <v>44008</v>
      </c>
      <c r="B3529">
        <v>1000000054</v>
      </c>
      <c r="C3529" t="s">
        <v>23</v>
      </c>
      <c r="D3529">
        <v>2</v>
      </c>
      <c r="E3529">
        <v>28000.82</v>
      </c>
      <c r="F3529" t="s">
        <v>16</v>
      </c>
      <c r="G3529" t="s">
        <v>24</v>
      </c>
      <c r="H3529" t="s">
        <v>18</v>
      </c>
      <c r="I3529" t="s">
        <v>34</v>
      </c>
      <c r="J3529" t="s">
        <v>26</v>
      </c>
      <c r="K3529" t="s">
        <v>35</v>
      </c>
      <c r="L3529" t="s">
        <v>22</v>
      </c>
      <c r="M3529">
        <v>14000.41</v>
      </c>
      <c r="N3529">
        <v>2020</v>
      </c>
      <c r="O3529">
        <v>6</v>
      </c>
    </row>
    <row r="3530" spans="1:15" x14ac:dyDescent="0.3">
      <c r="A3530" s="1">
        <v>44008</v>
      </c>
      <c r="B3530">
        <v>1000000056</v>
      </c>
      <c r="C3530" t="s">
        <v>73</v>
      </c>
      <c r="D3530">
        <v>1</v>
      </c>
      <c r="E3530">
        <v>2000.06</v>
      </c>
      <c r="F3530" t="s">
        <v>16</v>
      </c>
      <c r="G3530" t="s">
        <v>74</v>
      </c>
      <c r="H3530" t="s">
        <v>18</v>
      </c>
      <c r="I3530" t="s">
        <v>34</v>
      </c>
      <c r="J3530" t="s">
        <v>26</v>
      </c>
      <c r="K3530" t="s">
        <v>35</v>
      </c>
      <c r="L3530" t="s">
        <v>28</v>
      </c>
      <c r="M3530">
        <v>2000.06</v>
      </c>
      <c r="N3530">
        <v>2020</v>
      </c>
      <c r="O3530">
        <v>6</v>
      </c>
    </row>
    <row r="3531" spans="1:15" x14ac:dyDescent="0.3">
      <c r="A3531" s="1">
        <v>44008</v>
      </c>
      <c r="B3531">
        <v>1000000067</v>
      </c>
      <c r="C3531" t="s">
        <v>23</v>
      </c>
      <c r="D3531">
        <v>2</v>
      </c>
      <c r="E3531">
        <v>8500.74</v>
      </c>
      <c r="F3531" t="s">
        <v>16</v>
      </c>
      <c r="G3531" t="s">
        <v>24</v>
      </c>
      <c r="H3531" t="s">
        <v>18</v>
      </c>
      <c r="I3531" t="s">
        <v>25</v>
      </c>
      <c r="J3531" t="s">
        <v>20</v>
      </c>
      <c r="K3531" t="s">
        <v>51</v>
      </c>
      <c r="L3531" t="s">
        <v>22</v>
      </c>
      <c r="M3531">
        <v>4250.37</v>
      </c>
      <c r="N3531">
        <v>2020</v>
      </c>
      <c r="O3531">
        <v>6</v>
      </c>
    </row>
    <row r="3532" spans="1:15" x14ac:dyDescent="0.3">
      <c r="A3532" s="1">
        <v>44008</v>
      </c>
      <c r="B3532">
        <v>1000000067</v>
      </c>
      <c r="C3532" t="s">
        <v>71</v>
      </c>
      <c r="D3532">
        <v>1</v>
      </c>
      <c r="E3532">
        <v>500.01</v>
      </c>
      <c r="F3532" t="s">
        <v>16</v>
      </c>
      <c r="G3532" t="s">
        <v>72</v>
      </c>
      <c r="H3532" t="s">
        <v>18</v>
      </c>
      <c r="I3532" t="s">
        <v>25</v>
      </c>
      <c r="J3532" t="s">
        <v>20</v>
      </c>
      <c r="K3532" t="s">
        <v>51</v>
      </c>
      <c r="L3532" t="s">
        <v>22</v>
      </c>
      <c r="M3532">
        <v>500.01</v>
      </c>
      <c r="N3532">
        <v>2020</v>
      </c>
      <c r="O3532">
        <v>6</v>
      </c>
    </row>
    <row r="3533" spans="1:15" x14ac:dyDescent="0.3">
      <c r="A3533" s="1">
        <v>44008</v>
      </c>
      <c r="B3533">
        <v>1000000068</v>
      </c>
      <c r="C3533" t="s">
        <v>15</v>
      </c>
      <c r="D3533">
        <v>2</v>
      </c>
      <c r="E3533">
        <v>12000.45</v>
      </c>
      <c r="F3533" t="s">
        <v>16</v>
      </c>
      <c r="G3533" t="s">
        <v>17</v>
      </c>
      <c r="H3533" t="s">
        <v>30</v>
      </c>
      <c r="I3533" t="s">
        <v>55</v>
      </c>
      <c r="J3533" t="s">
        <v>26</v>
      </c>
      <c r="K3533" t="s">
        <v>56</v>
      </c>
      <c r="L3533" t="s">
        <v>28</v>
      </c>
      <c r="M3533">
        <v>6000.2250000000004</v>
      </c>
      <c r="N3533">
        <v>2020</v>
      </c>
      <c r="O3533">
        <v>6</v>
      </c>
    </row>
    <row r="3534" spans="1:15" x14ac:dyDescent="0.3">
      <c r="A3534" s="1">
        <v>44008</v>
      </c>
      <c r="B3534">
        <v>1000000068</v>
      </c>
      <c r="C3534" t="s">
        <v>42</v>
      </c>
      <c r="D3534">
        <v>1</v>
      </c>
      <c r="E3534">
        <v>1500.09</v>
      </c>
      <c r="F3534" t="s">
        <v>16</v>
      </c>
      <c r="G3534" t="s">
        <v>43</v>
      </c>
      <c r="H3534" t="s">
        <v>30</v>
      </c>
      <c r="I3534" t="s">
        <v>55</v>
      </c>
      <c r="J3534" t="s">
        <v>26</v>
      </c>
      <c r="K3534" t="s">
        <v>56</v>
      </c>
      <c r="L3534" t="s">
        <v>28</v>
      </c>
      <c r="M3534">
        <v>1500.09</v>
      </c>
      <c r="N3534">
        <v>2020</v>
      </c>
      <c r="O3534">
        <v>6</v>
      </c>
    </row>
    <row r="3535" spans="1:15" x14ac:dyDescent="0.3">
      <c r="A3535" s="1">
        <v>44008</v>
      </c>
      <c r="B3535">
        <v>1000000104</v>
      </c>
      <c r="C3535" t="s">
        <v>15</v>
      </c>
      <c r="D3535">
        <v>1</v>
      </c>
      <c r="E3535">
        <v>5500.43</v>
      </c>
      <c r="F3535" t="s">
        <v>16</v>
      </c>
      <c r="G3535" t="s">
        <v>17</v>
      </c>
      <c r="H3535" t="s">
        <v>18</v>
      </c>
      <c r="I3535" t="s">
        <v>40</v>
      </c>
      <c r="J3535" t="s">
        <v>26</v>
      </c>
      <c r="K3535" t="s">
        <v>41</v>
      </c>
      <c r="L3535" t="s">
        <v>22</v>
      </c>
      <c r="M3535">
        <v>5500.43</v>
      </c>
      <c r="N3535">
        <v>2020</v>
      </c>
      <c r="O3535">
        <v>6</v>
      </c>
    </row>
    <row r="3536" spans="1:15" x14ac:dyDescent="0.3">
      <c r="A3536" s="1">
        <v>44008</v>
      </c>
      <c r="B3536">
        <v>1000000104</v>
      </c>
      <c r="C3536" t="s">
        <v>42</v>
      </c>
      <c r="D3536">
        <v>1</v>
      </c>
      <c r="E3536">
        <v>9000.6</v>
      </c>
      <c r="F3536" t="s">
        <v>16</v>
      </c>
      <c r="G3536" t="s">
        <v>43</v>
      </c>
      <c r="H3536" t="s">
        <v>18</v>
      </c>
      <c r="I3536" t="s">
        <v>40</v>
      </c>
      <c r="J3536" t="s">
        <v>26</v>
      </c>
      <c r="K3536" t="s">
        <v>41</v>
      </c>
      <c r="L3536" t="s">
        <v>22</v>
      </c>
      <c r="M3536">
        <v>9000.6</v>
      </c>
      <c r="N3536">
        <v>2020</v>
      </c>
      <c r="O3536">
        <v>6</v>
      </c>
    </row>
    <row r="3537" spans="1:15" x14ac:dyDescent="0.3">
      <c r="A3537" s="1">
        <v>44008</v>
      </c>
      <c r="B3537">
        <v>1000000266</v>
      </c>
      <c r="C3537" t="s">
        <v>23</v>
      </c>
      <c r="D3537">
        <v>1</v>
      </c>
      <c r="E3537">
        <v>19999.96</v>
      </c>
      <c r="F3537" t="s">
        <v>16</v>
      </c>
      <c r="G3537" t="s">
        <v>24</v>
      </c>
      <c r="H3537" t="s">
        <v>30</v>
      </c>
      <c r="I3537" t="s">
        <v>55</v>
      </c>
      <c r="J3537" t="s">
        <v>26</v>
      </c>
      <c r="K3537" t="s">
        <v>56</v>
      </c>
      <c r="L3537" t="s">
        <v>22</v>
      </c>
      <c r="M3537">
        <v>19999.96</v>
      </c>
      <c r="N3537">
        <v>2020</v>
      </c>
      <c r="O3537">
        <v>6</v>
      </c>
    </row>
    <row r="3538" spans="1:15" x14ac:dyDescent="0.3">
      <c r="A3538" s="1">
        <v>44008</v>
      </c>
      <c r="B3538">
        <v>1000000266</v>
      </c>
      <c r="C3538" t="s">
        <v>15</v>
      </c>
      <c r="D3538">
        <v>1</v>
      </c>
      <c r="E3538">
        <v>10000.36</v>
      </c>
      <c r="F3538" t="s">
        <v>16</v>
      </c>
      <c r="G3538" t="s">
        <v>17</v>
      </c>
      <c r="H3538" t="s">
        <v>30</v>
      </c>
      <c r="I3538" t="s">
        <v>55</v>
      </c>
      <c r="J3538" t="s">
        <v>26</v>
      </c>
      <c r="K3538" t="s">
        <v>56</v>
      </c>
      <c r="L3538" t="s">
        <v>22</v>
      </c>
      <c r="M3538">
        <v>10000.36</v>
      </c>
      <c r="N3538">
        <v>2020</v>
      </c>
      <c r="O3538">
        <v>6</v>
      </c>
    </row>
    <row r="3539" spans="1:15" x14ac:dyDescent="0.3">
      <c r="A3539" s="1">
        <v>44008</v>
      </c>
      <c r="B3539">
        <v>1000000566</v>
      </c>
      <c r="C3539" t="s">
        <v>23</v>
      </c>
      <c r="D3539">
        <v>1</v>
      </c>
      <c r="E3539">
        <v>11000.08</v>
      </c>
      <c r="F3539" t="s">
        <v>16</v>
      </c>
      <c r="G3539" t="s">
        <v>24</v>
      </c>
      <c r="H3539" t="s">
        <v>47</v>
      </c>
      <c r="I3539" t="s">
        <v>48</v>
      </c>
      <c r="J3539" t="s">
        <v>36</v>
      </c>
      <c r="K3539" t="s">
        <v>49</v>
      </c>
      <c r="L3539" t="s">
        <v>22</v>
      </c>
      <c r="M3539">
        <v>11000.08</v>
      </c>
      <c r="N3539">
        <v>2020</v>
      </c>
      <c r="O3539">
        <v>6</v>
      </c>
    </row>
    <row r="3540" spans="1:15" x14ac:dyDescent="0.3">
      <c r="A3540" s="1">
        <v>44008</v>
      </c>
      <c r="B3540">
        <v>1000000566</v>
      </c>
      <c r="C3540" t="s">
        <v>15</v>
      </c>
      <c r="D3540">
        <v>1</v>
      </c>
      <c r="E3540">
        <v>4999.99</v>
      </c>
      <c r="F3540" t="s">
        <v>16</v>
      </c>
      <c r="G3540" t="s">
        <v>17</v>
      </c>
      <c r="H3540" t="s">
        <v>47</v>
      </c>
      <c r="I3540" t="s">
        <v>48</v>
      </c>
      <c r="J3540" t="s">
        <v>36</v>
      </c>
      <c r="K3540" t="s">
        <v>49</v>
      </c>
      <c r="L3540" t="s">
        <v>22</v>
      </c>
      <c r="M3540">
        <v>4999.99</v>
      </c>
      <c r="N3540">
        <v>2020</v>
      </c>
      <c r="O3540">
        <v>6</v>
      </c>
    </row>
    <row r="3541" spans="1:15" x14ac:dyDescent="0.3">
      <c r="A3541" s="1">
        <v>44008</v>
      </c>
      <c r="B3541">
        <v>1000000594</v>
      </c>
      <c r="C3541" t="s">
        <v>15</v>
      </c>
      <c r="D3541">
        <v>3</v>
      </c>
      <c r="E3541">
        <v>64000.99</v>
      </c>
      <c r="F3541" t="s">
        <v>16</v>
      </c>
      <c r="G3541" t="s">
        <v>17</v>
      </c>
      <c r="H3541" t="s">
        <v>18</v>
      </c>
      <c r="I3541" t="s">
        <v>25</v>
      </c>
      <c r="J3541" t="s">
        <v>20</v>
      </c>
      <c r="K3541" t="s">
        <v>51</v>
      </c>
      <c r="L3541" t="s">
        <v>22</v>
      </c>
      <c r="M3541">
        <v>21333.663333333334</v>
      </c>
      <c r="N3541">
        <v>2020</v>
      </c>
      <c r="O3541">
        <v>6</v>
      </c>
    </row>
    <row r="3542" spans="1:15" x14ac:dyDescent="0.3">
      <c r="A3542" s="1">
        <v>44008</v>
      </c>
      <c r="B3542">
        <v>1000000928</v>
      </c>
      <c r="C3542" t="s">
        <v>23</v>
      </c>
      <c r="D3542">
        <v>1</v>
      </c>
      <c r="E3542">
        <v>18000.5</v>
      </c>
      <c r="F3542" t="s">
        <v>16</v>
      </c>
      <c r="G3542" t="s">
        <v>24</v>
      </c>
      <c r="H3542" t="s">
        <v>30</v>
      </c>
      <c r="I3542" t="s">
        <v>57</v>
      </c>
      <c r="J3542" t="s">
        <v>26</v>
      </c>
      <c r="K3542" t="s">
        <v>58</v>
      </c>
      <c r="L3542" t="s">
        <v>22</v>
      </c>
      <c r="M3542">
        <v>18000.5</v>
      </c>
      <c r="N3542">
        <v>2020</v>
      </c>
      <c r="O3542">
        <v>6</v>
      </c>
    </row>
    <row r="3543" spans="1:15" x14ac:dyDescent="0.3">
      <c r="A3543" s="1">
        <v>44008</v>
      </c>
      <c r="B3543">
        <v>1000000928</v>
      </c>
      <c r="C3543" t="s">
        <v>71</v>
      </c>
      <c r="D3543">
        <v>1</v>
      </c>
      <c r="E3543">
        <v>539.99</v>
      </c>
      <c r="F3543" t="s">
        <v>16</v>
      </c>
      <c r="G3543" t="s">
        <v>72</v>
      </c>
      <c r="H3543" t="s">
        <v>30</v>
      </c>
      <c r="I3543" t="s">
        <v>57</v>
      </c>
      <c r="J3543" t="s">
        <v>26</v>
      </c>
      <c r="K3543" t="s">
        <v>58</v>
      </c>
      <c r="L3543" t="s">
        <v>22</v>
      </c>
      <c r="M3543">
        <v>539.99</v>
      </c>
      <c r="N3543">
        <v>2020</v>
      </c>
      <c r="O3543">
        <v>6</v>
      </c>
    </row>
    <row r="3544" spans="1:15" x14ac:dyDescent="0.3">
      <c r="A3544" s="1">
        <v>44008</v>
      </c>
      <c r="B3544">
        <v>1000001524</v>
      </c>
      <c r="C3544" t="s">
        <v>23</v>
      </c>
      <c r="D3544">
        <v>1</v>
      </c>
      <c r="E3544">
        <v>30000.03</v>
      </c>
      <c r="F3544" t="s">
        <v>16</v>
      </c>
      <c r="G3544" t="s">
        <v>24</v>
      </c>
      <c r="H3544" t="s">
        <v>18</v>
      </c>
      <c r="I3544" t="s">
        <v>25</v>
      </c>
      <c r="J3544" t="s">
        <v>20</v>
      </c>
      <c r="K3544" t="s">
        <v>51</v>
      </c>
      <c r="L3544" t="s">
        <v>22</v>
      </c>
      <c r="M3544">
        <v>30000.03</v>
      </c>
      <c r="N3544">
        <v>2020</v>
      </c>
      <c r="O3544">
        <v>6</v>
      </c>
    </row>
    <row r="3545" spans="1:15" x14ac:dyDescent="0.3">
      <c r="A3545" s="1">
        <v>44008</v>
      </c>
      <c r="B3545">
        <v>1000002134</v>
      </c>
      <c r="C3545" t="s">
        <v>42</v>
      </c>
      <c r="D3545">
        <v>1</v>
      </c>
      <c r="E3545">
        <v>20000.07</v>
      </c>
      <c r="F3545" t="s">
        <v>16</v>
      </c>
      <c r="G3545" t="s">
        <v>43</v>
      </c>
      <c r="H3545" t="s">
        <v>18</v>
      </c>
      <c r="I3545" t="s">
        <v>40</v>
      </c>
      <c r="J3545" t="s">
        <v>20</v>
      </c>
      <c r="K3545" t="s">
        <v>68</v>
      </c>
      <c r="L3545" t="s">
        <v>22</v>
      </c>
      <c r="M3545">
        <v>20000.07</v>
      </c>
      <c r="N3545">
        <v>2020</v>
      </c>
      <c r="O3545">
        <v>6</v>
      </c>
    </row>
    <row r="3546" spans="1:15" x14ac:dyDescent="0.3">
      <c r="A3546" s="1">
        <v>44008</v>
      </c>
      <c r="B3546">
        <v>1000002861</v>
      </c>
      <c r="C3546" t="s">
        <v>15</v>
      </c>
      <c r="D3546">
        <v>1</v>
      </c>
      <c r="E3546">
        <v>11000.43</v>
      </c>
      <c r="F3546" t="s">
        <v>16</v>
      </c>
      <c r="G3546" t="s">
        <v>17</v>
      </c>
      <c r="H3546" t="s">
        <v>47</v>
      </c>
      <c r="I3546" t="s">
        <v>48</v>
      </c>
      <c r="J3546" t="s">
        <v>36</v>
      </c>
      <c r="K3546" t="s">
        <v>49</v>
      </c>
      <c r="L3546" t="s">
        <v>22</v>
      </c>
      <c r="M3546">
        <v>11000.43</v>
      </c>
      <c r="N3546">
        <v>2020</v>
      </c>
      <c r="O3546">
        <v>6</v>
      </c>
    </row>
    <row r="3547" spans="1:15" x14ac:dyDescent="0.3">
      <c r="A3547" s="1">
        <v>44008</v>
      </c>
      <c r="B3547">
        <v>1000002861</v>
      </c>
      <c r="C3547" t="s">
        <v>42</v>
      </c>
      <c r="D3547">
        <v>1</v>
      </c>
      <c r="E3547">
        <v>18000.32</v>
      </c>
      <c r="F3547" t="s">
        <v>16</v>
      </c>
      <c r="G3547" t="s">
        <v>43</v>
      </c>
      <c r="H3547" t="s">
        <v>47</v>
      </c>
      <c r="I3547" t="s">
        <v>48</v>
      </c>
      <c r="J3547" t="s">
        <v>36</v>
      </c>
      <c r="K3547" t="s">
        <v>49</v>
      </c>
      <c r="L3547" t="s">
        <v>22</v>
      </c>
      <c r="M3547">
        <v>18000.32</v>
      </c>
      <c r="N3547">
        <v>2020</v>
      </c>
      <c r="O3547">
        <v>6</v>
      </c>
    </row>
    <row r="3548" spans="1:15" x14ac:dyDescent="0.3">
      <c r="A3548" s="1">
        <v>44008</v>
      </c>
      <c r="B3548">
        <v>1000003489</v>
      </c>
      <c r="C3548" t="s">
        <v>42</v>
      </c>
      <c r="D3548">
        <v>1</v>
      </c>
      <c r="E3548">
        <v>15000.71</v>
      </c>
      <c r="F3548" t="s">
        <v>16</v>
      </c>
      <c r="G3548" t="s">
        <v>43</v>
      </c>
      <c r="H3548" t="s">
        <v>47</v>
      </c>
      <c r="I3548" t="s">
        <v>48</v>
      </c>
      <c r="J3548" t="s">
        <v>26</v>
      </c>
      <c r="K3548" t="s">
        <v>50</v>
      </c>
      <c r="L3548" t="s">
        <v>22</v>
      </c>
      <c r="M3548">
        <v>15000.71</v>
      </c>
      <c r="N3548">
        <v>2020</v>
      </c>
      <c r="O3548">
        <v>6</v>
      </c>
    </row>
    <row r="3549" spans="1:15" x14ac:dyDescent="0.3">
      <c r="A3549" s="1">
        <v>44008</v>
      </c>
      <c r="B3549">
        <v>1000003926</v>
      </c>
      <c r="C3549" t="s">
        <v>23</v>
      </c>
      <c r="D3549">
        <v>2</v>
      </c>
      <c r="E3549">
        <v>37000.6</v>
      </c>
      <c r="F3549" t="s">
        <v>16</v>
      </c>
      <c r="G3549" t="s">
        <v>24</v>
      </c>
      <c r="H3549" t="s">
        <v>47</v>
      </c>
      <c r="I3549" t="s">
        <v>48</v>
      </c>
      <c r="J3549" t="s">
        <v>26</v>
      </c>
      <c r="K3549" t="s">
        <v>50</v>
      </c>
      <c r="L3549" t="s">
        <v>28</v>
      </c>
      <c r="M3549">
        <v>18500.3</v>
      </c>
      <c r="N3549">
        <v>2020</v>
      </c>
      <c r="O3549">
        <v>6</v>
      </c>
    </row>
    <row r="3550" spans="1:15" x14ac:dyDescent="0.3">
      <c r="A3550" s="1">
        <v>44008</v>
      </c>
      <c r="B3550">
        <v>1000003926</v>
      </c>
      <c r="C3550" t="s">
        <v>15</v>
      </c>
      <c r="D3550">
        <v>1</v>
      </c>
      <c r="E3550">
        <v>12999.98</v>
      </c>
      <c r="F3550" t="s">
        <v>16</v>
      </c>
      <c r="G3550" t="s">
        <v>17</v>
      </c>
      <c r="H3550" t="s">
        <v>47</v>
      </c>
      <c r="I3550" t="s">
        <v>48</v>
      </c>
      <c r="J3550" t="s">
        <v>26</v>
      </c>
      <c r="K3550" t="s">
        <v>50</v>
      </c>
      <c r="L3550" t="s">
        <v>28</v>
      </c>
      <c r="M3550">
        <v>12999.98</v>
      </c>
      <c r="N3550">
        <v>2020</v>
      </c>
      <c r="O3550">
        <v>6</v>
      </c>
    </row>
    <row r="3551" spans="1:15" x14ac:dyDescent="0.3">
      <c r="A3551" s="1">
        <v>44008</v>
      </c>
      <c r="B3551">
        <v>1000003989</v>
      </c>
      <c r="C3551" t="s">
        <v>15</v>
      </c>
      <c r="D3551">
        <v>1</v>
      </c>
      <c r="E3551">
        <v>15000.31</v>
      </c>
      <c r="F3551" t="s">
        <v>16</v>
      </c>
      <c r="G3551" t="s">
        <v>17</v>
      </c>
      <c r="H3551" t="s">
        <v>30</v>
      </c>
      <c r="I3551" t="s">
        <v>31</v>
      </c>
      <c r="J3551" t="s">
        <v>36</v>
      </c>
      <c r="K3551" t="s">
        <v>52</v>
      </c>
      <c r="L3551" t="s">
        <v>22</v>
      </c>
      <c r="M3551">
        <v>15000.31</v>
      </c>
      <c r="N3551">
        <v>2020</v>
      </c>
      <c r="O3551">
        <v>6</v>
      </c>
    </row>
    <row r="3552" spans="1:15" x14ac:dyDescent="0.3">
      <c r="A3552" s="1">
        <v>44008</v>
      </c>
      <c r="B3552">
        <v>1000004256</v>
      </c>
      <c r="C3552" t="s">
        <v>15</v>
      </c>
      <c r="D3552">
        <v>1</v>
      </c>
      <c r="E3552">
        <v>10000.6</v>
      </c>
      <c r="F3552" t="s">
        <v>16</v>
      </c>
      <c r="G3552" t="s">
        <v>17</v>
      </c>
      <c r="H3552" t="s">
        <v>18</v>
      </c>
      <c r="I3552" t="s">
        <v>40</v>
      </c>
      <c r="J3552" t="s">
        <v>26</v>
      </c>
      <c r="K3552" t="s">
        <v>41</v>
      </c>
      <c r="L3552" t="s">
        <v>22</v>
      </c>
      <c r="M3552">
        <v>10000.6</v>
      </c>
      <c r="N3552">
        <v>2020</v>
      </c>
      <c r="O3552">
        <v>6</v>
      </c>
    </row>
    <row r="3553" spans="1:15" x14ac:dyDescent="0.3">
      <c r="A3553" s="1">
        <v>44008</v>
      </c>
      <c r="B3553">
        <v>1000004256</v>
      </c>
      <c r="C3553" t="s">
        <v>42</v>
      </c>
      <c r="D3553">
        <v>1</v>
      </c>
      <c r="E3553">
        <v>20000.34</v>
      </c>
      <c r="F3553" t="s">
        <v>16</v>
      </c>
      <c r="G3553" t="s">
        <v>43</v>
      </c>
      <c r="H3553" t="s">
        <v>18</v>
      </c>
      <c r="I3553" t="s">
        <v>40</v>
      </c>
      <c r="J3553" t="s">
        <v>26</v>
      </c>
      <c r="K3553" t="s">
        <v>41</v>
      </c>
      <c r="L3553" t="s">
        <v>22</v>
      </c>
      <c r="M3553">
        <v>20000.34</v>
      </c>
      <c r="N3553">
        <v>2020</v>
      </c>
      <c r="O3553">
        <v>6</v>
      </c>
    </row>
    <row r="3554" spans="1:15" x14ac:dyDescent="0.3">
      <c r="A3554" s="1">
        <v>44008</v>
      </c>
      <c r="B3554">
        <v>1000006698</v>
      </c>
      <c r="C3554" t="s">
        <v>23</v>
      </c>
      <c r="D3554">
        <v>1</v>
      </c>
      <c r="E3554">
        <v>10000.59</v>
      </c>
      <c r="F3554" t="s">
        <v>16</v>
      </c>
      <c r="G3554" t="s">
        <v>24</v>
      </c>
      <c r="H3554" t="s">
        <v>30</v>
      </c>
      <c r="I3554" t="s">
        <v>38</v>
      </c>
      <c r="J3554" t="s">
        <v>26</v>
      </c>
      <c r="K3554" t="s">
        <v>39</v>
      </c>
      <c r="L3554" t="s">
        <v>28</v>
      </c>
      <c r="M3554">
        <v>10000.59</v>
      </c>
      <c r="N3554">
        <v>2020</v>
      </c>
      <c r="O3554">
        <v>6</v>
      </c>
    </row>
    <row r="3555" spans="1:15" x14ac:dyDescent="0.3">
      <c r="A3555" s="1">
        <v>44008</v>
      </c>
      <c r="B3555">
        <v>1000006698</v>
      </c>
      <c r="C3555" t="s">
        <v>15</v>
      </c>
      <c r="D3555">
        <v>1</v>
      </c>
      <c r="E3555">
        <v>7500.33</v>
      </c>
      <c r="F3555" t="s">
        <v>16</v>
      </c>
      <c r="G3555" t="s">
        <v>17</v>
      </c>
      <c r="H3555" t="s">
        <v>30</v>
      </c>
      <c r="I3555" t="s">
        <v>38</v>
      </c>
      <c r="J3555" t="s">
        <v>26</v>
      </c>
      <c r="K3555" t="s">
        <v>39</v>
      </c>
      <c r="L3555" t="s">
        <v>28</v>
      </c>
      <c r="M3555">
        <v>7500.33</v>
      </c>
      <c r="N3555">
        <v>2020</v>
      </c>
      <c r="O3555">
        <v>6</v>
      </c>
    </row>
    <row r="3556" spans="1:15" x14ac:dyDescent="0.3">
      <c r="A3556" s="1">
        <v>44008</v>
      </c>
      <c r="B3556">
        <v>1000008228</v>
      </c>
      <c r="C3556" t="s">
        <v>23</v>
      </c>
      <c r="D3556">
        <v>1</v>
      </c>
      <c r="E3556">
        <v>6000.11</v>
      </c>
      <c r="F3556" t="s">
        <v>16</v>
      </c>
      <c r="G3556" t="s">
        <v>24</v>
      </c>
      <c r="H3556" t="s">
        <v>30</v>
      </c>
      <c r="I3556" t="s">
        <v>31</v>
      </c>
      <c r="J3556" t="s">
        <v>36</v>
      </c>
      <c r="K3556" t="s">
        <v>52</v>
      </c>
      <c r="L3556" t="s">
        <v>22</v>
      </c>
      <c r="M3556">
        <v>6000.11</v>
      </c>
      <c r="N3556">
        <v>2020</v>
      </c>
      <c r="O3556">
        <v>6</v>
      </c>
    </row>
    <row r="3557" spans="1:15" x14ac:dyDescent="0.3">
      <c r="A3557" s="1">
        <v>44008</v>
      </c>
      <c r="B3557">
        <v>1000008239</v>
      </c>
      <c r="C3557" t="s">
        <v>23</v>
      </c>
      <c r="D3557">
        <v>1</v>
      </c>
      <c r="E3557">
        <v>9000.1200000000008</v>
      </c>
      <c r="F3557" t="s">
        <v>16</v>
      </c>
      <c r="G3557" t="s">
        <v>24</v>
      </c>
      <c r="H3557" t="s">
        <v>18</v>
      </c>
      <c r="I3557" t="s">
        <v>61</v>
      </c>
      <c r="J3557" t="s">
        <v>26</v>
      </c>
      <c r="K3557" t="s">
        <v>62</v>
      </c>
      <c r="L3557" t="s">
        <v>28</v>
      </c>
      <c r="M3557">
        <v>9000.1200000000008</v>
      </c>
      <c r="N3557">
        <v>2020</v>
      </c>
      <c r="O3557">
        <v>6</v>
      </c>
    </row>
    <row r="3558" spans="1:15" x14ac:dyDescent="0.3">
      <c r="A3558" s="1">
        <v>44008</v>
      </c>
      <c r="B3558">
        <v>1000008239</v>
      </c>
      <c r="C3558" t="s">
        <v>15</v>
      </c>
      <c r="D3558">
        <v>1</v>
      </c>
      <c r="E3558">
        <v>13000.69</v>
      </c>
      <c r="F3558" t="s">
        <v>16</v>
      </c>
      <c r="G3558" t="s">
        <v>17</v>
      </c>
      <c r="H3558" t="s">
        <v>18</v>
      </c>
      <c r="I3558" t="s">
        <v>61</v>
      </c>
      <c r="J3558" t="s">
        <v>26</v>
      </c>
      <c r="K3558" t="s">
        <v>62</v>
      </c>
      <c r="L3558" t="s">
        <v>28</v>
      </c>
      <c r="M3558">
        <v>13000.69</v>
      </c>
      <c r="N3558">
        <v>2020</v>
      </c>
      <c r="O3558">
        <v>6</v>
      </c>
    </row>
    <row r="3559" spans="1:15" x14ac:dyDescent="0.3">
      <c r="A3559" s="1">
        <v>44008</v>
      </c>
      <c r="B3559">
        <v>1000008542</v>
      </c>
      <c r="C3559" t="s">
        <v>23</v>
      </c>
      <c r="D3559">
        <v>1</v>
      </c>
      <c r="E3559">
        <v>1500.67</v>
      </c>
      <c r="F3559" t="s">
        <v>16</v>
      </c>
      <c r="G3559" t="s">
        <v>24</v>
      </c>
      <c r="H3559" t="s">
        <v>18</v>
      </c>
      <c r="I3559" t="s">
        <v>40</v>
      </c>
      <c r="J3559" t="s">
        <v>26</v>
      </c>
      <c r="K3559" t="s">
        <v>41</v>
      </c>
      <c r="L3559" t="s">
        <v>22</v>
      </c>
      <c r="M3559">
        <v>1500.67</v>
      </c>
      <c r="N3559">
        <v>2020</v>
      </c>
      <c r="O3559">
        <v>6</v>
      </c>
    </row>
    <row r="3560" spans="1:15" x14ac:dyDescent="0.3">
      <c r="A3560" s="1">
        <v>44008</v>
      </c>
      <c r="B3560">
        <v>1000008957</v>
      </c>
      <c r="C3560" t="s">
        <v>53</v>
      </c>
      <c r="D3560">
        <v>1</v>
      </c>
      <c r="E3560">
        <v>738.3</v>
      </c>
      <c r="F3560" t="s">
        <v>46</v>
      </c>
      <c r="G3560" t="s">
        <v>17</v>
      </c>
      <c r="H3560" t="s">
        <v>18</v>
      </c>
      <c r="I3560" t="s">
        <v>34</v>
      </c>
      <c r="J3560" t="s">
        <v>20</v>
      </c>
      <c r="K3560" t="s">
        <v>44</v>
      </c>
      <c r="L3560" t="s">
        <v>22</v>
      </c>
      <c r="M3560">
        <v>738.3</v>
      </c>
      <c r="N3560">
        <v>2020</v>
      </c>
      <c r="O3560">
        <v>6</v>
      </c>
    </row>
    <row r="3561" spans="1:15" x14ac:dyDescent="0.3">
      <c r="A3561" s="1">
        <v>44008</v>
      </c>
      <c r="B3561">
        <v>1000008957</v>
      </c>
      <c r="C3561" t="s">
        <v>71</v>
      </c>
      <c r="D3561">
        <v>1</v>
      </c>
      <c r="E3561">
        <v>552.05999999999995</v>
      </c>
      <c r="F3561" t="s">
        <v>16</v>
      </c>
      <c r="G3561" t="s">
        <v>72</v>
      </c>
      <c r="H3561" t="s">
        <v>18</v>
      </c>
      <c r="I3561" t="s">
        <v>34</v>
      </c>
      <c r="J3561" t="s">
        <v>20</v>
      </c>
      <c r="K3561" t="s">
        <v>44</v>
      </c>
      <c r="L3561" t="s">
        <v>22</v>
      </c>
      <c r="M3561">
        <v>552.05999999999995</v>
      </c>
      <c r="N3561">
        <v>2020</v>
      </c>
      <c r="O3561">
        <v>6</v>
      </c>
    </row>
    <row r="3562" spans="1:15" x14ac:dyDescent="0.3">
      <c r="A3562" s="1">
        <v>44008</v>
      </c>
      <c r="B3562">
        <v>1000010814</v>
      </c>
      <c r="C3562" t="s">
        <v>23</v>
      </c>
      <c r="D3562">
        <v>1</v>
      </c>
      <c r="E3562">
        <v>11000.69</v>
      </c>
      <c r="F3562" t="s">
        <v>16</v>
      </c>
      <c r="G3562" t="s">
        <v>24</v>
      </c>
      <c r="H3562" t="s">
        <v>18</v>
      </c>
      <c r="I3562" t="s">
        <v>61</v>
      </c>
      <c r="J3562" t="s">
        <v>32</v>
      </c>
      <c r="K3562" t="s">
        <v>63</v>
      </c>
      <c r="L3562" t="s">
        <v>22</v>
      </c>
      <c r="M3562">
        <v>11000.69</v>
      </c>
      <c r="N3562">
        <v>2020</v>
      </c>
      <c r="O3562">
        <v>6</v>
      </c>
    </row>
    <row r="3563" spans="1:15" x14ac:dyDescent="0.3">
      <c r="A3563" s="1">
        <v>44008</v>
      </c>
      <c r="B3563">
        <v>1000010881</v>
      </c>
      <c r="C3563" t="s">
        <v>23</v>
      </c>
      <c r="D3563">
        <v>1</v>
      </c>
      <c r="E3563">
        <v>10000.23</v>
      </c>
      <c r="F3563" t="s">
        <v>16</v>
      </c>
      <c r="G3563" t="s">
        <v>24</v>
      </c>
      <c r="H3563" t="s">
        <v>47</v>
      </c>
      <c r="I3563" t="s">
        <v>48</v>
      </c>
      <c r="J3563" t="s">
        <v>26</v>
      </c>
      <c r="K3563" t="s">
        <v>50</v>
      </c>
      <c r="L3563" t="s">
        <v>22</v>
      </c>
      <c r="M3563">
        <v>10000.23</v>
      </c>
      <c r="N3563">
        <v>2020</v>
      </c>
      <c r="O3563">
        <v>6</v>
      </c>
    </row>
    <row r="3564" spans="1:15" x14ac:dyDescent="0.3">
      <c r="A3564" s="1">
        <v>44008</v>
      </c>
      <c r="B3564">
        <v>1000011697</v>
      </c>
      <c r="C3564" t="s">
        <v>23</v>
      </c>
      <c r="D3564">
        <v>3</v>
      </c>
      <c r="E3564">
        <v>28502.51</v>
      </c>
      <c r="F3564" t="s">
        <v>16</v>
      </c>
      <c r="G3564" t="s">
        <v>24</v>
      </c>
      <c r="H3564" t="s">
        <v>18</v>
      </c>
      <c r="I3564" t="s">
        <v>34</v>
      </c>
      <c r="J3564" t="s">
        <v>20</v>
      </c>
      <c r="K3564" t="s">
        <v>44</v>
      </c>
      <c r="L3564" t="s">
        <v>22</v>
      </c>
      <c r="M3564">
        <v>9500.8366666666661</v>
      </c>
      <c r="N3564">
        <v>2020</v>
      </c>
      <c r="O3564">
        <v>6</v>
      </c>
    </row>
    <row r="3565" spans="1:15" x14ac:dyDescent="0.3">
      <c r="A3565" s="1">
        <v>44008</v>
      </c>
      <c r="B3565">
        <v>1000011697</v>
      </c>
      <c r="C3565" t="s">
        <v>42</v>
      </c>
      <c r="D3565">
        <v>1</v>
      </c>
      <c r="E3565">
        <v>6501.3</v>
      </c>
      <c r="F3565" t="s">
        <v>16</v>
      </c>
      <c r="G3565" t="s">
        <v>43</v>
      </c>
      <c r="H3565" t="s">
        <v>18</v>
      </c>
      <c r="I3565" t="s">
        <v>34</v>
      </c>
      <c r="J3565" t="s">
        <v>20</v>
      </c>
      <c r="K3565" t="s">
        <v>44</v>
      </c>
      <c r="L3565" t="s">
        <v>22</v>
      </c>
      <c r="M3565">
        <v>6501.3</v>
      </c>
      <c r="N3565">
        <v>2020</v>
      </c>
      <c r="O3565">
        <v>6</v>
      </c>
    </row>
    <row r="3566" spans="1:15" x14ac:dyDescent="0.3">
      <c r="A3566" s="1">
        <v>44008</v>
      </c>
      <c r="B3566">
        <v>1000011698</v>
      </c>
      <c r="C3566" t="s">
        <v>23</v>
      </c>
      <c r="D3566">
        <v>2</v>
      </c>
      <c r="E3566">
        <v>28000.65</v>
      </c>
      <c r="F3566" t="s">
        <v>16</v>
      </c>
      <c r="G3566" t="s">
        <v>24</v>
      </c>
      <c r="H3566" t="s">
        <v>18</v>
      </c>
      <c r="I3566" t="s">
        <v>34</v>
      </c>
      <c r="J3566" t="s">
        <v>20</v>
      </c>
      <c r="K3566" t="s">
        <v>44</v>
      </c>
      <c r="L3566" t="s">
        <v>22</v>
      </c>
      <c r="M3566">
        <v>14000.325000000001</v>
      </c>
      <c r="N3566">
        <v>2020</v>
      </c>
      <c r="O3566">
        <v>6</v>
      </c>
    </row>
    <row r="3567" spans="1:15" x14ac:dyDescent="0.3">
      <c r="A3567" s="1">
        <v>44008</v>
      </c>
      <c r="B3567">
        <v>1000011828</v>
      </c>
      <c r="C3567" t="s">
        <v>23</v>
      </c>
      <c r="D3567">
        <v>1</v>
      </c>
      <c r="E3567">
        <v>6500.7</v>
      </c>
      <c r="F3567" t="s">
        <v>16</v>
      </c>
      <c r="G3567" t="s">
        <v>24</v>
      </c>
      <c r="H3567" t="s">
        <v>18</v>
      </c>
      <c r="I3567" t="s">
        <v>19</v>
      </c>
      <c r="J3567" t="s">
        <v>20</v>
      </c>
      <c r="K3567" t="s">
        <v>21</v>
      </c>
      <c r="L3567" t="s">
        <v>22</v>
      </c>
      <c r="M3567">
        <v>6500.7</v>
      </c>
      <c r="N3567">
        <v>2020</v>
      </c>
      <c r="O3567">
        <v>6</v>
      </c>
    </row>
    <row r="3568" spans="1:15" x14ac:dyDescent="0.3">
      <c r="A3568" s="1">
        <v>44008</v>
      </c>
      <c r="B3568">
        <v>1000012099</v>
      </c>
      <c r="C3568" t="s">
        <v>15</v>
      </c>
      <c r="D3568">
        <v>2</v>
      </c>
      <c r="E3568">
        <v>30000.3</v>
      </c>
      <c r="F3568" t="s">
        <v>16</v>
      </c>
      <c r="G3568" t="s">
        <v>17</v>
      </c>
      <c r="H3568" t="s">
        <v>18</v>
      </c>
      <c r="I3568" t="s">
        <v>19</v>
      </c>
      <c r="J3568" t="s">
        <v>20</v>
      </c>
      <c r="K3568" t="s">
        <v>21</v>
      </c>
      <c r="L3568" t="s">
        <v>22</v>
      </c>
      <c r="M3568">
        <v>15000.15</v>
      </c>
      <c r="N3568">
        <v>2020</v>
      </c>
      <c r="O3568">
        <v>6</v>
      </c>
    </row>
    <row r="3569" spans="1:15" x14ac:dyDescent="0.3">
      <c r="A3569" s="1">
        <v>44008</v>
      </c>
      <c r="B3569">
        <v>1000012099</v>
      </c>
      <c r="C3569" t="s">
        <v>42</v>
      </c>
      <c r="D3569">
        <v>2</v>
      </c>
      <c r="E3569">
        <v>35001.360000000001</v>
      </c>
      <c r="F3569" t="s">
        <v>16</v>
      </c>
      <c r="G3569" t="s">
        <v>43</v>
      </c>
      <c r="H3569" t="s">
        <v>18</v>
      </c>
      <c r="I3569" t="s">
        <v>19</v>
      </c>
      <c r="J3569" t="s">
        <v>20</v>
      </c>
      <c r="K3569" t="s">
        <v>21</v>
      </c>
      <c r="L3569" t="s">
        <v>22</v>
      </c>
      <c r="M3569">
        <v>17500.68</v>
      </c>
      <c r="N3569">
        <v>2020</v>
      </c>
      <c r="O3569">
        <v>6</v>
      </c>
    </row>
    <row r="3570" spans="1:15" x14ac:dyDescent="0.3">
      <c r="A3570" s="1">
        <v>44008</v>
      </c>
      <c r="B3570">
        <v>1000012112</v>
      </c>
      <c r="C3570" t="s">
        <v>75</v>
      </c>
      <c r="D3570">
        <v>1</v>
      </c>
      <c r="E3570">
        <v>1000.56</v>
      </c>
      <c r="F3570" t="s">
        <v>16</v>
      </c>
      <c r="G3570" t="s">
        <v>76</v>
      </c>
      <c r="H3570" t="s">
        <v>18</v>
      </c>
      <c r="I3570" t="s">
        <v>19</v>
      </c>
      <c r="J3570" t="s">
        <v>36</v>
      </c>
      <c r="K3570" t="s">
        <v>64</v>
      </c>
      <c r="L3570" t="s">
        <v>28</v>
      </c>
      <c r="M3570">
        <v>1000.56</v>
      </c>
      <c r="N3570">
        <v>2020</v>
      </c>
      <c r="O3570">
        <v>6</v>
      </c>
    </row>
    <row r="3571" spans="1:15" x14ac:dyDescent="0.3">
      <c r="A3571" s="1">
        <v>44008</v>
      </c>
      <c r="B3571">
        <v>1000012112</v>
      </c>
      <c r="C3571" t="s">
        <v>23</v>
      </c>
      <c r="D3571">
        <v>2</v>
      </c>
      <c r="E3571">
        <v>24000.43</v>
      </c>
      <c r="F3571" t="s">
        <v>16</v>
      </c>
      <c r="G3571" t="s">
        <v>24</v>
      </c>
      <c r="H3571" t="s">
        <v>18</v>
      </c>
      <c r="I3571" t="s">
        <v>19</v>
      </c>
      <c r="J3571" t="s">
        <v>36</v>
      </c>
      <c r="K3571" t="s">
        <v>64</v>
      </c>
      <c r="L3571" t="s">
        <v>28</v>
      </c>
      <c r="M3571">
        <v>12000.215</v>
      </c>
      <c r="N3571">
        <v>2020</v>
      </c>
      <c r="O3571">
        <v>6</v>
      </c>
    </row>
    <row r="3572" spans="1:15" x14ac:dyDescent="0.3">
      <c r="A3572" s="1">
        <v>44008</v>
      </c>
      <c r="B3572">
        <v>1000012112</v>
      </c>
      <c r="C3572" t="s">
        <v>15</v>
      </c>
      <c r="D3572">
        <v>2</v>
      </c>
      <c r="E3572">
        <v>18500.29</v>
      </c>
      <c r="F3572" t="s">
        <v>16</v>
      </c>
      <c r="G3572" t="s">
        <v>17</v>
      </c>
      <c r="H3572" t="s">
        <v>18</v>
      </c>
      <c r="I3572" t="s">
        <v>19</v>
      </c>
      <c r="J3572" t="s">
        <v>36</v>
      </c>
      <c r="K3572" t="s">
        <v>64</v>
      </c>
      <c r="L3572" t="s">
        <v>28</v>
      </c>
      <c r="M3572">
        <v>9250.1450000000004</v>
      </c>
      <c r="N3572">
        <v>2020</v>
      </c>
      <c r="O3572">
        <v>6</v>
      </c>
    </row>
    <row r="3573" spans="1:15" x14ac:dyDescent="0.3">
      <c r="A3573" s="1">
        <v>44008</v>
      </c>
      <c r="B3573">
        <v>1000012124</v>
      </c>
      <c r="C3573" t="s">
        <v>23</v>
      </c>
      <c r="D3573">
        <v>1</v>
      </c>
      <c r="E3573">
        <v>10000.17</v>
      </c>
      <c r="F3573" t="s">
        <v>16</v>
      </c>
      <c r="G3573" t="s">
        <v>24</v>
      </c>
      <c r="H3573" t="s">
        <v>18</v>
      </c>
      <c r="I3573" t="s">
        <v>19</v>
      </c>
      <c r="J3573" t="s">
        <v>26</v>
      </c>
      <c r="K3573" t="s">
        <v>29</v>
      </c>
      <c r="L3573" t="s">
        <v>22</v>
      </c>
      <c r="M3573">
        <v>10000.17</v>
      </c>
      <c r="N3573">
        <v>2020</v>
      </c>
      <c r="O3573">
        <v>6</v>
      </c>
    </row>
    <row r="3574" spans="1:15" x14ac:dyDescent="0.3">
      <c r="A3574" s="1">
        <v>44008</v>
      </c>
      <c r="B3574">
        <v>1000012124</v>
      </c>
      <c r="C3574" t="s">
        <v>15</v>
      </c>
      <c r="D3574">
        <v>1</v>
      </c>
      <c r="E3574">
        <v>9000.2199999999993</v>
      </c>
      <c r="F3574" t="s">
        <v>16</v>
      </c>
      <c r="G3574" t="s">
        <v>17</v>
      </c>
      <c r="H3574" t="s">
        <v>18</v>
      </c>
      <c r="I3574" t="s">
        <v>19</v>
      </c>
      <c r="J3574" t="s">
        <v>26</v>
      </c>
      <c r="K3574" t="s">
        <v>29</v>
      </c>
      <c r="L3574" t="s">
        <v>22</v>
      </c>
      <c r="M3574">
        <v>9000.2199999999993</v>
      </c>
      <c r="N3574">
        <v>2020</v>
      </c>
      <c r="O3574">
        <v>6</v>
      </c>
    </row>
    <row r="3575" spans="1:15" x14ac:dyDescent="0.3">
      <c r="A3575" s="1">
        <v>44008</v>
      </c>
      <c r="B3575">
        <v>1000012234</v>
      </c>
      <c r="C3575" t="s">
        <v>23</v>
      </c>
      <c r="D3575">
        <v>1</v>
      </c>
      <c r="E3575">
        <v>5000.4399999999996</v>
      </c>
      <c r="F3575" t="s">
        <v>16</v>
      </c>
      <c r="G3575" t="s">
        <v>24</v>
      </c>
      <c r="H3575" t="s">
        <v>18</v>
      </c>
      <c r="I3575" t="s">
        <v>25</v>
      </c>
      <c r="J3575" t="s">
        <v>26</v>
      </c>
      <c r="K3575" t="s">
        <v>27</v>
      </c>
      <c r="L3575" t="s">
        <v>22</v>
      </c>
      <c r="M3575">
        <v>5000.4399999999996</v>
      </c>
      <c r="N3575">
        <v>2020</v>
      </c>
      <c r="O3575">
        <v>6</v>
      </c>
    </row>
    <row r="3576" spans="1:15" x14ac:dyDescent="0.3">
      <c r="A3576" s="1">
        <v>44008</v>
      </c>
      <c r="B3576">
        <v>1000012234</v>
      </c>
      <c r="C3576" t="s">
        <v>15</v>
      </c>
      <c r="D3576">
        <v>2</v>
      </c>
      <c r="E3576">
        <v>20000.940000000002</v>
      </c>
      <c r="F3576" t="s">
        <v>16</v>
      </c>
      <c r="G3576" t="s">
        <v>17</v>
      </c>
      <c r="H3576" t="s">
        <v>18</v>
      </c>
      <c r="I3576" t="s">
        <v>25</v>
      </c>
      <c r="J3576" t="s">
        <v>26</v>
      </c>
      <c r="K3576" t="s">
        <v>27</v>
      </c>
      <c r="L3576" t="s">
        <v>22</v>
      </c>
      <c r="M3576">
        <v>10000.470000000001</v>
      </c>
      <c r="N3576">
        <v>2020</v>
      </c>
      <c r="O3576">
        <v>6</v>
      </c>
    </row>
    <row r="3577" spans="1:15" x14ac:dyDescent="0.3">
      <c r="A3577" s="1">
        <v>44008</v>
      </c>
      <c r="B3577">
        <v>1000012446</v>
      </c>
      <c r="C3577" t="s">
        <v>23</v>
      </c>
      <c r="D3577">
        <v>1</v>
      </c>
      <c r="E3577">
        <v>1499.98</v>
      </c>
      <c r="F3577" t="s">
        <v>16</v>
      </c>
      <c r="G3577" t="s">
        <v>24</v>
      </c>
      <c r="H3577" t="s">
        <v>30</v>
      </c>
      <c r="I3577" t="s">
        <v>31</v>
      </c>
      <c r="J3577" t="s">
        <v>36</v>
      </c>
      <c r="K3577" t="s">
        <v>52</v>
      </c>
      <c r="L3577" t="s">
        <v>22</v>
      </c>
      <c r="M3577">
        <v>1499.98</v>
      </c>
      <c r="N3577">
        <v>2020</v>
      </c>
      <c r="O3577">
        <v>6</v>
      </c>
    </row>
    <row r="3578" spans="1:15" x14ac:dyDescent="0.3">
      <c r="A3578" s="1">
        <v>44008</v>
      </c>
      <c r="B3578">
        <v>1000012446</v>
      </c>
      <c r="C3578" t="s">
        <v>71</v>
      </c>
      <c r="D3578">
        <v>1</v>
      </c>
      <c r="E3578">
        <v>3500.3</v>
      </c>
      <c r="F3578" t="s">
        <v>16</v>
      </c>
      <c r="G3578" t="s">
        <v>72</v>
      </c>
      <c r="H3578" t="s">
        <v>30</v>
      </c>
      <c r="I3578" t="s">
        <v>31</v>
      </c>
      <c r="J3578" t="s">
        <v>36</v>
      </c>
      <c r="K3578" t="s">
        <v>52</v>
      </c>
      <c r="L3578" t="s">
        <v>22</v>
      </c>
      <c r="M3578">
        <v>3500.3</v>
      </c>
      <c r="N3578">
        <v>2020</v>
      </c>
      <c r="O3578">
        <v>6</v>
      </c>
    </row>
    <row r="3579" spans="1:15" x14ac:dyDescent="0.3">
      <c r="A3579" s="1">
        <v>44008</v>
      </c>
      <c r="B3579">
        <v>1000012675</v>
      </c>
      <c r="C3579" t="s">
        <v>23</v>
      </c>
      <c r="D3579">
        <v>2</v>
      </c>
      <c r="E3579">
        <v>17501.13</v>
      </c>
      <c r="F3579" t="s">
        <v>16</v>
      </c>
      <c r="G3579" t="s">
        <v>24</v>
      </c>
      <c r="H3579" t="s">
        <v>18</v>
      </c>
      <c r="I3579" t="s">
        <v>34</v>
      </c>
      <c r="J3579" t="s">
        <v>26</v>
      </c>
      <c r="K3579" t="s">
        <v>35</v>
      </c>
      <c r="L3579" t="s">
        <v>22</v>
      </c>
      <c r="M3579">
        <v>8750.5650000000005</v>
      </c>
      <c r="N3579">
        <v>2020</v>
      </c>
      <c r="O3579">
        <v>6</v>
      </c>
    </row>
    <row r="3580" spans="1:15" x14ac:dyDescent="0.3">
      <c r="A3580" s="1">
        <v>44008</v>
      </c>
      <c r="B3580">
        <v>1000012675</v>
      </c>
      <c r="C3580" t="s">
        <v>15</v>
      </c>
      <c r="D3580">
        <v>1</v>
      </c>
      <c r="E3580">
        <v>10000.74</v>
      </c>
      <c r="F3580" t="s">
        <v>16</v>
      </c>
      <c r="G3580" t="s">
        <v>17</v>
      </c>
      <c r="H3580" t="s">
        <v>18</v>
      </c>
      <c r="I3580" t="s">
        <v>34</v>
      </c>
      <c r="J3580" t="s">
        <v>26</v>
      </c>
      <c r="K3580" t="s">
        <v>35</v>
      </c>
      <c r="L3580" t="s">
        <v>22</v>
      </c>
      <c r="M3580">
        <v>10000.74</v>
      </c>
      <c r="N3580">
        <v>2020</v>
      </c>
      <c r="O3580">
        <v>6</v>
      </c>
    </row>
    <row r="3581" spans="1:15" x14ac:dyDescent="0.3">
      <c r="A3581" s="1">
        <v>44008</v>
      </c>
      <c r="B3581">
        <v>1000013526</v>
      </c>
      <c r="C3581" t="s">
        <v>42</v>
      </c>
      <c r="D3581">
        <v>1</v>
      </c>
      <c r="E3581">
        <v>11000.09</v>
      </c>
      <c r="F3581" t="s">
        <v>16</v>
      </c>
      <c r="G3581" t="s">
        <v>43</v>
      </c>
      <c r="H3581" t="s">
        <v>47</v>
      </c>
      <c r="I3581" t="s">
        <v>65</v>
      </c>
      <c r="J3581" t="s">
        <v>26</v>
      </c>
      <c r="K3581" t="s">
        <v>66</v>
      </c>
      <c r="L3581" t="s">
        <v>22</v>
      </c>
      <c r="M3581">
        <v>11000.09</v>
      </c>
      <c r="N3581">
        <v>2020</v>
      </c>
      <c r="O3581">
        <v>6</v>
      </c>
    </row>
    <row r="3582" spans="1:15" x14ac:dyDescent="0.3">
      <c r="A3582" s="1">
        <v>44008</v>
      </c>
      <c r="B3582">
        <v>1000013607</v>
      </c>
      <c r="C3582" t="s">
        <v>15</v>
      </c>
      <c r="D3582">
        <v>1</v>
      </c>
      <c r="E3582">
        <v>22000.09</v>
      </c>
      <c r="F3582" t="s">
        <v>16</v>
      </c>
      <c r="G3582" t="s">
        <v>17</v>
      </c>
      <c r="H3582" t="s">
        <v>18</v>
      </c>
      <c r="I3582" t="s">
        <v>25</v>
      </c>
      <c r="J3582" t="s">
        <v>26</v>
      </c>
      <c r="K3582" t="s">
        <v>27</v>
      </c>
      <c r="L3582" t="s">
        <v>22</v>
      </c>
      <c r="M3582">
        <v>22000.09</v>
      </c>
      <c r="N3582">
        <v>2020</v>
      </c>
      <c r="O3582">
        <v>6</v>
      </c>
    </row>
    <row r="3583" spans="1:15" x14ac:dyDescent="0.3">
      <c r="A3583" s="1">
        <v>44008</v>
      </c>
      <c r="B3583">
        <v>1000014037</v>
      </c>
      <c r="C3583" t="s">
        <v>15</v>
      </c>
      <c r="D3583">
        <v>1</v>
      </c>
      <c r="E3583">
        <v>4999.93</v>
      </c>
      <c r="F3583" t="s">
        <v>16</v>
      </c>
      <c r="G3583" t="s">
        <v>17</v>
      </c>
      <c r="H3583" t="s">
        <v>18</v>
      </c>
      <c r="I3583" t="s">
        <v>25</v>
      </c>
      <c r="J3583" t="s">
        <v>36</v>
      </c>
      <c r="K3583" t="s">
        <v>37</v>
      </c>
      <c r="L3583" t="s">
        <v>22</v>
      </c>
      <c r="M3583">
        <v>4999.93</v>
      </c>
      <c r="N3583">
        <v>2020</v>
      </c>
      <c r="O3583">
        <v>6</v>
      </c>
    </row>
    <row r="3584" spans="1:15" x14ac:dyDescent="0.3">
      <c r="A3584" s="1">
        <v>44008</v>
      </c>
      <c r="B3584">
        <v>1000014072</v>
      </c>
      <c r="C3584" t="s">
        <v>23</v>
      </c>
      <c r="D3584">
        <v>1</v>
      </c>
      <c r="E3584">
        <v>13000.35</v>
      </c>
      <c r="F3584" t="s">
        <v>16</v>
      </c>
      <c r="G3584" t="s">
        <v>24</v>
      </c>
      <c r="H3584" t="s">
        <v>47</v>
      </c>
      <c r="I3584" t="s">
        <v>65</v>
      </c>
      <c r="J3584" t="s">
        <v>26</v>
      </c>
      <c r="K3584" t="s">
        <v>66</v>
      </c>
      <c r="L3584" t="s">
        <v>22</v>
      </c>
      <c r="M3584">
        <v>13000.35</v>
      </c>
      <c r="N3584">
        <v>2020</v>
      </c>
      <c r="O3584">
        <v>6</v>
      </c>
    </row>
    <row r="3585" spans="1:15" x14ac:dyDescent="0.3">
      <c r="A3585" s="1">
        <v>44008</v>
      </c>
      <c r="B3585">
        <v>1000014072</v>
      </c>
      <c r="C3585" t="s">
        <v>15</v>
      </c>
      <c r="D3585">
        <v>1</v>
      </c>
      <c r="E3585">
        <v>20000.02</v>
      </c>
      <c r="F3585" t="s">
        <v>16</v>
      </c>
      <c r="G3585" t="s">
        <v>17</v>
      </c>
      <c r="H3585" t="s">
        <v>47</v>
      </c>
      <c r="I3585" t="s">
        <v>65</v>
      </c>
      <c r="J3585" t="s">
        <v>26</v>
      </c>
      <c r="K3585" t="s">
        <v>66</v>
      </c>
      <c r="L3585" t="s">
        <v>22</v>
      </c>
      <c r="M3585">
        <v>20000.02</v>
      </c>
      <c r="N3585">
        <v>2020</v>
      </c>
      <c r="O3585">
        <v>6</v>
      </c>
    </row>
    <row r="3586" spans="1:15" x14ac:dyDescent="0.3">
      <c r="A3586" s="1">
        <v>44008</v>
      </c>
      <c r="B3586">
        <v>1000014273</v>
      </c>
      <c r="C3586" t="s">
        <v>23</v>
      </c>
      <c r="D3586">
        <v>1</v>
      </c>
      <c r="E3586">
        <v>15000.72</v>
      </c>
      <c r="F3586" t="s">
        <v>16</v>
      </c>
      <c r="G3586" t="s">
        <v>24</v>
      </c>
      <c r="H3586" t="s">
        <v>18</v>
      </c>
      <c r="I3586" t="s">
        <v>19</v>
      </c>
      <c r="J3586" t="s">
        <v>20</v>
      </c>
      <c r="K3586" t="s">
        <v>21</v>
      </c>
      <c r="L3586" t="s">
        <v>22</v>
      </c>
      <c r="M3586">
        <v>15000.72</v>
      </c>
      <c r="N3586">
        <v>2020</v>
      </c>
      <c r="O3586">
        <v>6</v>
      </c>
    </row>
    <row r="3587" spans="1:15" x14ac:dyDescent="0.3">
      <c r="A3587" s="1">
        <v>44008</v>
      </c>
      <c r="B3587">
        <v>1000014291</v>
      </c>
      <c r="C3587" t="s">
        <v>23</v>
      </c>
      <c r="D3587">
        <v>4</v>
      </c>
      <c r="E3587">
        <v>48001.23</v>
      </c>
      <c r="F3587" t="s">
        <v>16</v>
      </c>
      <c r="G3587" t="s">
        <v>24</v>
      </c>
      <c r="H3587" t="s">
        <v>47</v>
      </c>
      <c r="I3587" t="s">
        <v>48</v>
      </c>
      <c r="J3587" t="s">
        <v>20</v>
      </c>
      <c r="K3587" t="s">
        <v>67</v>
      </c>
      <c r="L3587" t="s">
        <v>28</v>
      </c>
      <c r="M3587">
        <v>12000.307500000001</v>
      </c>
      <c r="N3587">
        <v>2020</v>
      </c>
      <c r="O3587">
        <v>6</v>
      </c>
    </row>
    <row r="3588" spans="1:15" x14ac:dyDescent="0.3">
      <c r="A3588" s="1">
        <v>44008</v>
      </c>
      <c r="B3588">
        <v>1000014291</v>
      </c>
      <c r="C3588" t="s">
        <v>15</v>
      </c>
      <c r="D3588">
        <v>2</v>
      </c>
      <c r="E3588">
        <v>12000.86</v>
      </c>
      <c r="F3588" t="s">
        <v>16</v>
      </c>
      <c r="G3588" t="s">
        <v>17</v>
      </c>
      <c r="H3588" t="s">
        <v>47</v>
      </c>
      <c r="I3588" t="s">
        <v>48</v>
      </c>
      <c r="J3588" t="s">
        <v>20</v>
      </c>
      <c r="K3588" t="s">
        <v>67</v>
      </c>
      <c r="L3588" t="s">
        <v>28</v>
      </c>
      <c r="M3588">
        <v>6000.43</v>
      </c>
      <c r="N3588">
        <v>2020</v>
      </c>
      <c r="O3588">
        <v>6</v>
      </c>
    </row>
    <row r="3589" spans="1:15" x14ac:dyDescent="0.3">
      <c r="A3589" s="1">
        <v>44008</v>
      </c>
      <c r="B3589">
        <v>1000014291</v>
      </c>
      <c r="C3589" t="s">
        <v>42</v>
      </c>
      <c r="D3589">
        <v>1</v>
      </c>
      <c r="E3589">
        <v>7000.69</v>
      </c>
      <c r="F3589" t="s">
        <v>16</v>
      </c>
      <c r="G3589" t="s">
        <v>43</v>
      </c>
      <c r="H3589" t="s">
        <v>47</v>
      </c>
      <c r="I3589" t="s">
        <v>48</v>
      </c>
      <c r="J3589" t="s">
        <v>20</v>
      </c>
      <c r="K3589" t="s">
        <v>67</v>
      </c>
      <c r="L3589" t="s">
        <v>28</v>
      </c>
      <c r="M3589">
        <v>7000.69</v>
      </c>
      <c r="N3589">
        <v>2020</v>
      </c>
      <c r="O3589">
        <v>6</v>
      </c>
    </row>
    <row r="3590" spans="1:15" x14ac:dyDescent="0.3">
      <c r="A3590" s="1">
        <v>44008</v>
      </c>
      <c r="B3590">
        <v>1000014452</v>
      </c>
      <c r="C3590" t="s">
        <v>42</v>
      </c>
      <c r="D3590">
        <v>1</v>
      </c>
      <c r="E3590">
        <v>4999.9799999999996</v>
      </c>
      <c r="F3590" t="s">
        <v>16</v>
      </c>
      <c r="G3590" t="s">
        <v>43</v>
      </c>
      <c r="H3590" t="s">
        <v>18</v>
      </c>
      <c r="I3590" t="s">
        <v>34</v>
      </c>
      <c r="J3590" t="s">
        <v>36</v>
      </c>
      <c r="K3590" t="s">
        <v>70</v>
      </c>
      <c r="L3590" t="s">
        <v>22</v>
      </c>
      <c r="M3590">
        <v>4999.9799999999996</v>
      </c>
      <c r="N3590">
        <v>2020</v>
      </c>
      <c r="O3590">
        <v>6</v>
      </c>
    </row>
    <row r="3591" spans="1:15" x14ac:dyDescent="0.3">
      <c r="A3591" s="1">
        <v>44008</v>
      </c>
      <c r="B3591">
        <v>1000014530</v>
      </c>
      <c r="C3591" t="s">
        <v>23</v>
      </c>
      <c r="D3591">
        <v>1</v>
      </c>
      <c r="E3591">
        <v>15000.02</v>
      </c>
      <c r="F3591" t="s">
        <v>16</v>
      </c>
      <c r="G3591" t="s">
        <v>24</v>
      </c>
      <c r="H3591" t="s">
        <v>47</v>
      </c>
      <c r="I3591" t="s">
        <v>65</v>
      </c>
      <c r="J3591" t="s">
        <v>26</v>
      </c>
      <c r="K3591" t="s">
        <v>66</v>
      </c>
      <c r="L3591" t="s">
        <v>22</v>
      </c>
      <c r="M3591">
        <v>15000.02</v>
      </c>
      <c r="N3591">
        <v>2020</v>
      </c>
      <c r="O3591">
        <v>6</v>
      </c>
    </row>
    <row r="3592" spans="1:15" x14ac:dyDescent="0.3">
      <c r="A3592" s="1">
        <v>44008</v>
      </c>
      <c r="B3592">
        <v>1000014530</v>
      </c>
      <c r="C3592" t="s">
        <v>15</v>
      </c>
      <c r="D3592">
        <v>2</v>
      </c>
      <c r="E3592">
        <v>17501.330000000002</v>
      </c>
      <c r="F3592" t="s">
        <v>16</v>
      </c>
      <c r="G3592" t="s">
        <v>17</v>
      </c>
      <c r="H3592" t="s">
        <v>47</v>
      </c>
      <c r="I3592" t="s">
        <v>65</v>
      </c>
      <c r="J3592" t="s">
        <v>26</v>
      </c>
      <c r="K3592" t="s">
        <v>66</v>
      </c>
      <c r="L3592" t="s">
        <v>22</v>
      </c>
      <c r="M3592">
        <v>8750.6650000000009</v>
      </c>
      <c r="N3592">
        <v>2020</v>
      </c>
      <c r="O3592">
        <v>6</v>
      </c>
    </row>
    <row r="3593" spans="1:15" x14ac:dyDescent="0.3">
      <c r="A3593" s="1">
        <v>44008</v>
      </c>
      <c r="B3593">
        <v>1000014530</v>
      </c>
      <c r="C3593" t="s">
        <v>42</v>
      </c>
      <c r="D3593">
        <v>1</v>
      </c>
      <c r="E3593">
        <v>30000.69</v>
      </c>
      <c r="F3593" t="s">
        <v>16</v>
      </c>
      <c r="G3593" t="s">
        <v>43</v>
      </c>
      <c r="H3593" t="s">
        <v>47</v>
      </c>
      <c r="I3593" t="s">
        <v>65</v>
      </c>
      <c r="J3593" t="s">
        <v>26</v>
      </c>
      <c r="K3593" t="s">
        <v>66</v>
      </c>
      <c r="L3593" t="s">
        <v>22</v>
      </c>
      <c r="M3593">
        <v>30000.69</v>
      </c>
      <c r="N3593">
        <v>2020</v>
      </c>
      <c r="O3593">
        <v>6</v>
      </c>
    </row>
    <row r="3594" spans="1:15" x14ac:dyDescent="0.3">
      <c r="A3594" s="1">
        <v>44008</v>
      </c>
      <c r="B3594">
        <v>1000014588</v>
      </c>
      <c r="C3594" t="s">
        <v>42</v>
      </c>
      <c r="D3594">
        <v>1</v>
      </c>
      <c r="E3594">
        <v>6000.49</v>
      </c>
      <c r="F3594" t="s">
        <v>16</v>
      </c>
      <c r="G3594" t="s">
        <v>43</v>
      </c>
      <c r="H3594" t="s">
        <v>18</v>
      </c>
      <c r="I3594" t="s">
        <v>40</v>
      </c>
      <c r="J3594" t="s">
        <v>20</v>
      </c>
      <c r="K3594" t="s">
        <v>68</v>
      </c>
      <c r="L3594" t="s">
        <v>22</v>
      </c>
      <c r="M3594">
        <v>6000.49</v>
      </c>
      <c r="N3594">
        <v>2020</v>
      </c>
      <c r="O3594">
        <v>6</v>
      </c>
    </row>
    <row r="3595" spans="1:15" x14ac:dyDescent="0.3">
      <c r="A3595" s="1">
        <v>44008</v>
      </c>
      <c r="B3595">
        <v>1000014996</v>
      </c>
      <c r="C3595" t="s">
        <v>23</v>
      </c>
      <c r="D3595">
        <v>1</v>
      </c>
      <c r="E3595">
        <v>7500.32</v>
      </c>
      <c r="F3595" t="s">
        <v>16</v>
      </c>
      <c r="G3595" t="s">
        <v>24</v>
      </c>
      <c r="H3595" t="s">
        <v>30</v>
      </c>
      <c r="I3595" t="s">
        <v>57</v>
      </c>
      <c r="J3595" t="s">
        <v>26</v>
      </c>
      <c r="K3595" t="s">
        <v>58</v>
      </c>
      <c r="L3595" t="s">
        <v>22</v>
      </c>
      <c r="M3595">
        <v>7500.32</v>
      </c>
      <c r="N3595">
        <v>2020</v>
      </c>
      <c r="O3595">
        <v>6</v>
      </c>
    </row>
    <row r="3596" spans="1:15" x14ac:dyDescent="0.3">
      <c r="A3596" s="1">
        <v>44008</v>
      </c>
      <c r="B3596">
        <v>1000015013</v>
      </c>
      <c r="C3596" t="s">
        <v>23</v>
      </c>
      <c r="D3596">
        <v>1</v>
      </c>
      <c r="E3596">
        <v>3000.53</v>
      </c>
      <c r="F3596" t="s">
        <v>16</v>
      </c>
      <c r="G3596" t="s">
        <v>24</v>
      </c>
      <c r="H3596" t="s">
        <v>18</v>
      </c>
      <c r="I3596" t="s">
        <v>19</v>
      </c>
      <c r="J3596" t="s">
        <v>26</v>
      </c>
      <c r="K3596" t="s">
        <v>29</v>
      </c>
      <c r="L3596" t="s">
        <v>22</v>
      </c>
      <c r="M3596">
        <v>3000.53</v>
      </c>
      <c r="N3596">
        <v>2020</v>
      </c>
      <c r="O3596">
        <v>6</v>
      </c>
    </row>
    <row r="3597" spans="1:15" x14ac:dyDescent="0.3">
      <c r="A3597" s="1">
        <v>44008</v>
      </c>
      <c r="B3597">
        <v>1000015015</v>
      </c>
      <c r="C3597" t="s">
        <v>15</v>
      </c>
      <c r="D3597">
        <v>1</v>
      </c>
      <c r="E3597">
        <v>3000.07</v>
      </c>
      <c r="F3597" t="s">
        <v>16</v>
      </c>
      <c r="G3597" t="s">
        <v>17</v>
      </c>
      <c r="H3597" t="s">
        <v>18</v>
      </c>
      <c r="I3597" t="s">
        <v>61</v>
      </c>
      <c r="J3597" t="s">
        <v>26</v>
      </c>
      <c r="K3597" t="s">
        <v>62</v>
      </c>
      <c r="L3597" t="s">
        <v>22</v>
      </c>
      <c r="M3597">
        <v>3000.07</v>
      </c>
      <c r="N3597">
        <v>2020</v>
      </c>
      <c r="O3597">
        <v>6</v>
      </c>
    </row>
    <row r="3598" spans="1:15" x14ac:dyDescent="0.3">
      <c r="A3598" s="1">
        <v>44008</v>
      </c>
      <c r="B3598">
        <v>1000015133</v>
      </c>
      <c r="C3598" t="s">
        <v>23</v>
      </c>
      <c r="D3598">
        <v>2</v>
      </c>
      <c r="E3598">
        <v>27999.960000000003</v>
      </c>
      <c r="F3598" t="s">
        <v>16</v>
      </c>
      <c r="G3598" t="s">
        <v>24</v>
      </c>
      <c r="H3598" t="s">
        <v>30</v>
      </c>
      <c r="I3598" t="s">
        <v>31</v>
      </c>
      <c r="J3598" t="s">
        <v>36</v>
      </c>
      <c r="K3598" t="s">
        <v>52</v>
      </c>
      <c r="L3598" t="s">
        <v>22</v>
      </c>
      <c r="M3598">
        <v>13999.980000000001</v>
      </c>
      <c r="N3598">
        <v>2020</v>
      </c>
      <c r="O3598">
        <v>6</v>
      </c>
    </row>
    <row r="3599" spans="1:15" x14ac:dyDescent="0.3">
      <c r="A3599" s="1">
        <v>44008</v>
      </c>
      <c r="B3599">
        <v>1000015133</v>
      </c>
      <c r="C3599" t="s">
        <v>15</v>
      </c>
      <c r="D3599">
        <v>1</v>
      </c>
      <c r="E3599">
        <v>13000.47</v>
      </c>
      <c r="F3599" t="s">
        <v>16</v>
      </c>
      <c r="G3599" t="s">
        <v>17</v>
      </c>
      <c r="H3599" t="s">
        <v>30</v>
      </c>
      <c r="I3599" t="s">
        <v>31</v>
      </c>
      <c r="J3599" t="s">
        <v>36</v>
      </c>
      <c r="K3599" t="s">
        <v>52</v>
      </c>
      <c r="L3599" t="s">
        <v>22</v>
      </c>
      <c r="M3599">
        <v>13000.47</v>
      </c>
      <c r="N3599">
        <v>2020</v>
      </c>
      <c r="O3599">
        <v>6</v>
      </c>
    </row>
    <row r="3600" spans="1:15" x14ac:dyDescent="0.3">
      <c r="A3600" s="1">
        <v>44008</v>
      </c>
      <c r="B3600">
        <v>1000015203</v>
      </c>
      <c r="C3600" t="s">
        <v>23</v>
      </c>
      <c r="D3600">
        <v>1</v>
      </c>
      <c r="E3600">
        <v>15000.6</v>
      </c>
      <c r="F3600" t="s">
        <v>16</v>
      </c>
      <c r="G3600" t="s">
        <v>24</v>
      </c>
      <c r="H3600" t="s">
        <v>47</v>
      </c>
      <c r="I3600" t="s">
        <v>65</v>
      </c>
      <c r="J3600" t="s">
        <v>26</v>
      </c>
      <c r="K3600" t="s">
        <v>66</v>
      </c>
      <c r="L3600" t="s">
        <v>22</v>
      </c>
      <c r="M3600">
        <v>15000.6</v>
      </c>
      <c r="N3600">
        <v>2020</v>
      </c>
      <c r="O3600">
        <v>6</v>
      </c>
    </row>
    <row r="3601" spans="1:15" x14ac:dyDescent="0.3">
      <c r="A3601" s="1">
        <v>44008</v>
      </c>
      <c r="B3601">
        <v>1000015203</v>
      </c>
      <c r="C3601" t="s">
        <v>42</v>
      </c>
      <c r="D3601">
        <v>1</v>
      </c>
      <c r="E3601">
        <v>18000.400000000001</v>
      </c>
      <c r="F3601" t="s">
        <v>16</v>
      </c>
      <c r="G3601" t="s">
        <v>43</v>
      </c>
      <c r="H3601" t="s">
        <v>47</v>
      </c>
      <c r="I3601" t="s">
        <v>65</v>
      </c>
      <c r="J3601" t="s">
        <v>26</v>
      </c>
      <c r="K3601" t="s">
        <v>66</v>
      </c>
      <c r="L3601" t="s">
        <v>22</v>
      </c>
      <c r="M3601">
        <v>18000.400000000001</v>
      </c>
      <c r="N3601">
        <v>2020</v>
      </c>
      <c r="O3601">
        <v>6</v>
      </c>
    </row>
    <row r="3602" spans="1:15" x14ac:dyDescent="0.3">
      <c r="A3602" s="1">
        <v>44008</v>
      </c>
      <c r="B3602">
        <v>1000017576</v>
      </c>
      <c r="C3602" t="s">
        <v>23</v>
      </c>
      <c r="D3602">
        <v>1</v>
      </c>
      <c r="E3602">
        <v>5500.27</v>
      </c>
      <c r="F3602" t="s">
        <v>16</v>
      </c>
      <c r="G3602" t="s">
        <v>24</v>
      </c>
      <c r="H3602" t="s">
        <v>18</v>
      </c>
      <c r="I3602" t="s">
        <v>19</v>
      </c>
      <c r="J3602" t="s">
        <v>36</v>
      </c>
      <c r="K3602" t="s">
        <v>64</v>
      </c>
      <c r="L3602" t="s">
        <v>22</v>
      </c>
      <c r="M3602">
        <v>5500.27</v>
      </c>
      <c r="N3602">
        <v>2020</v>
      </c>
      <c r="O3602">
        <v>6</v>
      </c>
    </row>
    <row r="3603" spans="1:15" x14ac:dyDescent="0.3">
      <c r="A3603" s="1">
        <v>44008</v>
      </c>
      <c r="B3603">
        <v>1000017576</v>
      </c>
      <c r="C3603" t="s">
        <v>15</v>
      </c>
      <c r="D3603">
        <v>3</v>
      </c>
      <c r="E3603">
        <v>47001.319999999992</v>
      </c>
      <c r="F3603" t="s">
        <v>16</v>
      </c>
      <c r="G3603" t="s">
        <v>17</v>
      </c>
      <c r="H3603" t="s">
        <v>18</v>
      </c>
      <c r="I3603" t="s">
        <v>19</v>
      </c>
      <c r="J3603" t="s">
        <v>36</v>
      </c>
      <c r="K3603" t="s">
        <v>64</v>
      </c>
      <c r="L3603" t="s">
        <v>22</v>
      </c>
      <c r="M3603">
        <v>15667.106666666665</v>
      </c>
      <c r="N3603">
        <v>2020</v>
      </c>
      <c r="O3603">
        <v>6</v>
      </c>
    </row>
    <row r="3604" spans="1:15" x14ac:dyDescent="0.3">
      <c r="A3604" s="1">
        <v>44008</v>
      </c>
      <c r="B3604">
        <v>1000017576</v>
      </c>
      <c r="C3604" t="s">
        <v>42</v>
      </c>
      <c r="D3604">
        <v>1</v>
      </c>
      <c r="E3604">
        <v>18000.41</v>
      </c>
      <c r="F3604" t="s">
        <v>16</v>
      </c>
      <c r="G3604" t="s">
        <v>43</v>
      </c>
      <c r="H3604" t="s">
        <v>18</v>
      </c>
      <c r="I3604" t="s">
        <v>19</v>
      </c>
      <c r="J3604" t="s">
        <v>36</v>
      </c>
      <c r="K3604" t="s">
        <v>64</v>
      </c>
      <c r="L3604" t="s">
        <v>22</v>
      </c>
      <c r="M3604">
        <v>18000.41</v>
      </c>
      <c r="N3604">
        <v>2020</v>
      </c>
      <c r="O3604">
        <v>6</v>
      </c>
    </row>
    <row r="3605" spans="1:15" x14ac:dyDescent="0.3">
      <c r="A3605" s="1">
        <v>44008</v>
      </c>
      <c r="B3605">
        <v>1000017688</v>
      </c>
      <c r="C3605" t="s">
        <v>23</v>
      </c>
      <c r="D3605">
        <v>3</v>
      </c>
      <c r="E3605">
        <v>37001.18</v>
      </c>
      <c r="F3605" t="s">
        <v>16</v>
      </c>
      <c r="G3605" t="s">
        <v>24</v>
      </c>
      <c r="H3605" t="s">
        <v>47</v>
      </c>
      <c r="I3605" t="s">
        <v>48</v>
      </c>
      <c r="J3605" t="s">
        <v>36</v>
      </c>
      <c r="K3605" t="s">
        <v>49</v>
      </c>
      <c r="L3605" t="s">
        <v>22</v>
      </c>
      <c r="M3605">
        <v>12333.726666666667</v>
      </c>
      <c r="N3605">
        <v>2020</v>
      </c>
      <c r="O3605">
        <v>6</v>
      </c>
    </row>
    <row r="3606" spans="1:15" x14ac:dyDescent="0.3">
      <c r="A3606" s="1">
        <v>44008</v>
      </c>
      <c r="B3606">
        <v>1000017700</v>
      </c>
      <c r="C3606" t="s">
        <v>15</v>
      </c>
      <c r="D3606">
        <v>2</v>
      </c>
      <c r="E3606">
        <v>31000.13</v>
      </c>
      <c r="F3606" t="s">
        <v>16</v>
      </c>
      <c r="G3606" t="s">
        <v>17</v>
      </c>
      <c r="H3606" t="s">
        <v>47</v>
      </c>
      <c r="I3606" t="s">
        <v>65</v>
      </c>
      <c r="J3606" t="s">
        <v>26</v>
      </c>
      <c r="K3606" t="s">
        <v>66</v>
      </c>
      <c r="L3606" t="s">
        <v>22</v>
      </c>
      <c r="M3606">
        <v>15500.065000000001</v>
      </c>
      <c r="N3606">
        <v>2020</v>
      </c>
      <c r="O3606">
        <v>6</v>
      </c>
    </row>
    <row r="3607" spans="1:15" x14ac:dyDescent="0.3">
      <c r="A3607" s="1">
        <v>44008</v>
      </c>
      <c r="B3607">
        <v>1000017700</v>
      </c>
      <c r="C3607" t="s">
        <v>42</v>
      </c>
      <c r="D3607">
        <v>1</v>
      </c>
      <c r="E3607">
        <v>12000.58</v>
      </c>
      <c r="F3607" t="s">
        <v>16</v>
      </c>
      <c r="G3607" t="s">
        <v>43</v>
      </c>
      <c r="H3607" t="s">
        <v>47</v>
      </c>
      <c r="I3607" t="s">
        <v>65</v>
      </c>
      <c r="J3607" t="s">
        <v>26</v>
      </c>
      <c r="K3607" t="s">
        <v>66</v>
      </c>
      <c r="L3607" t="s">
        <v>22</v>
      </c>
      <c r="M3607">
        <v>12000.58</v>
      </c>
      <c r="N3607">
        <v>2020</v>
      </c>
      <c r="O3607">
        <v>6</v>
      </c>
    </row>
    <row r="3608" spans="1:15" x14ac:dyDescent="0.3">
      <c r="A3608" s="1">
        <v>44008</v>
      </c>
      <c r="B3608">
        <v>1000018132</v>
      </c>
      <c r="C3608" t="s">
        <v>15</v>
      </c>
      <c r="D3608">
        <v>1</v>
      </c>
      <c r="E3608">
        <v>8000.02</v>
      </c>
      <c r="F3608" t="s">
        <v>16</v>
      </c>
      <c r="G3608" t="s">
        <v>17</v>
      </c>
      <c r="H3608" t="s">
        <v>47</v>
      </c>
      <c r="I3608" t="s">
        <v>65</v>
      </c>
      <c r="J3608" t="s">
        <v>26</v>
      </c>
      <c r="K3608" t="s">
        <v>66</v>
      </c>
      <c r="L3608" t="s">
        <v>22</v>
      </c>
      <c r="M3608">
        <v>8000.02</v>
      </c>
      <c r="N3608">
        <v>2020</v>
      </c>
      <c r="O3608">
        <v>6</v>
      </c>
    </row>
    <row r="3609" spans="1:15" x14ac:dyDescent="0.3">
      <c r="A3609" s="1">
        <v>44008</v>
      </c>
      <c r="B3609">
        <v>1000018134</v>
      </c>
      <c r="C3609" t="s">
        <v>23</v>
      </c>
      <c r="D3609">
        <v>1</v>
      </c>
      <c r="E3609">
        <v>16000.14</v>
      </c>
      <c r="F3609" t="s">
        <v>16</v>
      </c>
      <c r="G3609" t="s">
        <v>24</v>
      </c>
      <c r="H3609" t="s">
        <v>18</v>
      </c>
      <c r="I3609" t="s">
        <v>40</v>
      </c>
      <c r="J3609" t="s">
        <v>26</v>
      </c>
      <c r="K3609" t="s">
        <v>41</v>
      </c>
      <c r="L3609" t="s">
        <v>22</v>
      </c>
      <c r="M3609">
        <v>16000.14</v>
      </c>
      <c r="N3609">
        <v>2020</v>
      </c>
      <c r="O3609">
        <v>6</v>
      </c>
    </row>
    <row r="3610" spans="1:15" x14ac:dyDescent="0.3">
      <c r="A3610" s="1">
        <v>44008</v>
      </c>
      <c r="B3610">
        <v>1000020084</v>
      </c>
      <c r="C3610" t="s">
        <v>23</v>
      </c>
      <c r="D3610">
        <v>1</v>
      </c>
      <c r="E3610">
        <v>14000.18</v>
      </c>
      <c r="F3610" t="s">
        <v>16</v>
      </c>
      <c r="G3610" t="s">
        <v>24</v>
      </c>
      <c r="H3610" t="s">
        <v>47</v>
      </c>
      <c r="I3610" t="s">
        <v>59</v>
      </c>
      <c r="J3610" t="s">
        <v>26</v>
      </c>
      <c r="K3610" t="s">
        <v>60</v>
      </c>
      <c r="L3610" t="s">
        <v>22</v>
      </c>
      <c r="M3610">
        <v>14000.18</v>
      </c>
      <c r="N3610">
        <v>2020</v>
      </c>
      <c r="O3610">
        <v>6</v>
      </c>
    </row>
    <row r="3611" spans="1:15" x14ac:dyDescent="0.3">
      <c r="A3611" s="1">
        <v>44008</v>
      </c>
      <c r="B3611">
        <v>1000020087</v>
      </c>
      <c r="C3611" t="s">
        <v>23</v>
      </c>
      <c r="D3611">
        <v>4</v>
      </c>
      <c r="E3611">
        <v>49000.69</v>
      </c>
      <c r="F3611" t="s">
        <v>16</v>
      </c>
      <c r="G3611" t="s">
        <v>24</v>
      </c>
      <c r="H3611" t="s">
        <v>47</v>
      </c>
      <c r="I3611" t="s">
        <v>48</v>
      </c>
      <c r="J3611" t="s">
        <v>26</v>
      </c>
      <c r="K3611" t="s">
        <v>50</v>
      </c>
      <c r="L3611" t="s">
        <v>22</v>
      </c>
      <c r="M3611">
        <v>12250.172500000001</v>
      </c>
      <c r="N3611">
        <v>2020</v>
      </c>
      <c r="O3611">
        <v>6</v>
      </c>
    </row>
    <row r="3612" spans="1:15" x14ac:dyDescent="0.3">
      <c r="A3612" s="1">
        <v>44008</v>
      </c>
      <c r="B3612">
        <v>1000020128</v>
      </c>
      <c r="C3612" t="s">
        <v>15</v>
      </c>
      <c r="D3612">
        <v>1</v>
      </c>
      <c r="E3612">
        <v>30000.7</v>
      </c>
      <c r="F3612" t="s">
        <v>16</v>
      </c>
      <c r="G3612" t="s">
        <v>17</v>
      </c>
      <c r="H3612" t="s">
        <v>30</v>
      </c>
      <c r="I3612" t="s">
        <v>57</v>
      </c>
      <c r="J3612" t="s">
        <v>26</v>
      </c>
      <c r="K3612" t="s">
        <v>58</v>
      </c>
      <c r="L3612" t="s">
        <v>28</v>
      </c>
      <c r="M3612">
        <v>30000.7</v>
      </c>
      <c r="N3612">
        <v>2020</v>
      </c>
      <c r="O3612">
        <v>6</v>
      </c>
    </row>
    <row r="3613" spans="1:15" x14ac:dyDescent="0.3">
      <c r="A3613" s="1">
        <v>44008</v>
      </c>
      <c r="B3613">
        <v>1000020921</v>
      </c>
      <c r="C3613" t="s">
        <v>15</v>
      </c>
      <c r="D3613">
        <v>2</v>
      </c>
      <c r="E3613">
        <v>21000.18</v>
      </c>
      <c r="F3613" t="s">
        <v>16</v>
      </c>
      <c r="G3613" t="s">
        <v>17</v>
      </c>
      <c r="H3613" t="s">
        <v>47</v>
      </c>
      <c r="I3613" t="s">
        <v>65</v>
      </c>
      <c r="J3613" t="s">
        <v>26</v>
      </c>
      <c r="K3613" t="s">
        <v>66</v>
      </c>
      <c r="L3613" t="s">
        <v>22</v>
      </c>
      <c r="M3613">
        <v>10500.09</v>
      </c>
      <c r="N3613">
        <v>2020</v>
      </c>
      <c r="O3613">
        <v>6</v>
      </c>
    </row>
    <row r="3614" spans="1:15" x14ac:dyDescent="0.3">
      <c r="A3614" s="1">
        <v>44009</v>
      </c>
      <c r="B3614">
        <v>1000000028</v>
      </c>
      <c r="C3614" t="s">
        <v>75</v>
      </c>
      <c r="D3614">
        <v>1</v>
      </c>
      <c r="E3614">
        <v>3177.36</v>
      </c>
      <c r="F3614" t="s">
        <v>16</v>
      </c>
      <c r="G3614" t="s">
        <v>76</v>
      </c>
      <c r="H3614" t="s">
        <v>18</v>
      </c>
      <c r="I3614" t="s">
        <v>19</v>
      </c>
      <c r="J3614" t="s">
        <v>20</v>
      </c>
      <c r="K3614" t="s">
        <v>21</v>
      </c>
      <c r="L3614" t="s">
        <v>22</v>
      </c>
      <c r="M3614">
        <v>3177.36</v>
      </c>
      <c r="N3614">
        <v>2020</v>
      </c>
      <c r="O3614">
        <v>6</v>
      </c>
    </row>
    <row r="3615" spans="1:15" x14ac:dyDescent="0.3">
      <c r="A3615" s="1">
        <v>44009</v>
      </c>
      <c r="B3615">
        <v>1000000029</v>
      </c>
      <c r="C3615" t="s">
        <v>23</v>
      </c>
      <c r="D3615">
        <v>1</v>
      </c>
      <c r="E3615">
        <v>25000.01</v>
      </c>
      <c r="F3615" t="s">
        <v>16</v>
      </c>
      <c r="G3615" t="s">
        <v>24</v>
      </c>
      <c r="H3615" t="s">
        <v>18</v>
      </c>
      <c r="I3615" t="s">
        <v>19</v>
      </c>
      <c r="J3615" t="s">
        <v>20</v>
      </c>
      <c r="K3615" t="s">
        <v>21</v>
      </c>
      <c r="L3615" t="s">
        <v>22</v>
      </c>
      <c r="M3615">
        <v>25000.01</v>
      </c>
      <c r="N3615">
        <v>2020</v>
      </c>
      <c r="O3615">
        <v>6</v>
      </c>
    </row>
    <row r="3616" spans="1:15" x14ac:dyDescent="0.3">
      <c r="A3616" s="1">
        <v>44009</v>
      </c>
      <c r="B3616">
        <v>1000000029</v>
      </c>
      <c r="C3616" t="s">
        <v>15</v>
      </c>
      <c r="D3616">
        <v>1</v>
      </c>
      <c r="E3616">
        <v>3000.14</v>
      </c>
      <c r="F3616" t="s">
        <v>16</v>
      </c>
      <c r="G3616" t="s">
        <v>17</v>
      </c>
      <c r="H3616" t="s">
        <v>18</v>
      </c>
      <c r="I3616" t="s">
        <v>19</v>
      </c>
      <c r="J3616" t="s">
        <v>20</v>
      </c>
      <c r="K3616" t="s">
        <v>21</v>
      </c>
      <c r="L3616" t="s">
        <v>22</v>
      </c>
      <c r="M3616">
        <v>3000.14</v>
      </c>
      <c r="N3616">
        <v>2020</v>
      </c>
      <c r="O3616">
        <v>6</v>
      </c>
    </row>
    <row r="3617" spans="1:15" x14ac:dyDescent="0.3">
      <c r="A3617" s="1">
        <v>44009</v>
      </c>
      <c r="B3617">
        <v>1000000029</v>
      </c>
      <c r="C3617" t="s">
        <v>42</v>
      </c>
      <c r="D3617">
        <v>1</v>
      </c>
      <c r="E3617">
        <v>22000.44</v>
      </c>
      <c r="F3617" t="s">
        <v>16</v>
      </c>
      <c r="G3617" t="s">
        <v>43</v>
      </c>
      <c r="H3617" t="s">
        <v>18</v>
      </c>
      <c r="I3617" t="s">
        <v>19</v>
      </c>
      <c r="J3617" t="s">
        <v>20</v>
      </c>
      <c r="K3617" t="s">
        <v>21</v>
      </c>
      <c r="L3617" t="s">
        <v>22</v>
      </c>
      <c r="M3617">
        <v>22000.44</v>
      </c>
      <c r="N3617">
        <v>2020</v>
      </c>
      <c r="O3617">
        <v>6</v>
      </c>
    </row>
    <row r="3618" spans="1:15" x14ac:dyDescent="0.3">
      <c r="A3618" s="1">
        <v>44009</v>
      </c>
      <c r="B3618">
        <v>1000000030</v>
      </c>
      <c r="C3618" t="s">
        <v>23</v>
      </c>
      <c r="D3618">
        <v>1</v>
      </c>
      <c r="E3618">
        <v>10000.540000000001</v>
      </c>
      <c r="F3618" t="s">
        <v>16</v>
      </c>
      <c r="G3618" t="s">
        <v>24</v>
      </c>
      <c r="H3618" t="s">
        <v>47</v>
      </c>
      <c r="I3618" t="s">
        <v>48</v>
      </c>
      <c r="J3618" t="s">
        <v>36</v>
      </c>
      <c r="K3618" t="s">
        <v>49</v>
      </c>
      <c r="L3618" t="s">
        <v>22</v>
      </c>
      <c r="M3618">
        <v>10000.540000000001</v>
      </c>
      <c r="N3618">
        <v>2020</v>
      </c>
      <c r="O3618">
        <v>6</v>
      </c>
    </row>
    <row r="3619" spans="1:15" x14ac:dyDescent="0.3">
      <c r="A3619" s="1">
        <v>44009</v>
      </c>
      <c r="B3619">
        <v>1000000030</v>
      </c>
      <c r="C3619" t="s">
        <v>15</v>
      </c>
      <c r="D3619">
        <v>1</v>
      </c>
      <c r="E3619">
        <v>11000.03</v>
      </c>
      <c r="F3619" t="s">
        <v>16</v>
      </c>
      <c r="G3619" t="s">
        <v>17</v>
      </c>
      <c r="H3619" t="s">
        <v>47</v>
      </c>
      <c r="I3619" t="s">
        <v>48</v>
      </c>
      <c r="J3619" t="s">
        <v>36</v>
      </c>
      <c r="K3619" t="s">
        <v>49</v>
      </c>
      <c r="L3619" t="s">
        <v>22</v>
      </c>
      <c r="M3619">
        <v>11000.03</v>
      </c>
      <c r="N3619">
        <v>2020</v>
      </c>
      <c r="O3619">
        <v>6</v>
      </c>
    </row>
    <row r="3620" spans="1:15" x14ac:dyDescent="0.3">
      <c r="A3620" s="1">
        <v>44009</v>
      </c>
      <c r="B3620">
        <v>1000000030</v>
      </c>
      <c r="C3620" t="s">
        <v>42</v>
      </c>
      <c r="D3620">
        <v>1</v>
      </c>
      <c r="E3620">
        <v>5000.3999999999996</v>
      </c>
      <c r="F3620" t="s">
        <v>16</v>
      </c>
      <c r="G3620" t="s">
        <v>43</v>
      </c>
      <c r="H3620" t="s">
        <v>47</v>
      </c>
      <c r="I3620" t="s">
        <v>48</v>
      </c>
      <c r="J3620" t="s">
        <v>36</v>
      </c>
      <c r="K3620" t="s">
        <v>49</v>
      </c>
      <c r="L3620" t="s">
        <v>22</v>
      </c>
      <c r="M3620">
        <v>5000.3999999999996</v>
      </c>
      <c r="N3620">
        <v>2020</v>
      </c>
      <c r="O3620">
        <v>6</v>
      </c>
    </row>
    <row r="3621" spans="1:15" x14ac:dyDescent="0.3">
      <c r="A3621" s="1">
        <v>44009</v>
      </c>
      <c r="B3621">
        <v>1000000031</v>
      </c>
      <c r="C3621" t="s">
        <v>23</v>
      </c>
      <c r="D3621">
        <v>2</v>
      </c>
      <c r="E3621">
        <v>37001.300000000003</v>
      </c>
      <c r="F3621" t="s">
        <v>16</v>
      </c>
      <c r="G3621" t="s">
        <v>24</v>
      </c>
      <c r="H3621" t="s">
        <v>18</v>
      </c>
      <c r="I3621" t="s">
        <v>19</v>
      </c>
      <c r="J3621" t="s">
        <v>26</v>
      </c>
      <c r="K3621" t="s">
        <v>29</v>
      </c>
      <c r="L3621" t="s">
        <v>28</v>
      </c>
      <c r="M3621">
        <v>18500.650000000001</v>
      </c>
      <c r="N3621">
        <v>2020</v>
      </c>
      <c r="O3621">
        <v>6</v>
      </c>
    </row>
    <row r="3622" spans="1:15" x14ac:dyDescent="0.3">
      <c r="A3622" s="1">
        <v>44009</v>
      </c>
      <c r="B3622">
        <v>1000000031</v>
      </c>
      <c r="C3622" t="s">
        <v>15</v>
      </c>
      <c r="D3622">
        <v>3</v>
      </c>
      <c r="E3622">
        <v>41501.230000000003</v>
      </c>
      <c r="F3622" t="s">
        <v>16</v>
      </c>
      <c r="G3622" t="s">
        <v>17</v>
      </c>
      <c r="H3622" t="s">
        <v>18</v>
      </c>
      <c r="I3622" t="s">
        <v>19</v>
      </c>
      <c r="J3622" t="s">
        <v>26</v>
      </c>
      <c r="K3622" t="s">
        <v>29</v>
      </c>
      <c r="L3622" t="s">
        <v>28</v>
      </c>
      <c r="M3622">
        <v>13833.743333333334</v>
      </c>
      <c r="N3622">
        <v>2020</v>
      </c>
      <c r="O3622">
        <v>6</v>
      </c>
    </row>
    <row r="3623" spans="1:15" x14ac:dyDescent="0.3">
      <c r="A3623" s="1">
        <v>44009</v>
      </c>
      <c r="B3623">
        <v>1000000032</v>
      </c>
      <c r="C3623" t="s">
        <v>23</v>
      </c>
      <c r="D3623">
        <v>1</v>
      </c>
      <c r="E3623">
        <v>500.45</v>
      </c>
      <c r="F3623" t="s">
        <v>16</v>
      </c>
      <c r="G3623" t="s">
        <v>24</v>
      </c>
      <c r="H3623" t="s">
        <v>18</v>
      </c>
      <c r="I3623" t="s">
        <v>25</v>
      </c>
      <c r="J3623" t="s">
        <v>26</v>
      </c>
      <c r="K3623" t="s">
        <v>27</v>
      </c>
      <c r="L3623" t="s">
        <v>28</v>
      </c>
      <c r="M3623">
        <v>500.45</v>
      </c>
      <c r="N3623">
        <v>2020</v>
      </c>
      <c r="O3623">
        <v>6</v>
      </c>
    </row>
    <row r="3624" spans="1:15" x14ac:dyDescent="0.3">
      <c r="A3624" s="1">
        <v>44009</v>
      </c>
      <c r="B3624">
        <v>1000000032</v>
      </c>
      <c r="C3624" t="s">
        <v>15</v>
      </c>
      <c r="D3624">
        <v>1</v>
      </c>
      <c r="E3624">
        <v>17000.3</v>
      </c>
      <c r="F3624" t="s">
        <v>16</v>
      </c>
      <c r="G3624" t="s">
        <v>17</v>
      </c>
      <c r="H3624" t="s">
        <v>18</v>
      </c>
      <c r="I3624" t="s">
        <v>25</v>
      </c>
      <c r="J3624" t="s">
        <v>26</v>
      </c>
      <c r="K3624" t="s">
        <v>27</v>
      </c>
      <c r="L3624" t="s">
        <v>28</v>
      </c>
      <c r="M3624">
        <v>17000.3</v>
      </c>
      <c r="N3624">
        <v>2020</v>
      </c>
      <c r="O3624">
        <v>6</v>
      </c>
    </row>
    <row r="3625" spans="1:15" x14ac:dyDescent="0.3">
      <c r="A3625" s="1">
        <v>44009</v>
      </c>
      <c r="B3625">
        <v>1000000033</v>
      </c>
      <c r="C3625" t="s">
        <v>15</v>
      </c>
      <c r="D3625">
        <v>1</v>
      </c>
      <c r="E3625">
        <v>9000.26</v>
      </c>
      <c r="F3625" t="s">
        <v>16</v>
      </c>
      <c r="G3625" t="s">
        <v>17</v>
      </c>
      <c r="H3625" t="s">
        <v>18</v>
      </c>
      <c r="I3625" t="s">
        <v>25</v>
      </c>
      <c r="J3625" t="s">
        <v>26</v>
      </c>
      <c r="K3625" t="s">
        <v>27</v>
      </c>
      <c r="L3625" t="s">
        <v>22</v>
      </c>
      <c r="M3625">
        <v>9000.26</v>
      </c>
      <c r="N3625">
        <v>2020</v>
      </c>
      <c r="O3625">
        <v>6</v>
      </c>
    </row>
    <row r="3626" spans="1:15" x14ac:dyDescent="0.3">
      <c r="A3626" s="1">
        <v>44009</v>
      </c>
      <c r="B3626">
        <v>1000000034</v>
      </c>
      <c r="C3626" t="s">
        <v>15</v>
      </c>
      <c r="D3626">
        <v>2</v>
      </c>
      <c r="E3626">
        <v>30500.77</v>
      </c>
      <c r="F3626" t="s">
        <v>16</v>
      </c>
      <c r="G3626" t="s">
        <v>17</v>
      </c>
      <c r="H3626" t="s">
        <v>18</v>
      </c>
      <c r="I3626" t="s">
        <v>25</v>
      </c>
      <c r="J3626" t="s">
        <v>26</v>
      </c>
      <c r="K3626" t="s">
        <v>27</v>
      </c>
      <c r="L3626" t="s">
        <v>22</v>
      </c>
      <c r="M3626">
        <v>15250.385</v>
      </c>
      <c r="N3626">
        <v>2020</v>
      </c>
      <c r="O3626">
        <v>6</v>
      </c>
    </row>
    <row r="3627" spans="1:15" x14ac:dyDescent="0.3">
      <c r="A3627" s="1">
        <v>44009</v>
      </c>
      <c r="B3627">
        <v>1000000036</v>
      </c>
      <c r="C3627" t="s">
        <v>23</v>
      </c>
      <c r="D3627">
        <v>1</v>
      </c>
      <c r="E3627">
        <v>8000.27</v>
      </c>
      <c r="F3627" t="s">
        <v>16</v>
      </c>
      <c r="G3627" t="s">
        <v>24</v>
      </c>
      <c r="H3627" t="s">
        <v>47</v>
      </c>
      <c r="I3627" t="s">
        <v>48</v>
      </c>
      <c r="J3627" t="s">
        <v>36</v>
      </c>
      <c r="K3627" t="s">
        <v>49</v>
      </c>
      <c r="L3627" t="s">
        <v>28</v>
      </c>
      <c r="M3627">
        <v>8000.27</v>
      </c>
      <c r="N3627">
        <v>2020</v>
      </c>
      <c r="O3627">
        <v>6</v>
      </c>
    </row>
    <row r="3628" spans="1:15" x14ac:dyDescent="0.3">
      <c r="A3628" s="1">
        <v>44009</v>
      </c>
      <c r="B3628">
        <v>1000000036</v>
      </c>
      <c r="C3628" t="s">
        <v>15</v>
      </c>
      <c r="D3628">
        <v>1</v>
      </c>
      <c r="E3628">
        <v>4001.1099999999997</v>
      </c>
      <c r="F3628" t="s">
        <v>16</v>
      </c>
      <c r="G3628" t="s">
        <v>17</v>
      </c>
      <c r="H3628" t="s">
        <v>47</v>
      </c>
      <c r="I3628" t="s">
        <v>48</v>
      </c>
      <c r="J3628" t="s">
        <v>36</v>
      </c>
      <c r="K3628" t="s">
        <v>49</v>
      </c>
      <c r="L3628" t="s">
        <v>28</v>
      </c>
      <c r="M3628">
        <v>4001.1099999999997</v>
      </c>
      <c r="N3628">
        <v>2020</v>
      </c>
      <c r="O3628">
        <v>6</v>
      </c>
    </row>
    <row r="3629" spans="1:15" x14ac:dyDescent="0.3">
      <c r="A3629" s="1">
        <v>44009</v>
      </c>
      <c r="B3629">
        <v>1000000037</v>
      </c>
      <c r="C3629" t="s">
        <v>23</v>
      </c>
      <c r="D3629">
        <v>2</v>
      </c>
      <c r="E3629">
        <v>7143.68</v>
      </c>
      <c r="F3629" t="s">
        <v>16</v>
      </c>
      <c r="G3629" t="s">
        <v>24</v>
      </c>
      <c r="H3629" t="s">
        <v>18</v>
      </c>
      <c r="I3629" t="s">
        <v>19</v>
      </c>
      <c r="J3629" t="s">
        <v>20</v>
      </c>
      <c r="K3629" t="s">
        <v>21</v>
      </c>
      <c r="L3629" t="s">
        <v>22</v>
      </c>
      <c r="M3629">
        <v>3571.84</v>
      </c>
      <c r="N3629">
        <v>2020</v>
      </c>
      <c r="O3629">
        <v>6</v>
      </c>
    </row>
    <row r="3630" spans="1:15" x14ac:dyDescent="0.3">
      <c r="A3630" s="1">
        <v>44009</v>
      </c>
      <c r="B3630">
        <v>1000000037</v>
      </c>
      <c r="C3630" t="s">
        <v>15</v>
      </c>
      <c r="D3630">
        <v>1</v>
      </c>
      <c r="E3630">
        <v>17000.150000000001</v>
      </c>
      <c r="F3630" t="s">
        <v>16</v>
      </c>
      <c r="G3630" t="s">
        <v>17</v>
      </c>
      <c r="H3630" t="s">
        <v>18</v>
      </c>
      <c r="I3630" t="s">
        <v>19</v>
      </c>
      <c r="J3630" t="s">
        <v>20</v>
      </c>
      <c r="K3630" t="s">
        <v>21</v>
      </c>
      <c r="L3630" t="s">
        <v>22</v>
      </c>
      <c r="M3630">
        <v>17000.150000000001</v>
      </c>
      <c r="N3630">
        <v>2020</v>
      </c>
      <c r="O3630">
        <v>6</v>
      </c>
    </row>
    <row r="3631" spans="1:15" x14ac:dyDescent="0.3">
      <c r="A3631" s="1">
        <v>44009</v>
      </c>
      <c r="B3631">
        <v>1000000037</v>
      </c>
      <c r="C3631" t="s">
        <v>42</v>
      </c>
      <c r="D3631">
        <v>1</v>
      </c>
      <c r="E3631">
        <v>13000.12</v>
      </c>
      <c r="F3631" t="s">
        <v>16</v>
      </c>
      <c r="G3631" t="s">
        <v>43</v>
      </c>
      <c r="H3631" t="s">
        <v>18</v>
      </c>
      <c r="I3631" t="s">
        <v>19</v>
      </c>
      <c r="J3631" t="s">
        <v>20</v>
      </c>
      <c r="K3631" t="s">
        <v>21</v>
      </c>
      <c r="L3631" t="s">
        <v>22</v>
      </c>
      <c r="M3631">
        <v>13000.12</v>
      </c>
      <c r="N3631">
        <v>2020</v>
      </c>
      <c r="O3631">
        <v>6</v>
      </c>
    </row>
    <row r="3632" spans="1:15" x14ac:dyDescent="0.3">
      <c r="A3632" s="1">
        <v>44009</v>
      </c>
      <c r="B3632">
        <v>1000000039</v>
      </c>
      <c r="C3632" t="s">
        <v>23</v>
      </c>
      <c r="D3632">
        <v>1</v>
      </c>
      <c r="E3632">
        <v>10000.290000000001</v>
      </c>
      <c r="F3632" t="s">
        <v>16</v>
      </c>
      <c r="G3632" t="s">
        <v>24</v>
      </c>
      <c r="H3632" t="s">
        <v>18</v>
      </c>
      <c r="I3632" t="s">
        <v>25</v>
      </c>
      <c r="J3632" t="s">
        <v>20</v>
      </c>
      <c r="K3632" t="s">
        <v>51</v>
      </c>
      <c r="L3632" t="s">
        <v>28</v>
      </c>
      <c r="M3632">
        <v>10000.290000000001</v>
      </c>
      <c r="N3632">
        <v>2020</v>
      </c>
      <c r="O3632">
        <v>6</v>
      </c>
    </row>
    <row r="3633" spans="1:15" x14ac:dyDescent="0.3">
      <c r="A3633" s="1">
        <v>44009</v>
      </c>
      <c r="B3633">
        <v>1000000039</v>
      </c>
      <c r="C3633" t="s">
        <v>15</v>
      </c>
      <c r="D3633">
        <v>1</v>
      </c>
      <c r="E3633">
        <v>2446.4699999999998</v>
      </c>
      <c r="F3633" t="s">
        <v>16</v>
      </c>
      <c r="G3633" t="s">
        <v>17</v>
      </c>
      <c r="H3633" t="s">
        <v>18</v>
      </c>
      <c r="I3633" t="s">
        <v>25</v>
      </c>
      <c r="J3633" t="s">
        <v>20</v>
      </c>
      <c r="K3633" t="s">
        <v>51</v>
      </c>
      <c r="L3633" t="s">
        <v>28</v>
      </c>
      <c r="M3633">
        <v>2446.4699999999998</v>
      </c>
      <c r="N3633">
        <v>2020</v>
      </c>
      <c r="O3633">
        <v>6</v>
      </c>
    </row>
    <row r="3634" spans="1:15" x14ac:dyDescent="0.3">
      <c r="A3634" s="1">
        <v>44009</v>
      </c>
      <c r="B3634">
        <v>1000000040</v>
      </c>
      <c r="C3634" t="s">
        <v>23</v>
      </c>
      <c r="D3634">
        <v>1</v>
      </c>
      <c r="E3634">
        <v>7500.59</v>
      </c>
      <c r="F3634" t="s">
        <v>16</v>
      </c>
      <c r="G3634" t="s">
        <v>24</v>
      </c>
      <c r="H3634" t="s">
        <v>30</v>
      </c>
      <c r="I3634" t="s">
        <v>31</v>
      </c>
      <c r="J3634" t="s">
        <v>32</v>
      </c>
      <c r="K3634" t="s">
        <v>33</v>
      </c>
      <c r="L3634" t="s">
        <v>28</v>
      </c>
      <c r="M3634">
        <v>7500.59</v>
      </c>
      <c r="N3634">
        <v>2020</v>
      </c>
      <c r="O3634">
        <v>6</v>
      </c>
    </row>
    <row r="3635" spans="1:15" x14ac:dyDescent="0.3">
      <c r="A3635" s="1">
        <v>44009</v>
      </c>
      <c r="B3635">
        <v>1000000041</v>
      </c>
      <c r="C3635" t="s">
        <v>42</v>
      </c>
      <c r="D3635">
        <v>1</v>
      </c>
      <c r="E3635">
        <v>3280.08</v>
      </c>
      <c r="F3635" t="s">
        <v>16</v>
      </c>
      <c r="G3635" t="s">
        <v>43</v>
      </c>
      <c r="H3635" t="s">
        <v>30</v>
      </c>
      <c r="I3635" t="s">
        <v>31</v>
      </c>
      <c r="J3635" t="s">
        <v>32</v>
      </c>
      <c r="K3635" t="s">
        <v>33</v>
      </c>
      <c r="L3635" t="s">
        <v>22</v>
      </c>
      <c r="M3635">
        <v>3280.08</v>
      </c>
      <c r="N3635">
        <v>2020</v>
      </c>
      <c r="O3635">
        <v>6</v>
      </c>
    </row>
    <row r="3636" spans="1:15" x14ac:dyDescent="0.3">
      <c r="A3636" s="1">
        <v>44009</v>
      </c>
      <c r="B3636">
        <v>1000000044</v>
      </c>
      <c r="C3636" t="s">
        <v>73</v>
      </c>
      <c r="D3636">
        <v>1</v>
      </c>
      <c r="E3636">
        <v>1994.41</v>
      </c>
      <c r="F3636" t="s">
        <v>16</v>
      </c>
      <c r="G3636" t="s">
        <v>74</v>
      </c>
      <c r="H3636" t="s">
        <v>30</v>
      </c>
      <c r="I3636" t="s">
        <v>31</v>
      </c>
      <c r="J3636" t="s">
        <v>36</v>
      </c>
      <c r="K3636" t="s">
        <v>52</v>
      </c>
      <c r="L3636" t="s">
        <v>28</v>
      </c>
      <c r="M3636">
        <v>1994.41</v>
      </c>
      <c r="N3636">
        <v>2020</v>
      </c>
      <c r="O3636">
        <v>6</v>
      </c>
    </row>
    <row r="3637" spans="1:15" x14ac:dyDescent="0.3">
      <c r="A3637" s="1">
        <v>44009</v>
      </c>
      <c r="B3637">
        <v>1000000044</v>
      </c>
      <c r="C3637" t="s">
        <v>71</v>
      </c>
      <c r="D3637">
        <v>1</v>
      </c>
      <c r="E3637">
        <v>2000.02</v>
      </c>
      <c r="F3637" t="s">
        <v>16</v>
      </c>
      <c r="G3637" t="s">
        <v>72</v>
      </c>
      <c r="H3637" t="s">
        <v>30</v>
      </c>
      <c r="I3637" t="s">
        <v>31</v>
      </c>
      <c r="J3637" t="s">
        <v>36</v>
      </c>
      <c r="K3637" t="s">
        <v>52</v>
      </c>
      <c r="L3637" t="s">
        <v>28</v>
      </c>
      <c r="M3637">
        <v>2000.02</v>
      </c>
      <c r="N3637">
        <v>2020</v>
      </c>
      <c r="O3637">
        <v>6</v>
      </c>
    </row>
    <row r="3638" spans="1:15" x14ac:dyDescent="0.3">
      <c r="A3638" s="1">
        <v>44009</v>
      </c>
      <c r="B3638">
        <v>1000000044</v>
      </c>
      <c r="C3638" t="s">
        <v>15</v>
      </c>
      <c r="D3638">
        <v>1</v>
      </c>
      <c r="E3638">
        <v>12000.36</v>
      </c>
      <c r="F3638" t="s">
        <v>16</v>
      </c>
      <c r="G3638" t="s">
        <v>17</v>
      </c>
      <c r="H3638" t="s">
        <v>30</v>
      </c>
      <c r="I3638" t="s">
        <v>31</v>
      </c>
      <c r="J3638" t="s">
        <v>36</v>
      </c>
      <c r="K3638" t="s">
        <v>52</v>
      </c>
      <c r="L3638" t="s">
        <v>28</v>
      </c>
      <c r="M3638">
        <v>12000.36</v>
      </c>
      <c r="N3638">
        <v>2020</v>
      </c>
      <c r="O3638">
        <v>6</v>
      </c>
    </row>
    <row r="3639" spans="1:15" x14ac:dyDescent="0.3">
      <c r="A3639" s="1">
        <v>44009</v>
      </c>
      <c r="B3639">
        <v>1000000045</v>
      </c>
      <c r="C3639" t="s">
        <v>75</v>
      </c>
      <c r="D3639">
        <v>1</v>
      </c>
      <c r="E3639">
        <v>3700.58</v>
      </c>
      <c r="F3639" t="s">
        <v>16</v>
      </c>
      <c r="G3639" t="s">
        <v>76</v>
      </c>
      <c r="H3639" t="s">
        <v>47</v>
      </c>
      <c r="I3639" t="s">
        <v>59</v>
      </c>
      <c r="J3639" t="s">
        <v>26</v>
      </c>
      <c r="K3639" t="s">
        <v>60</v>
      </c>
      <c r="L3639" t="s">
        <v>22</v>
      </c>
      <c r="M3639">
        <v>3700.58</v>
      </c>
      <c r="N3639">
        <v>2020</v>
      </c>
      <c r="O3639">
        <v>6</v>
      </c>
    </row>
    <row r="3640" spans="1:15" x14ac:dyDescent="0.3">
      <c r="A3640" s="1">
        <v>44009</v>
      </c>
      <c r="B3640">
        <v>1000000045</v>
      </c>
      <c r="C3640" t="s">
        <v>23</v>
      </c>
      <c r="D3640">
        <v>2</v>
      </c>
      <c r="E3640">
        <v>1501.05</v>
      </c>
      <c r="F3640" t="s">
        <v>16</v>
      </c>
      <c r="G3640" t="s">
        <v>24</v>
      </c>
      <c r="H3640" t="s">
        <v>47</v>
      </c>
      <c r="I3640" t="s">
        <v>59</v>
      </c>
      <c r="J3640" t="s">
        <v>26</v>
      </c>
      <c r="K3640" t="s">
        <v>60</v>
      </c>
      <c r="L3640" t="s">
        <v>22</v>
      </c>
      <c r="M3640">
        <v>750.52499999999998</v>
      </c>
      <c r="N3640">
        <v>2020</v>
      </c>
      <c r="O3640">
        <v>6</v>
      </c>
    </row>
    <row r="3641" spans="1:15" x14ac:dyDescent="0.3">
      <c r="A3641" s="1">
        <v>44009</v>
      </c>
      <c r="B3641">
        <v>1000000045</v>
      </c>
      <c r="C3641" t="s">
        <v>15</v>
      </c>
      <c r="D3641">
        <v>1</v>
      </c>
      <c r="E3641">
        <v>999.99</v>
      </c>
      <c r="F3641" t="s">
        <v>16</v>
      </c>
      <c r="G3641" t="s">
        <v>17</v>
      </c>
      <c r="H3641" t="s">
        <v>47</v>
      </c>
      <c r="I3641" t="s">
        <v>59</v>
      </c>
      <c r="J3641" t="s">
        <v>26</v>
      </c>
      <c r="K3641" t="s">
        <v>60</v>
      </c>
      <c r="L3641" t="s">
        <v>22</v>
      </c>
      <c r="M3641">
        <v>999.99</v>
      </c>
      <c r="N3641">
        <v>2020</v>
      </c>
      <c r="O3641">
        <v>6</v>
      </c>
    </row>
    <row r="3642" spans="1:15" x14ac:dyDescent="0.3">
      <c r="A3642" s="1">
        <v>44009</v>
      </c>
      <c r="B3642">
        <v>1000000056</v>
      </c>
      <c r="C3642" t="s">
        <v>75</v>
      </c>
      <c r="D3642">
        <v>1</v>
      </c>
      <c r="E3642">
        <v>800.43</v>
      </c>
      <c r="F3642" t="s">
        <v>16</v>
      </c>
      <c r="G3642" t="s">
        <v>76</v>
      </c>
      <c r="H3642" t="s">
        <v>18</v>
      </c>
      <c r="I3642" t="s">
        <v>34</v>
      </c>
      <c r="J3642" t="s">
        <v>26</v>
      </c>
      <c r="K3642" t="s">
        <v>35</v>
      </c>
      <c r="L3642" t="s">
        <v>28</v>
      </c>
      <c r="M3642">
        <v>800.43</v>
      </c>
      <c r="N3642">
        <v>2020</v>
      </c>
      <c r="O3642">
        <v>6</v>
      </c>
    </row>
    <row r="3643" spans="1:15" x14ac:dyDescent="0.3">
      <c r="A3643" s="1">
        <v>44009</v>
      </c>
      <c r="B3643">
        <v>1000000056</v>
      </c>
      <c r="C3643" t="s">
        <v>71</v>
      </c>
      <c r="D3643">
        <v>1</v>
      </c>
      <c r="E3643">
        <v>962.56</v>
      </c>
      <c r="F3643" t="s">
        <v>16</v>
      </c>
      <c r="G3643" t="s">
        <v>72</v>
      </c>
      <c r="H3643" t="s">
        <v>18</v>
      </c>
      <c r="I3643" t="s">
        <v>34</v>
      </c>
      <c r="J3643" t="s">
        <v>26</v>
      </c>
      <c r="K3643" t="s">
        <v>35</v>
      </c>
      <c r="L3643" t="s">
        <v>28</v>
      </c>
      <c r="M3643">
        <v>962.56</v>
      </c>
      <c r="N3643">
        <v>2020</v>
      </c>
      <c r="O3643">
        <v>6</v>
      </c>
    </row>
    <row r="3644" spans="1:15" x14ac:dyDescent="0.3">
      <c r="A3644" s="1">
        <v>44009</v>
      </c>
      <c r="B3644">
        <v>1000000056</v>
      </c>
      <c r="C3644" t="s">
        <v>15</v>
      </c>
      <c r="D3644">
        <v>1</v>
      </c>
      <c r="E3644">
        <v>20000.2</v>
      </c>
      <c r="F3644" t="s">
        <v>16</v>
      </c>
      <c r="G3644" t="s">
        <v>17</v>
      </c>
      <c r="H3644" t="s">
        <v>18</v>
      </c>
      <c r="I3644" t="s">
        <v>34</v>
      </c>
      <c r="J3644" t="s">
        <v>26</v>
      </c>
      <c r="K3644" t="s">
        <v>35</v>
      </c>
      <c r="L3644" t="s">
        <v>28</v>
      </c>
      <c r="M3644">
        <v>20000.2</v>
      </c>
      <c r="N3644">
        <v>2020</v>
      </c>
      <c r="O3644">
        <v>6</v>
      </c>
    </row>
    <row r="3645" spans="1:15" x14ac:dyDescent="0.3">
      <c r="A3645" s="1">
        <v>44009</v>
      </c>
      <c r="B3645">
        <v>1000000067</v>
      </c>
      <c r="C3645" t="s">
        <v>75</v>
      </c>
      <c r="D3645">
        <v>1</v>
      </c>
      <c r="E3645">
        <v>1600.31</v>
      </c>
      <c r="F3645" t="s">
        <v>16</v>
      </c>
      <c r="G3645" t="s">
        <v>76</v>
      </c>
      <c r="H3645" t="s">
        <v>18</v>
      </c>
      <c r="I3645" t="s">
        <v>25</v>
      </c>
      <c r="J3645" t="s">
        <v>20</v>
      </c>
      <c r="K3645" t="s">
        <v>51</v>
      </c>
      <c r="L3645" t="s">
        <v>22</v>
      </c>
      <c r="M3645">
        <v>1600.31</v>
      </c>
      <c r="N3645">
        <v>2020</v>
      </c>
      <c r="O3645">
        <v>6</v>
      </c>
    </row>
    <row r="3646" spans="1:15" x14ac:dyDescent="0.3">
      <c r="A3646" s="1">
        <v>44009</v>
      </c>
      <c r="B3646">
        <v>1000000067</v>
      </c>
      <c r="C3646" t="s">
        <v>15</v>
      </c>
      <c r="D3646">
        <v>1</v>
      </c>
      <c r="E3646">
        <v>20000.41</v>
      </c>
      <c r="F3646" t="s">
        <v>16</v>
      </c>
      <c r="G3646" t="s">
        <v>17</v>
      </c>
      <c r="H3646" t="s">
        <v>18</v>
      </c>
      <c r="I3646" t="s">
        <v>25</v>
      </c>
      <c r="J3646" t="s">
        <v>20</v>
      </c>
      <c r="K3646" t="s">
        <v>51</v>
      </c>
      <c r="L3646" t="s">
        <v>22</v>
      </c>
      <c r="M3646">
        <v>20000.41</v>
      </c>
      <c r="N3646">
        <v>2020</v>
      </c>
      <c r="O3646">
        <v>6</v>
      </c>
    </row>
    <row r="3647" spans="1:15" x14ac:dyDescent="0.3">
      <c r="A3647" s="1">
        <v>44009</v>
      </c>
      <c r="B3647">
        <v>1000000068</v>
      </c>
      <c r="C3647" t="s">
        <v>23</v>
      </c>
      <c r="D3647">
        <v>1</v>
      </c>
      <c r="E3647">
        <v>21000.239999999998</v>
      </c>
      <c r="F3647" t="s">
        <v>16</v>
      </c>
      <c r="G3647" t="s">
        <v>24</v>
      </c>
      <c r="H3647" t="s">
        <v>30</v>
      </c>
      <c r="I3647" t="s">
        <v>55</v>
      </c>
      <c r="J3647" t="s">
        <v>26</v>
      </c>
      <c r="K3647" t="s">
        <v>56</v>
      </c>
      <c r="L3647" t="s">
        <v>28</v>
      </c>
      <c r="M3647">
        <v>21000.239999999998</v>
      </c>
      <c r="N3647">
        <v>2020</v>
      </c>
      <c r="O3647">
        <v>6</v>
      </c>
    </row>
    <row r="3648" spans="1:15" x14ac:dyDescent="0.3">
      <c r="A3648" s="1">
        <v>44009</v>
      </c>
      <c r="B3648">
        <v>1000000104</v>
      </c>
      <c r="C3648" t="s">
        <v>15</v>
      </c>
      <c r="D3648">
        <v>1</v>
      </c>
      <c r="E3648">
        <v>5999.93</v>
      </c>
      <c r="F3648" t="s">
        <v>16</v>
      </c>
      <c r="G3648" t="s">
        <v>17</v>
      </c>
      <c r="H3648" t="s">
        <v>18</v>
      </c>
      <c r="I3648" t="s">
        <v>40</v>
      </c>
      <c r="J3648" t="s">
        <v>26</v>
      </c>
      <c r="K3648" t="s">
        <v>41</v>
      </c>
      <c r="L3648" t="s">
        <v>22</v>
      </c>
      <c r="M3648">
        <v>5999.93</v>
      </c>
      <c r="N3648">
        <v>2020</v>
      </c>
      <c r="O3648">
        <v>6</v>
      </c>
    </row>
    <row r="3649" spans="1:15" x14ac:dyDescent="0.3">
      <c r="A3649" s="1">
        <v>44009</v>
      </c>
      <c r="B3649">
        <v>1000000104</v>
      </c>
      <c r="C3649" t="s">
        <v>42</v>
      </c>
      <c r="D3649">
        <v>1</v>
      </c>
      <c r="E3649">
        <v>2000.52</v>
      </c>
      <c r="F3649" t="s">
        <v>16</v>
      </c>
      <c r="G3649" t="s">
        <v>43</v>
      </c>
      <c r="H3649" t="s">
        <v>18</v>
      </c>
      <c r="I3649" t="s">
        <v>40</v>
      </c>
      <c r="J3649" t="s">
        <v>26</v>
      </c>
      <c r="K3649" t="s">
        <v>41</v>
      </c>
      <c r="L3649" t="s">
        <v>22</v>
      </c>
      <c r="M3649">
        <v>2000.52</v>
      </c>
      <c r="N3649">
        <v>2020</v>
      </c>
      <c r="O3649">
        <v>6</v>
      </c>
    </row>
    <row r="3650" spans="1:15" x14ac:dyDescent="0.3">
      <c r="A3650" s="1">
        <v>44009</v>
      </c>
      <c r="B3650">
        <v>1000000237</v>
      </c>
      <c r="C3650" t="s">
        <v>42</v>
      </c>
      <c r="D3650">
        <v>1</v>
      </c>
      <c r="E3650">
        <v>5000.6000000000004</v>
      </c>
      <c r="F3650" t="s">
        <v>16</v>
      </c>
      <c r="G3650" t="s">
        <v>43</v>
      </c>
      <c r="H3650" t="s">
        <v>18</v>
      </c>
      <c r="I3650" t="s">
        <v>40</v>
      </c>
      <c r="J3650" t="s">
        <v>26</v>
      </c>
      <c r="K3650" t="s">
        <v>41</v>
      </c>
      <c r="L3650" t="s">
        <v>22</v>
      </c>
      <c r="M3650">
        <v>5000.6000000000004</v>
      </c>
      <c r="N3650">
        <v>2020</v>
      </c>
      <c r="O3650">
        <v>6</v>
      </c>
    </row>
    <row r="3651" spans="1:15" x14ac:dyDescent="0.3">
      <c r="A3651" s="1">
        <v>44009</v>
      </c>
      <c r="B3651">
        <v>1000000566</v>
      </c>
      <c r="C3651" t="s">
        <v>23</v>
      </c>
      <c r="D3651">
        <v>2</v>
      </c>
      <c r="E3651">
        <v>2000.73</v>
      </c>
      <c r="F3651" t="s">
        <v>16</v>
      </c>
      <c r="G3651" t="s">
        <v>24</v>
      </c>
      <c r="H3651" t="s">
        <v>47</v>
      </c>
      <c r="I3651" t="s">
        <v>48</v>
      </c>
      <c r="J3651" t="s">
        <v>36</v>
      </c>
      <c r="K3651" t="s">
        <v>49</v>
      </c>
      <c r="L3651" t="s">
        <v>22</v>
      </c>
      <c r="M3651">
        <v>1000.365</v>
      </c>
      <c r="N3651">
        <v>2020</v>
      </c>
      <c r="O3651">
        <v>6</v>
      </c>
    </row>
    <row r="3652" spans="1:15" x14ac:dyDescent="0.3">
      <c r="A3652" s="1">
        <v>44009</v>
      </c>
      <c r="B3652">
        <v>1000000566</v>
      </c>
      <c r="C3652" t="s">
        <v>15</v>
      </c>
      <c r="D3652">
        <v>1</v>
      </c>
      <c r="E3652">
        <v>500.18</v>
      </c>
      <c r="F3652" t="s">
        <v>16</v>
      </c>
      <c r="G3652" t="s">
        <v>17</v>
      </c>
      <c r="H3652" t="s">
        <v>47</v>
      </c>
      <c r="I3652" t="s">
        <v>48</v>
      </c>
      <c r="J3652" t="s">
        <v>36</v>
      </c>
      <c r="K3652" t="s">
        <v>49</v>
      </c>
      <c r="L3652" t="s">
        <v>22</v>
      </c>
      <c r="M3652">
        <v>500.18</v>
      </c>
      <c r="N3652">
        <v>2020</v>
      </c>
      <c r="O3652">
        <v>6</v>
      </c>
    </row>
    <row r="3653" spans="1:15" x14ac:dyDescent="0.3">
      <c r="A3653" s="1">
        <v>44009</v>
      </c>
      <c r="B3653">
        <v>1000000566</v>
      </c>
      <c r="C3653" t="s">
        <v>42</v>
      </c>
      <c r="D3653">
        <v>1</v>
      </c>
      <c r="E3653">
        <v>25000.2</v>
      </c>
      <c r="F3653" t="s">
        <v>16</v>
      </c>
      <c r="G3653" t="s">
        <v>43</v>
      </c>
      <c r="H3653" t="s">
        <v>47</v>
      </c>
      <c r="I3653" t="s">
        <v>48</v>
      </c>
      <c r="J3653" t="s">
        <v>36</v>
      </c>
      <c r="K3653" t="s">
        <v>49</v>
      </c>
      <c r="L3653" t="s">
        <v>22</v>
      </c>
      <c r="M3653">
        <v>25000.2</v>
      </c>
      <c r="N3653">
        <v>2020</v>
      </c>
      <c r="O3653">
        <v>6</v>
      </c>
    </row>
    <row r="3654" spans="1:15" x14ac:dyDescent="0.3">
      <c r="A3654" s="1">
        <v>44009</v>
      </c>
      <c r="B3654">
        <v>1000000594</v>
      </c>
      <c r="C3654" t="s">
        <v>15</v>
      </c>
      <c r="D3654">
        <v>1</v>
      </c>
      <c r="E3654">
        <v>1000.01</v>
      </c>
      <c r="F3654" t="s">
        <v>16</v>
      </c>
      <c r="G3654" t="s">
        <v>17</v>
      </c>
      <c r="H3654" t="s">
        <v>18</v>
      </c>
      <c r="I3654" t="s">
        <v>25</v>
      </c>
      <c r="J3654" t="s">
        <v>20</v>
      </c>
      <c r="K3654" t="s">
        <v>51</v>
      </c>
      <c r="L3654" t="s">
        <v>22</v>
      </c>
      <c r="M3654">
        <v>1000.01</v>
      </c>
      <c r="N3654">
        <v>2020</v>
      </c>
      <c r="O3654">
        <v>6</v>
      </c>
    </row>
    <row r="3655" spans="1:15" x14ac:dyDescent="0.3">
      <c r="A3655" s="1">
        <v>44009</v>
      </c>
      <c r="B3655">
        <v>1000001524</v>
      </c>
      <c r="C3655" t="s">
        <v>71</v>
      </c>
      <c r="D3655">
        <v>1</v>
      </c>
      <c r="E3655">
        <v>4000.16</v>
      </c>
      <c r="F3655" t="s">
        <v>16</v>
      </c>
      <c r="G3655" t="s">
        <v>72</v>
      </c>
      <c r="H3655" t="s">
        <v>18</v>
      </c>
      <c r="I3655" t="s">
        <v>25</v>
      </c>
      <c r="J3655" t="s">
        <v>20</v>
      </c>
      <c r="K3655" t="s">
        <v>51</v>
      </c>
      <c r="L3655" t="s">
        <v>22</v>
      </c>
      <c r="M3655">
        <v>4000.16</v>
      </c>
      <c r="N3655">
        <v>2020</v>
      </c>
      <c r="O3655">
        <v>6</v>
      </c>
    </row>
    <row r="3656" spans="1:15" x14ac:dyDescent="0.3">
      <c r="A3656" s="1">
        <v>44009</v>
      </c>
      <c r="B3656">
        <v>1000001524</v>
      </c>
      <c r="C3656" t="s">
        <v>42</v>
      </c>
      <c r="D3656">
        <v>2</v>
      </c>
      <c r="E3656">
        <v>18940.789999999997</v>
      </c>
      <c r="F3656" t="s">
        <v>16</v>
      </c>
      <c r="G3656" t="s">
        <v>43</v>
      </c>
      <c r="H3656" t="s">
        <v>18</v>
      </c>
      <c r="I3656" t="s">
        <v>25</v>
      </c>
      <c r="J3656" t="s">
        <v>20</v>
      </c>
      <c r="K3656" t="s">
        <v>51</v>
      </c>
      <c r="L3656" t="s">
        <v>22</v>
      </c>
      <c r="M3656">
        <v>9470.3949999999986</v>
      </c>
      <c r="N3656">
        <v>2020</v>
      </c>
      <c r="O3656">
        <v>6</v>
      </c>
    </row>
    <row r="3657" spans="1:15" x14ac:dyDescent="0.3">
      <c r="A3657" s="1">
        <v>44009</v>
      </c>
      <c r="B3657">
        <v>1000002861</v>
      </c>
      <c r="C3657" t="s">
        <v>15</v>
      </c>
      <c r="D3657">
        <v>1</v>
      </c>
      <c r="E3657">
        <v>6500.24</v>
      </c>
      <c r="F3657" t="s">
        <v>16</v>
      </c>
      <c r="G3657" t="s">
        <v>17</v>
      </c>
      <c r="H3657" t="s">
        <v>47</v>
      </c>
      <c r="I3657" t="s">
        <v>48</v>
      </c>
      <c r="J3657" t="s">
        <v>36</v>
      </c>
      <c r="K3657" t="s">
        <v>49</v>
      </c>
      <c r="L3657" t="s">
        <v>22</v>
      </c>
      <c r="M3657">
        <v>6500.24</v>
      </c>
      <c r="N3657">
        <v>2020</v>
      </c>
      <c r="O3657">
        <v>6</v>
      </c>
    </row>
    <row r="3658" spans="1:15" x14ac:dyDescent="0.3">
      <c r="A3658" s="1">
        <v>44009</v>
      </c>
      <c r="B3658">
        <v>1000002861</v>
      </c>
      <c r="C3658" t="s">
        <v>42</v>
      </c>
      <c r="D3658">
        <v>1</v>
      </c>
      <c r="E3658">
        <v>10000.66</v>
      </c>
      <c r="F3658" t="s">
        <v>16</v>
      </c>
      <c r="G3658" t="s">
        <v>43</v>
      </c>
      <c r="H3658" t="s">
        <v>47</v>
      </c>
      <c r="I3658" t="s">
        <v>48</v>
      </c>
      <c r="J3658" t="s">
        <v>36</v>
      </c>
      <c r="K3658" t="s">
        <v>49</v>
      </c>
      <c r="L3658" t="s">
        <v>22</v>
      </c>
      <c r="M3658">
        <v>10000.66</v>
      </c>
      <c r="N3658">
        <v>2020</v>
      </c>
      <c r="O3658">
        <v>6</v>
      </c>
    </row>
    <row r="3659" spans="1:15" x14ac:dyDescent="0.3">
      <c r="A3659" s="1">
        <v>44009</v>
      </c>
      <c r="B3659">
        <v>1000003803</v>
      </c>
      <c r="C3659" t="s">
        <v>15</v>
      </c>
      <c r="D3659">
        <v>1</v>
      </c>
      <c r="E3659">
        <v>6500.3</v>
      </c>
      <c r="F3659" t="s">
        <v>16</v>
      </c>
      <c r="G3659" t="s">
        <v>17</v>
      </c>
      <c r="H3659" t="s">
        <v>30</v>
      </c>
      <c r="I3659" t="s">
        <v>31</v>
      </c>
      <c r="J3659" t="s">
        <v>36</v>
      </c>
      <c r="K3659" t="s">
        <v>52</v>
      </c>
      <c r="L3659" t="s">
        <v>22</v>
      </c>
      <c r="M3659">
        <v>6500.3</v>
      </c>
      <c r="N3659">
        <v>2020</v>
      </c>
      <c r="O3659">
        <v>6</v>
      </c>
    </row>
    <row r="3660" spans="1:15" x14ac:dyDescent="0.3">
      <c r="A3660" s="1">
        <v>44009</v>
      </c>
      <c r="B3660">
        <v>1000003989</v>
      </c>
      <c r="C3660" t="s">
        <v>71</v>
      </c>
      <c r="D3660">
        <v>1</v>
      </c>
      <c r="E3660">
        <v>1182.43</v>
      </c>
      <c r="F3660" t="s">
        <v>16</v>
      </c>
      <c r="G3660" t="s">
        <v>72</v>
      </c>
      <c r="H3660" t="s">
        <v>30</v>
      </c>
      <c r="I3660" t="s">
        <v>31</v>
      </c>
      <c r="J3660" t="s">
        <v>36</v>
      </c>
      <c r="K3660" t="s">
        <v>52</v>
      </c>
      <c r="L3660" t="s">
        <v>22</v>
      </c>
      <c r="M3660">
        <v>1182.43</v>
      </c>
      <c r="N3660">
        <v>2020</v>
      </c>
      <c r="O3660">
        <v>6</v>
      </c>
    </row>
    <row r="3661" spans="1:15" x14ac:dyDescent="0.3">
      <c r="A3661" s="1">
        <v>44009</v>
      </c>
      <c r="B3661">
        <v>1000004170</v>
      </c>
      <c r="C3661" t="s">
        <v>23</v>
      </c>
      <c r="D3661">
        <v>2</v>
      </c>
      <c r="E3661">
        <v>25000.239999999998</v>
      </c>
      <c r="F3661" t="s">
        <v>16</v>
      </c>
      <c r="G3661" t="s">
        <v>24</v>
      </c>
      <c r="H3661" t="s">
        <v>18</v>
      </c>
      <c r="I3661" t="s">
        <v>34</v>
      </c>
      <c r="J3661" t="s">
        <v>20</v>
      </c>
      <c r="K3661" t="s">
        <v>44</v>
      </c>
      <c r="L3661" t="s">
        <v>28</v>
      </c>
      <c r="M3661">
        <v>12500.119999999999</v>
      </c>
      <c r="N3661">
        <v>2020</v>
      </c>
      <c r="O3661">
        <v>6</v>
      </c>
    </row>
    <row r="3662" spans="1:15" x14ac:dyDescent="0.3">
      <c r="A3662" s="1">
        <v>44009</v>
      </c>
      <c r="B3662">
        <v>1000004256</v>
      </c>
      <c r="C3662" t="s">
        <v>42</v>
      </c>
      <c r="D3662">
        <v>1</v>
      </c>
      <c r="E3662">
        <v>17000.57</v>
      </c>
      <c r="F3662" t="s">
        <v>16</v>
      </c>
      <c r="G3662" t="s">
        <v>43</v>
      </c>
      <c r="H3662" t="s">
        <v>18</v>
      </c>
      <c r="I3662" t="s">
        <v>40</v>
      </c>
      <c r="J3662" t="s">
        <v>26</v>
      </c>
      <c r="K3662" t="s">
        <v>41</v>
      </c>
      <c r="L3662" t="s">
        <v>22</v>
      </c>
      <c r="M3662">
        <v>17000.57</v>
      </c>
      <c r="N3662">
        <v>2020</v>
      </c>
      <c r="O3662">
        <v>6</v>
      </c>
    </row>
    <row r="3663" spans="1:15" x14ac:dyDescent="0.3">
      <c r="A3663" s="1">
        <v>44009</v>
      </c>
      <c r="B3663">
        <v>1000005873</v>
      </c>
      <c r="C3663" t="s">
        <v>23</v>
      </c>
      <c r="D3663">
        <v>2</v>
      </c>
      <c r="E3663">
        <v>27001.03</v>
      </c>
      <c r="F3663" t="s">
        <v>16</v>
      </c>
      <c r="G3663" t="s">
        <v>24</v>
      </c>
      <c r="H3663" t="s">
        <v>18</v>
      </c>
      <c r="I3663" t="s">
        <v>19</v>
      </c>
      <c r="J3663" t="s">
        <v>20</v>
      </c>
      <c r="K3663" t="s">
        <v>21</v>
      </c>
      <c r="L3663" t="s">
        <v>28</v>
      </c>
      <c r="M3663">
        <v>13500.514999999999</v>
      </c>
      <c r="N3663">
        <v>2020</v>
      </c>
      <c r="O3663">
        <v>6</v>
      </c>
    </row>
    <row r="3664" spans="1:15" x14ac:dyDescent="0.3">
      <c r="A3664" s="1">
        <v>44009</v>
      </c>
      <c r="B3664">
        <v>1000006064</v>
      </c>
      <c r="C3664" t="s">
        <v>42</v>
      </c>
      <c r="D3664">
        <v>4</v>
      </c>
      <c r="E3664">
        <v>34500.81</v>
      </c>
      <c r="F3664" t="s">
        <v>16</v>
      </c>
      <c r="G3664" t="s">
        <v>43</v>
      </c>
      <c r="H3664" t="s">
        <v>18</v>
      </c>
      <c r="I3664" t="s">
        <v>40</v>
      </c>
      <c r="J3664" t="s">
        <v>26</v>
      </c>
      <c r="K3664" t="s">
        <v>41</v>
      </c>
      <c r="L3664" t="s">
        <v>22</v>
      </c>
      <c r="M3664">
        <v>8625.2024999999994</v>
      </c>
      <c r="N3664">
        <v>2020</v>
      </c>
      <c r="O3664">
        <v>6</v>
      </c>
    </row>
    <row r="3665" spans="1:15" x14ac:dyDescent="0.3">
      <c r="A3665" s="1">
        <v>44009</v>
      </c>
      <c r="B3665">
        <v>1000006698</v>
      </c>
      <c r="C3665" t="s">
        <v>42</v>
      </c>
      <c r="D3665">
        <v>1</v>
      </c>
      <c r="E3665">
        <v>27000.12</v>
      </c>
      <c r="F3665" t="s">
        <v>16</v>
      </c>
      <c r="G3665" t="s">
        <v>43</v>
      </c>
      <c r="H3665" t="s">
        <v>30</v>
      </c>
      <c r="I3665" t="s">
        <v>38</v>
      </c>
      <c r="J3665" t="s">
        <v>26</v>
      </c>
      <c r="K3665" t="s">
        <v>39</v>
      </c>
      <c r="L3665" t="s">
        <v>28</v>
      </c>
      <c r="M3665">
        <v>27000.12</v>
      </c>
      <c r="N3665">
        <v>2020</v>
      </c>
      <c r="O3665">
        <v>6</v>
      </c>
    </row>
    <row r="3666" spans="1:15" x14ac:dyDescent="0.3">
      <c r="A3666" s="1">
        <v>44009</v>
      </c>
      <c r="B3666">
        <v>1000006859</v>
      </c>
      <c r="C3666" t="s">
        <v>15</v>
      </c>
      <c r="D3666">
        <v>1</v>
      </c>
      <c r="E3666">
        <v>1499.95</v>
      </c>
      <c r="F3666" t="s">
        <v>16</v>
      </c>
      <c r="G3666" t="s">
        <v>17</v>
      </c>
      <c r="H3666" t="s">
        <v>18</v>
      </c>
      <c r="I3666" t="s">
        <v>61</v>
      </c>
      <c r="J3666" t="s">
        <v>26</v>
      </c>
      <c r="K3666" t="s">
        <v>62</v>
      </c>
      <c r="L3666" t="s">
        <v>22</v>
      </c>
      <c r="M3666">
        <v>1499.95</v>
      </c>
      <c r="N3666">
        <v>2020</v>
      </c>
      <c r="O3666">
        <v>6</v>
      </c>
    </row>
    <row r="3667" spans="1:15" x14ac:dyDescent="0.3">
      <c r="A3667" s="1">
        <v>44009</v>
      </c>
      <c r="B3667">
        <v>1000006860</v>
      </c>
      <c r="C3667" t="s">
        <v>73</v>
      </c>
      <c r="D3667">
        <v>2</v>
      </c>
      <c r="E3667">
        <v>2087.33</v>
      </c>
      <c r="F3667" t="s">
        <v>16</v>
      </c>
      <c r="G3667" t="s">
        <v>74</v>
      </c>
      <c r="H3667" t="s">
        <v>18</v>
      </c>
      <c r="I3667" t="s">
        <v>61</v>
      </c>
      <c r="J3667" t="s">
        <v>26</v>
      </c>
      <c r="K3667" t="s">
        <v>62</v>
      </c>
      <c r="L3667" t="s">
        <v>22</v>
      </c>
      <c r="M3667">
        <v>1043.665</v>
      </c>
      <c r="N3667">
        <v>2020</v>
      </c>
      <c r="O3667">
        <v>6</v>
      </c>
    </row>
    <row r="3668" spans="1:15" x14ac:dyDescent="0.3">
      <c r="A3668" s="1">
        <v>44009</v>
      </c>
      <c r="B3668">
        <v>1000006869</v>
      </c>
      <c r="C3668" t="s">
        <v>23</v>
      </c>
      <c r="D3668">
        <v>1</v>
      </c>
      <c r="E3668">
        <v>9000.5499999999993</v>
      </c>
      <c r="F3668" t="s">
        <v>16</v>
      </c>
      <c r="G3668" t="s">
        <v>24</v>
      </c>
      <c r="H3668" t="s">
        <v>18</v>
      </c>
      <c r="I3668" t="s">
        <v>61</v>
      </c>
      <c r="J3668" t="s">
        <v>26</v>
      </c>
      <c r="K3668" t="s">
        <v>62</v>
      </c>
      <c r="L3668" t="s">
        <v>22</v>
      </c>
      <c r="M3668">
        <v>9000.5499999999993</v>
      </c>
      <c r="N3668">
        <v>2020</v>
      </c>
      <c r="O3668">
        <v>6</v>
      </c>
    </row>
    <row r="3669" spans="1:15" x14ac:dyDescent="0.3">
      <c r="A3669" s="1">
        <v>44009</v>
      </c>
      <c r="B3669">
        <v>1000006869</v>
      </c>
      <c r="C3669" t="s">
        <v>15</v>
      </c>
      <c r="D3669">
        <v>2</v>
      </c>
      <c r="E3669">
        <v>16001.07</v>
      </c>
      <c r="F3669" t="s">
        <v>16</v>
      </c>
      <c r="G3669" t="s">
        <v>17</v>
      </c>
      <c r="H3669" t="s">
        <v>18</v>
      </c>
      <c r="I3669" t="s">
        <v>61</v>
      </c>
      <c r="J3669" t="s">
        <v>26</v>
      </c>
      <c r="K3669" t="s">
        <v>62</v>
      </c>
      <c r="L3669" t="s">
        <v>22</v>
      </c>
      <c r="M3669">
        <v>8000.5349999999999</v>
      </c>
      <c r="N3669">
        <v>2020</v>
      </c>
      <c r="O3669">
        <v>6</v>
      </c>
    </row>
    <row r="3670" spans="1:15" x14ac:dyDescent="0.3">
      <c r="A3670" s="1">
        <v>44009</v>
      </c>
      <c r="B3670">
        <v>1000007320</v>
      </c>
      <c r="C3670" t="s">
        <v>75</v>
      </c>
      <c r="D3670">
        <v>1</v>
      </c>
      <c r="E3670">
        <v>4000.22</v>
      </c>
      <c r="F3670" t="s">
        <v>16</v>
      </c>
      <c r="G3670" t="s">
        <v>76</v>
      </c>
      <c r="H3670" t="s">
        <v>18</v>
      </c>
      <c r="I3670" t="s">
        <v>34</v>
      </c>
      <c r="J3670" t="s">
        <v>26</v>
      </c>
      <c r="K3670" t="s">
        <v>35</v>
      </c>
      <c r="L3670" t="s">
        <v>22</v>
      </c>
      <c r="M3670">
        <v>4000.22</v>
      </c>
      <c r="N3670">
        <v>2020</v>
      </c>
      <c r="O3670">
        <v>6</v>
      </c>
    </row>
    <row r="3671" spans="1:15" x14ac:dyDescent="0.3">
      <c r="A3671" s="1">
        <v>44009</v>
      </c>
      <c r="B3671">
        <v>1000007320</v>
      </c>
      <c r="C3671" t="s">
        <v>15</v>
      </c>
      <c r="D3671">
        <v>1</v>
      </c>
      <c r="E3671">
        <v>14000.17</v>
      </c>
      <c r="F3671" t="s">
        <v>16</v>
      </c>
      <c r="G3671" t="s">
        <v>17</v>
      </c>
      <c r="H3671" t="s">
        <v>18</v>
      </c>
      <c r="I3671" t="s">
        <v>34</v>
      </c>
      <c r="J3671" t="s">
        <v>26</v>
      </c>
      <c r="K3671" t="s">
        <v>35</v>
      </c>
      <c r="L3671" t="s">
        <v>22</v>
      </c>
      <c r="M3671">
        <v>14000.17</v>
      </c>
      <c r="N3671">
        <v>2020</v>
      </c>
      <c r="O3671">
        <v>6</v>
      </c>
    </row>
    <row r="3672" spans="1:15" x14ac:dyDescent="0.3">
      <c r="A3672" s="1">
        <v>44009</v>
      </c>
      <c r="B3672">
        <v>1000007320</v>
      </c>
      <c r="C3672" t="s">
        <v>42</v>
      </c>
      <c r="D3672">
        <v>1</v>
      </c>
      <c r="E3672">
        <v>15000.1</v>
      </c>
      <c r="F3672" t="s">
        <v>16</v>
      </c>
      <c r="G3672" t="s">
        <v>43</v>
      </c>
      <c r="H3672" t="s">
        <v>18</v>
      </c>
      <c r="I3672" t="s">
        <v>34</v>
      </c>
      <c r="J3672" t="s">
        <v>26</v>
      </c>
      <c r="K3672" t="s">
        <v>35</v>
      </c>
      <c r="L3672" t="s">
        <v>22</v>
      </c>
      <c r="M3672">
        <v>15000.1</v>
      </c>
      <c r="N3672">
        <v>2020</v>
      </c>
      <c r="O3672">
        <v>6</v>
      </c>
    </row>
    <row r="3673" spans="1:15" x14ac:dyDescent="0.3">
      <c r="A3673" s="1">
        <v>44009</v>
      </c>
      <c r="B3673">
        <v>1000008228</v>
      </c>
      <c r="C3673" t="s">
        <v>23</v>
      </c>
      <c r="D3673">
        <v>1</v>
      </c>
      <c r="E3673">
        <v>16000.57</v>
      </c>
      <c r="F3673" t="s">
        <v>16</v>
      </c>
      <c r="G3673" t="s">
        <v>24</v>
      </c>
      <c r="H3673" t="s">
        <v>30</v>
      </c>
      <c r="I3673" t="s">
        <v>31</v>
      </c>
      <c r="J3673" t="s">
        <v>36</v>
      </c>
      <c r="K3673" t="s">
        <v>52</v>
      </c>
      <c r="L3673" t="s">
        <v>22</v>
      </c>
      <c r="M3673">
        <v>16000.57</v>
      </c>
      <c r="N3673">
        <v>2020</v>
      </c>
      <c r="O3673">
        <v>6</v>
      </c>
    </row>
    <row r="3674" spans="1:15" x14ac:dyDescent="0.3">
      <c r="A3674" s="1">
        <v>44009</v>
      </c>
      <c r="B3674">
        <v>1000008542</v>
      </c>
      <c r="C3674" t="s">
        <v>23</v>
      </c>
      <c r="D3674">
        <v>1</v>
      </c>
      <c r="E3674">
        <v>3000.51</v>
      </c>
      <c r="F3674" t="s">
        <v>16</v>
      </c>
      <c r="G3674" t="s">
        <v>24</v>
      </c>
      <c r="H3674" t="s">
        <v>18</v>
      </c>
      <c r="I3674" t="s">
        <v>40</v>
      </c>
      <c r="J3674" t="s">
        <v>26</v>
      </c>
      <c r="K3674" t="s">
        <v>41</v>
      </c>
      <c r="L3674" t="s">
        <v>22</v>
      </c>
      <c r="M3674">
        <v>3000.51</v>
      </c>
      <c r="N3674">
        <v>2020</v>
      </c>
      <c r="O3674">
        <v>6</v>
      </c>
    </row>
    <row r="3675" spans="1:15" x14ac:dyDescent="0.3">
      <c r="A3675" s="1">
        <v>44009</v>
      </c>
      <c r="B3675">
        <v>1000008542</v>
      </c>
      <c r="C3675" t="s">
        <v>15</v>
      </c>
      <c r="D3675">
        <v>1</v>
      </c>
      <c r="E3675">
        <v>12999.97</v>
      </c>
      <c r="F3675" t="s">
        <v>16</v>
      </c>
      <c r="G3675" t="s">
        <v>17</v>
      </c>
      <c r="H3675" t="s">
        <v>18</v>
      </c>
      <c r="I3675" t="s">
        <v>40</v>
      </c>
      <c r="J3675" t="s">
        <v>26</v>
      </c>
      <c r="K3675" t="s">
        <v>41</v>
      </c>
      <c r="L3675" t="s">
        <v>22</v>
      </c>
      <c r="M3675">
        <v>12999.97</v>
      </c>
      <c r="N3675">
        <v>2020</v>
      </c>
      <c r="O3675">
        <v>6</v>
      </c>
    </row>
    <row r="3676" spans="1:15" x14ac:dyDescent="0.3">
      <c r="A3676" s="1">
        <v>44009</v>
      </c>
      <c r="B3676">
        <v>1000008542</v>
      </c>
      <c r="C3676" t="s">
        <v>42</v>
      </c>
      <c r="D3676">
        <v>2</v>
      </c>
      <c r="E3676">
        <v>26500.73</v>
      </c>
      <c r="F3676" t="s">
        <v>16</v>
      </c>
      <c r="G3676" t="s">
        <v>43</v>
      </c>
      <c r="H3676" t="s">
        <v>18</v>
      </c>
      <c r="I3676" t="s">
        <v>40</v>
      </c>
      <c r="J3676" t="s">
        <v>26</v>
      </c>
      <c r="K3676" t="s">
        <v>41</v>
      </c>
      <c r="L3676" t="s">
        <v>22</v>
      </c>
      <c r="M3676">
        <v>13250.365</v>
      </c>
      <c r="N3676">
        <v>2020</v>
      </c>
      <c r="O3676">
        <v>6</v>
      </c>
    </row>
    <row r="3677" spans="1:15" x14ac:dyDescent="0.3">
      <c r="A3677" s="1">
        <v>44009</v>
      </c>
      <c r="B3677">
        <v>1000008957</v>
      </c>
      <c r="C3677" t="s">
        <v>75</v>
      </c>
      <c r="D3677">
        <v>1</v>
      </c>
      <c r="E3677">
        <v>2399.96</v>
      </c>
      <c r="F3677" t="s">
        <v>16</v>
      </c>
      <c r="G3677" t="s">
        <v>76</v>
      </c>
      <c r="H3677" t="s">
        <v>18</v>
      </c>
      <c r="I3677" t="s">
        <v>34</v>
      </c>
      <c r="J3677" t="s">
        <v>20</v>
      </c>
      <c r="K3677" t="s">
        <v>44</v>
      </c>
      <c r="L3677" t="s">
        <v>22</v>
      </c>
      <c r="M3677">
        <v>2399.96</v>
      </c>
      <c r="N3677">
        <v>2020</v>
      </c>
      <c r="O3677">
        <v>6</v>
      </c>
    </row>
    <row r="3678" spans="1:15" x14ac:dyDescent="0.3">
      <c r="A3678" s="1">
        <v>44009</v>
      </c>
      <c r="B3678">
        <v>1000008957</v>
      </c>
      <c r="C3678" t="s">
        <v>15</v>
      </c>
      <c r="D3678">
        <v>2</v>
      </c>
      <c r="E3678">
        <v>30500.36</v>
      </c>
      <c r="F3678" t="s">
        <v>16</v>
      </c>
      <c r="G3678" t="s">
        <v>17</v>
      </c>
      <c r="H3678" t="s">
        <v>18</v>
      </c>
      <c r="I3678" t="s">
        <v>34</v>
      </c>
      <c r="J3678" t="s">
        <v>20</v>
      </c>
      <c r="K3678" t="s">
        <v>44</v>
      </c>
      <c r="L3678" t="s">
        <v>22</v>
      </c>
      <c r="M3678">
        <v>15250.18</v>
      </c>
      <c r="N3678">
        <v>2020</v>
      </c>
      <c r="O3678">
        <v>6</v>
      </c>
    </row>
    <row r="3679" spans="1:15" x14ac:dyDescent="0.3">
      <c r="A3679" s="1">
        <v>44009</v>
      </c>
      <c r="B3679">
        <v>1000009288</v>
      </c>
      <c r="C3679" t="s">
        <v>23</v>
      </c>
      <c r="D3679">
        <v>1</v>
      </c>
      <c r="E3679">
        <v>5000.21</v>
      </c>
      <c r="F3679" t="s">
        <v>16</v>
      </c>
      <c r="G3679" t="s">
        <v>24</v>
      </c>
      <c r="H3679" t="s">
        <v>18</v>
      </c>
      <c r="I3679" t="s">
        <v>25</v>
      </c>
      <c r="J3679" t="s">
        <v>20</v>
      </c>
      <c r="K3679" t="s">
        <v>51</v>
      </c>
      <c r="L3679" t="s">
        <v>22</v>
      </c>
      <c r="M3679">
        <v>5000.21</v>
      </c>
      <c r="N3679">
        <v>2020</v>
      </c>
      <c r="O3679">
        <v>6</v>
      </c>
    </row>
    <row r="3680" spans="1:15" x14ac:dyDescent="0.3">
      <c r="A3680" s="1">
        <v>44009</v>
      </c>
      <c r="B3680">
        <v>1000009288</v>
      </c>
      <c r="C3680" t="s">
        <v>15</v>
      </c>
      <c r="D3680">
        <v>1</v>
      </c>
      <c r="E3680">
        <v>22000.52</v>
      </c>
      <c r="F3680" t="s">
        <v>16</v>
      </c>
      <c r="G3680" t="s">
        <v>17</v>
      </c>
      <c r="H3680" t="s">
        <v>18</v>
      </c>
      <c r="I3680" t="s">
        <v>25</v>
      </c>
      <c r="J3680" t="s">
        <v>20</v>
      </c>
      <c r="K3680" t="s">
        <v>51</v>
      </c>
      <c r="L3680" t="s">
        <v>22</v>
      </c>
      <c r="M3680">
        <v>22000.52</v>
      </c>
      <c r="N3680">
        <v>2020</v>
      </c>
      <c r="O3680">
        <v>6</v>
      </c>
    </row>
    <row r="3681" spans="1:15" x14ac:dyDescent="0.3">
      <c r="A3681" s="1">
        <v>44009</v>
      </c>
      <c r="B3681">
        <v>1000010814</v>
      </c>
      <c r="C3681" t="s">
        <v>71</v>
      </c>
      <c r="D3681">
        <v>1</v>
      </c>
      <c r="E3681">
        <v>2500.33</v>
      </c>
      <c r="F3681" t="s">
        <v>16</v>
      </c>
      <c r="G3681" t="s">
        <v>72</v>
      </c>
      <c r="H3681" t="s">
        <v>18</v>
      </c>
      <c r="I3681" t="s">
        <v>61</v>
      </c>
      <c r="J3681" t="s">
        <v>32</v>
      </c>
      <c r="K3681" t="s">
        <v>63</v>
      </c>
      <c r="L3681" t="s">
        <v>22</v>
      </c>
      <c r="M3681">
        <v>2500.33</v>
      </c>
      <c r="N3681">
        <v>2020</v>
      </c>
      <c r="O3681">
        <v>6</v>
      </c>
    </row>
    <row r="3682" spans="1:15" x14ac:dyDescent="0.3">
      <c r="A3682" s="1">
        <v>44009</v>
      </c>
      <c r="B3682">
        <v>1000010837</v>
      </c>
      <c r="C3682" t="s">
        <v>23</v>
      </c>
      <c r="D3682">
        <v>1</v>
      </c>
      <c r="E3682">
        <v>4999.99</v>
      </c>
      <c r="F3682" t="s">
        <v>16</v>
      </c>
      <c r="G3682" t="s">
        <v>24</v>
      </c>
      <c r="H3682" t="s">
        <v>18</v>
      </c>
      <c r="I3682" t="s">
        <v>61</v>
      </c>
      <c r="J3682" t="s">
        <v>26</v>
      </c>
      <c r="K3682" t="s">
        <v>62</v>
      </c>
      <c r="L3682" t="s">
        <v>22</v>
      </c>
      <c r="M3682">
        <v>4999.99</v>
      </c>
      <c r="N3682">
        <v>2020</v>
      </c>
      <c r="O3682">
        <v>6</v>
      </c>
    </row>
    <row r="3683" spans="1:15" x14ac:dyDescent="0.3">
      <c r="A3683" s="1">
        <v>44009</v>
      </c>
      <c r="B3683">
        <v>1000011697</v>
      </c>
      <c r="C3683" t="s">
        <v>23</v>
      </c>
      <c r="D3683">
        <v>1</v>
      </c>
      <c r="E3683">
        <v>14000.58</v>
      </c>
      <c r="F3683" t="s">
        <v>16</v>
      </c>
      <c r="G3683" t="s">
        <v>24</v>
      </c>
      <c r="H3683" t="s">
        <v>18</v>
      </c>
      <c r="I3683" t="s">
        <v>34</v>
      </c>
      <c r="J3683" t="s">
        <v>20</v>
      </c>
      <c r="K3683" t="s">
        <v>44</v>
      </c>
      <c r="L3683" t="s">
        <v>22</v>
      </c>
      <c r="M3683">
        <v>14000.58</v>
      </c>
      <c r="N3683">
        <v>2020</v>
      </c>
      <c r="O3683">
        <v>6</v>
      </c>
    </row>
    <row r="3684" spans="1:15" x14ac:dyDescent="0.3">
      <c r="A3684" s="1">
        <v>44009</v>
      </c>
      <c r="B3684">
        <v>1000011697</v>
      </c>
      <c r="C3684" t="s">
        <v>15</v>
      </c>
      <c r="D3684">
        <v>2</v>
      </c>
      <c r="E3684">
        <v>24000.510000000002</v>
      </c>
      <c r="F3684" t="s">
        <v>16</v>
      </c>
      <c r="G3684" t="s">
        <v>17</v>
      </c>
      <c r="H3684" t="s">
        <v>18</v>
      </c>
      <c r="I3684" t="s">
        <v>34</v>
      </c>
      <c r="J3684" t="s">
        <v>20</v>
      </c>
      <c r="K3684" t="s">
        <v>44</v>
      </c>
      <c r="L3684" t="s">
        <v>22</v>
      </c>
      <c r="M3684">
        <v>12000.255000000001</v>
      </c>
      <c r="N3684">
        <v>2020</v>
      </c>
      <c r="O3684">
        <v>6</v>
      </c>
    </row>
    <row r="3685" spans="1:15" x14ac:dyDescent="0.3">
      <c r="A3685" s="1">
        <v>44009</v>
      </c>
      <c r="B3685">
        <v>1000011698</v>
      </c>
      <c r="C3685" t="s">
        <v>15</v>
      </c>
      <c r="D3685">
        <v>1</v>
      </c>
      <c r="E3685">
        <v>6000.68</v>
      </c>
      <c r="F3685" t="s">
        <v>16</v>
      </c>
      <c r="G3685" t="s">
        <v>17</v>
      </c>
      <c r="H3685" t="s">
        <v>18</v>
      </c>
      <c r="I3685" t="s">
        <v>34</v>
      </c>
      <c r="J3685" t="s">
        <v>20</v>
      </c>
      <c r="K3685" t="s">
        <v>44</v>
      </c>
      <c r="L3685" t="s">
        <v>22</v>
      </c>
      <c r="M3685">
        <v>6000.68</v>
      </c>
      <c r="N3685">
        <v>2020</v>
      </c>
      <c r="O3685">
        <v>6</v>
      </c>
    </row>
    <row r="3686" spans="1:15" x14ac:dyDescent="0.3">
      <c r="A3686" s="1">
        <v>44009</v>
      </c>
      <c r="B3686">
        <v>1000011828</v>
      </c>
      <c r="C3686" t="s">
        <v>23</v>
      </c>
      <c r="D3686">
        <v>2</v>
      </c>
      <c r="E3686">
        <v>19500.189999999999</v>
      </c>
      <c r="F3686" t="s">
        <v>16</v>
      </c>
      <c r="G3686" t="s">
        <v>24</v>
      </c>
      <c r="H3686" t="s">
        <v>18</v>
      </c>
      <c r="I3686" t="s">
        <v>19</v>
      </c>
      <c r="J3686" t="s">
        <v>20</v>
      </c>
      <c r="K3686" t="s">
        <v>21</v>
      </c>
      <c r="L3686" t="s">
        <v>22</v>
      </c>
      <c r="M3686">
        <v>9750.0949999999993</v>
      </c>
      <c r="N3686">
        <v>2020</v>
      </c>
      <c r="O3686">
        <v>6</v>
      </c>
    </row>
    <row r="3687" spans="1:15" x14ac:dyDescent="0.3">
      <c r="A3687" s="1">
        <v>44009</v>
      </c>
      <c r="B3687">
        <v>1000011828</v>
      </c>
      <c r="C3687" t="s">
        <v>15</v>
      </c>
      <c r="D3687">
        <v>3</v>
      </c>
      <c r="E3687">
        <v>28000.48</v>
      </c>
      <c r="F3687" t="s">
        <v>16</v>
      </c>
      <c r="G3687" t="s">
        <v>17</v>
      </c>
      <c r="H3687" t="s">
        <v>18</v>
      </c>
      <c r="I3687" t="s">
        <v>19</v>
      </c>
      <c r="J3687" t="s">
        <v>20</v>
      </c>
      <c r="K3687" t="s">
        <v>21</v>
      </c>
      <c r="L3687" t="s">
        <v>22</v>
      </c>
      <c r="M3687">
        <v>9333.4933333333338</v>
      </c>
      <c r="N3687">
        <v>2020</v>
      </c>
      <c r="O3687">
        <v>6</v>
      </c>
    </row>
    <row r="3688" spans="1:15" x14ac:dyDescent="0.3">
      <c r="A3688" s="1">
        <v>44009</v>
      </c>
      <c r="B3688">
        <v>1000012096</v>
      </c>
      <c r="C3688" t="s">
        <v>23</v>
      </c>
      <c r="D3688">
        <v>2</v>
      </c>
      <c r="E3688">
        <v>42000.86</v>
      </c>
      <c r="F3688" t="s">
        <v>16</v>
      </c>
      <c r="G3688" t="s">
        <v>24</v>
      </c>
      <c r="H3688" t="s">
        <v>18</v>
      </c>
      <c r="I3688" t="s">
        <v>19</v>
      </c>
      <c r="J3688" t="s">
        <v>26</v>
      </c>
      <c r="K3688" t="s">
        <v>29</v>
      </c>
      <c r="L3688" t="s">
        <v>22</v>
      </c>
      <c r="M3688">
        <v>21000.43</v>
      </c>
      <c r="N3688">
        <v>2020</v>
      </c>
      <c r="O3688">
        <v>6</v>
      </c>
    </row>
    <row r="3689" spans="1:15" x14ac:dyDescent="0.3">
      <c r="A3689" s="1">
        <v>44009</v>
      </c>
      <c r="B3689">
        <v>1000012099</v>
      </c>
      <c r="C3689" t="s">
        <v>23</v>
      </c>
      <c r="D3689">
        <v>2</v>
      </c>
      <c r="E3689">
        <v>42000.08</v>
      </c>
      <c r="F3689" t="s">
        <v>16</v>
      </c>
      <c r="G3689" t="s">
        <v>24</v>
      </c>
      <c r="H3689" t="s">
        <v>18</v>
      </c>
      <c r="I3689" t="s">
        <v>19</v>
      </c>
      <c r="J3689" t="s">
        <v>20</v>
      </c>
      <c r="K3689" t="s">
        <v>21</v>
      </c>
      <c r="L3689" t="s">
        <v>22</v>
      </c>
      <c r="M3689">
        <v>21000.04</v>
      </c>
      <c r="N3689">
        <v>2020</v>
      </c>
      <c r="O3689">
        <v>6</v>
      </c>
    </row>
    <row r="3690" spans="1:15" x14ac:dyDescent="0.3">
      <c r="A3690" s="1">
        <v>44009</v>
      </c>
      <c r="B3690">
        <v>1000012099</v>
      </c>
      <c r="C3690" t="s">
        <v>15</v>
      </c>
      <c r="D3690">
        <v>2</v>
      </c>
      <c r="E3690">
        <v>33001.32</v>
      </c>
      <c r="F3690" t="s">
        <v>16</v>
      </c>
      <c r="G3690" t="s">
        <v>17</v>
      </c>
      <c r="H3690" t="s">
        <v>18</v>
      </c>
      <c r="I3690" t="s">
        <v>19</v>
      </c>
      <c r="J3690" t="s">
        <v>20</v>
      </c>
      <c r="K3690" t="s">
        <v>21</v>
      </c>
      <c r="L3690" t="s">
        <v>22</v>
      </c>
      <c r="M3690">
        <v>16500.66</v>
      </c>
      <c r="N3690">
        <v>2020</v>
      </c>
      <c r="O3690">
        <v>6</v>
      </c>
    </row>
    <row r="3691" spans="1:15" x14ac:dyDescent="0.3">
      <c r="A3691" s="1">
        <v>44009</v>
      </c>
      <c r="B3691">
        <v>1000012099</v>
      </c>
      <c r="C3691" t="s">
        <v>42</v>
      </c>
      <c r="D3691">
        <v>1</v>
      </c>
      <c r="E3691">
        <v>25000.26</v>
      </c>
      <c r="F3691" t="s">
        <v>16</v>
      </c>
      <c r="G3691" t="s">
        <v>43</v>
      </c>
      <c r="H3691" t="s">
        <v>18</v>
      </c>
      <c r="I3691" t="s">
        <v>19</v>
      </c>
      <c r="J3691" t="s">
        <v>20</v>
      </c>
      <c r="K3691" t="s">
        <v>21</v>
      </c>
      <c r="L3691" t="s">
        <v>22</v>
      </c>
      <c r="M3691">
        <v>25000.26</v>
      </c>
      <c r="N3691">
        <v>2020</v>
      </c>
      <c r="O3691">
        <v>6</v>
      </c>
    </row>
    <row r="3692" spans="1:15" x14ac:dyDescent="0.3">
      <c r="A3692" s="1">
        <v>44009</v>
      </c>
      <c r="B3692">
        <v>1000012112</v>
      </c>
      <c r="C3692" t="s">
        <v>15</v>
      </c>
      <c r="D3692">
        <v>1</v>
      </c>
      <c r="E3692">
        <v>20000.18</v>
      </c>
      <c r="F3692" t="s">
        <v>16</v>
      </c>
      <c r="G3692" t="s">
        <v>17</v>
      </c>
      <c r="H3692" t="s">
        <v>18</v>
      </c>
      <c r="I3692" t="s">
        <v>19</v>
      </c>
      <c r="J3692" t="s">
        <v>36</v>
      </c>
      <c r="K3692" t="s">
        <v>64</v>
      </c>
      <c r="L3692" t="s">
        <v>28</v>
      </c>
      <c r="M3692">
        <v>20000.18</v>
      </c>
      <c r="N3692">
        <v>2020</v>
      </c>
      <c r="O3692">
        <v>6</v>
      </c>
    </row>
    <row r="3693" spans="1:15" x14ac:dyDescent="0.3">
      <c r="A3693" s="1">
        <v>44009</v>
      </c>
      <c r="B3693">
        <v>1000012124</v>
      </c>
      <c r="C3693" t="s">
        <v>23</v>
      </c>
      <c r="D3693">
        <v>1</v>
      </c>
      <c r="E3693">
        <v>12000.36</v>
      </c>
      <c r="F3693" t="s">
        <v>16</v>
      </c>
      <c r="G3693" t="s">
        <v>24</v>
      </c>
      <c r="H3693" t="s">
        <v>18</v>
      </c>
      <c r="I3693" t="s">
        <v>19</v>
      </c>
      <c r="J3693" t="s">
        <v>26</v>
      </c>
      <c r="K3693" t="s">
        <v>29</v>
      </c>
      <c r="L3693" t="s">
        <v>22</v>
      </c>
      <c r="M3693">
        <v>12000.36</v>
      </c>
      <c r="N3693">
        <v>2020</v>
      </c>
      <c r="O3693">
        <v>6</v>
      </c>
    </row>
    <row r="3694" spans="1:15" x14ac:dyDescent="0.3">
      <c r="A3694" s="1">
        <v>44009</v>
      </c>
      <c r="B3694">
        <v>1000012126</v>
      </c>
      <c r="C3694" t="s">
        <v>75</v>
      </c>
      <c r="D3694">
        <v>1</v>
      </c>
      <c r="E3694">
        <v>12000.44</v>
      </c>
      <c r="F3694" t="s">
        <v>16</v>
      </c>
      <c r="G3694" t="s">
        <v>76</v>
      </c>
      <c r="H3694" t="s">
        <v>18</v>
      </c>
      <c r="I3694" t="s">
        <v>19</v>
      </c>
      <c r="J3694" t="s">
        <v>26</v>
      </c>
      <c r="K3694" t="s">
        <v>29</v>
      </c>
      <c r="L3694" t="s">
        <v>22</v>
      </c>
      <c r="M3694">
        <v>12000.44</v>
      </c>
      <c r="N3694">
        <v>2020</v>
      </c>
      <c r="O3694">
        <v>6</v>
      </c>
    </row>
    <row r="3695" spans="1:15" x14ac:dyDescent="0.3">
      <c r="A3695" s="1">
        <v>44009</v>
      </c>
      <c r="B3695">
        <v>1000012126</v>
      </c>
      <c r="C3695" t="s">
        <v>15</v>
      </c>
      <c r="D3695">
        <v>3</v>
      </c>
      <c r="E3695">
        <v>62001.3</v>
      </c>
      <c r="F3695" t="s">
        <v>16</v>
      </c>
      <c r="G3695" t="s">
        <v>17</v>
      </c>
      <c r="H3695" t="s">
        <v>18</v>
      </c>
      <c r="I3695" t="s">
        <v>19</v>
      </c>
      <c r="J3695" t="s">
        <v>26</v>
      </c>
      <c r="K3695" t="s">
        <v>29</v>
      </c>
      <c r="L3695" t="s">
        <v>22</v>
      </c>
      <c r="M3695">
        <v>20667.100000000002</v>
      </c>
      <c r="N3695">
        <v>2020</v>
      </c>
      <c r="O3695">
        <v>6</v>
      </c>
    </row>
    <row r="3696" spans="1:15" x14ac:dyDescent="0.3">
      <c r="A3696" s="1">
        <v>44009</v>
      </c>
      <c r="B3696">
        <v>1000012234</v>
      </c>
      <c r="C3696" t="s">
        <v>23</v>
      </c>
      <c r="D3696">
        <v>3</v>
      </c>
      <c r="E3696">
        <v>34001.629999999997</v>
      </c>
      <c r="F3696" t="s">
        <v>16</v>
      </c>
      <c r="G3696" t="s">
        <v>24</v>
      </c>
      <c r="H3696" t="s">
        <v>18</v>
      </c>
      <c r="I3696" t="s">
        <v>25</v>
      </c>
      <c r="J3696" t="s">
        <v>26</v>
      </c>
      <c r="K3696" t="s">
        <v>27</v>
      </c>
      <c r="L3696" t="s">
        <v>22</v>
      </c>
      <c r="M3696">
        <v>11333.876666666665</v>
      </c>
      <c r="N3696">
        <v>2020</v>
      </c>
      <c r="O3696">
        <v>6</v>
      </c>
    </row>
    <row r="3697" spans="1:15" x14ac:dyDescent="0.3">
      <c r="A3697" s="1">
        <v>44009</v>
      </c>
      <c r="B3697">
        <v>1000012313</v>
      </c>
      <c r="C3697" t="s">
        <v>75</v>
      </c>
      <c r="D3697">
        <v>1</v>
      </c>
      <c r="E3697">
        <v>6000.36</v>
      </c>
      <c r="F3697" t="s">
        <v>16</v>
      </c>
      <c r="G3697" t="s">
        <v>76</v>
      </c>
      <c r="H3697" t="s">
        <v>47</v>
      </c>
      <c r="I3697" t="s">
        <v>65</v>
      </c>
      <c r="J3697" t="s">
        <v>26</v>
      </c>
      <c r="K3697" t="s">
        <v>66</v>
      </c>
      <c r="L3697" t="s">
        <v>22</v>
      </c>
      <c r="M3697">
        <v>6000.36</v>
      </c>
      <c r="N3697">
        <v>2020</v>
      </c>
      <c r="O3697">
        <v>6</v>
      </c>
    </row>
    <row r="3698" spans="1:15" x14ac:dyDescent="0.3">
      <c r="A3698" s="1">
        <v>44009</v>
      </c>
      <c r="B3698">
        <v>1000012446</v>
      </c>
      <c r="C3698" t="s">
        <v>23</v>
      </c>
      <c r="D3698">
        <v>1</v>
      </c>
      <c r="E3698">
        <v>13000.37</v>
      </c>
      <c r="F3698" t="s">
        <v>16</v>
      </c>
      <c r="G3698" t="s">
        <v>24</v>
      </c>
      <c r="H3698" t="s">
        <v>30</v>
      </c>
      <c r="I3698" t="s">
        <v>31</v>
      </c>
      <c r="J3698" t="s">
        <v>36</v>
      </c>
      <c r="K3698" t="s">
        <v>52</v>
      </c>
      <c r="L3698" t="s">
        <v>22</v>
      </c>
      <c r="M3698">
        <v>13000.37</v>
      </c>
      <c r="N3698">
        <v>2020</v>
      </c>
      <c r="O3698">
        <v>6</v>
      </c>
    </row>
    <row r="3699" spans="1:15" x14ac:dyDescent="0.3">
      <c r="A3699" s="1">
        <v>44009</v>
      </c>
      <c r="B3699">
        <v>1000012675</v>
      </c>
      <c r="C3699" t="s">
        <v>23</v>
      </c>
      <c r="D3699">
        <v>1</v>
      </c>
      <c r="E3699">
        <v>18000.63</v>
      </c>
      <c r="F3699" t="s">
        <v>16</v>
      </c>
      <c r="G3699" t="s">
        <v>24</v>
      </c>
      <c r="H3699" t="s">
        <v>18</v>
      </c>
      <c r="I3699" t="s">
        <v>34</v>
      </c>
      <c r="J3699" t="s">
        <v>26</v>
      </c>
      <c r="K3699" t="s">
        <v>35</v>
      </c>
      <c r="L3699" t="s">
        <v>22</v>
      </c>
      <c r="M3699">
        <v>18000.63</v>
      </c>
      <c r="N3699">
        <v>2020</v>
      </c>
      <c r="O3699">
        <v>6</v>
      </c>
    </row>
    <row r="3700" spans="1:15" x14ac:dyDescent="0.3">
      <c r="A3700" s="1">
        <v>44009</v>
      </c>
      <c r="B3700">
        <v>1000012675</v>
      </c>
      <c r="C3700" t="s">
        <v>15</v>
      </c>
      <c r="D3700">
        <v>1</v>
      </c>
      <c r="E3700">
        <v>1999.96</v>
      </c>
      <c r="F3700" t="s">
        <v>16</v>
      </c>
      <c r="G3700" t="s">
        <v>17</v>
      </c>
      <c r="H3700" t="s">
        <v>18</v>
      </c>
      <c r="I3700" t="s">
        <v>34</v>
      </c>
      <c r="J3700" t="s">
        <v>26</v>
      </c>
      <c r="K3700" t="s">
        <v>35</v>
      </c>
      <c r="L3700" t="s">
        <v>22</v>
      </c>
      <c r="M3700">
        <v>1999.96</v>
      </c>
      <c r="N3700">
        <v>2020</v>
      </c>
      <c r="O3700">
        <v>6</v>
      </c>
    </row>
    <row r="3701" spans="1:15" x14ac:dyDescent="0.3">
      <c r="A3701" s="1">
        <v>44009</v>
      </c>
      <c r="B3701">
        <v>1000013607</v>
      </c>
      <c r="C3701" t="s">
        <v>23</v>
      </c>
      <c r="D3701">
        <v>2</v>
      </c>
      <c r="E3701">
        <v>3000.85</v>
      </c>
      <c r="F3701" t="s">
        <v>16</v>
      </c>
      <c r="G3701" t="s">
        <v>24</v>
      </c>
      <c r="H3701" t="s">
        <v>18</v>
      </c>
      <c r="I3701" t="s">
        <v>25</v>
      </c>
      <c r="J3701" t="s">
        <v>26</v>
      </c>
      <c r="K3701" t="s">
        <v>27</v>
      </c>
      <c r="L3701" t="s">
        <v>22</v>
      </c>
      <c r="M3701">
        <v>1500.425</v>
      </c>
      <c r="N3701">
        <v>2020</v>
      </c>
      <c r="O3701">
        <v>6</v>
      </c>
    </row>
    <row r="3702" spans="1:15" x14ac:dyDescent="0.3">
      <c r="A3702" s="1">
        <v>44009</v>
      </c>
      <c r="B3702">
        <v>1000014037</v>
      </c>
      <c r="C3702" t="s">
        <v>23</v>
      </c>
      <c r="D3702">
        <v>1</v>
      </c>
      <c r="E3702">
        <v>6000.24</v>
      </c>
      <c r="F3702" t="s">
        <v>16</v>
      </c>
      <c r="G3702" t="s">
        <v>24</v>
      </c>
      <c r="H3702" t="s">
        <v>18</v>
      </c>
      <c r="I3702" t="s">
        <v>25</v>
      </c>
      <c r="J3702" t="s">
        <v>36</v>
      </c>
      <c r="K3702" t="s">
        <v>37</v>
      </c>
      <c r="L3702" t="s">
        <v>22</v>
      </c>
      <c r="M3702">
        <v>6000.24</v>
      </c>
      <c r="N3702">
        <v>2020</v>
      </c>
      <c r="O3702">
        <v>6</v>
      </c>
    </row>
    <row r="3703" spans="1:15" x14ac:dyDescent="0.3">
      <c r="A3703" s="1">
        <v>44009</v>
      </c>
      <c r="B3703">
        <v>1000014291</v>
      </c>
      <c r="C3703" t="s">
        <v>23</v>
      </c>
      <c r="D3703">
        <v>1</v>
      </c>
      <c r="E3703">
        <v>17000.759999999998</v>
      </c>
      <c r="F3703" t="s">
        <v>16</v>
      </c>
      <c r="G3703" t="s">
        <v>24</v>
      </c>
      <c r="H3703" t="s">
        <v>47</v>
      </c>
      <c r="I3703" t="s">
        <v>48</v>
      </c>
      <c r="J3703" t="s">
        <v>20</v>
      </c>
      <c r="K3703" t="s">
        <v>67</v>
      </c>
      <c r="L3703" t="s">
        <v>28</v>
      </c>
      <c r="M3703">
        <v>17000.759999999998</v>
      </c>
      <c r="N3703">
        <v>2020</v>
      </c>
      <c r="O3703">
        <v>6</v>
      </c>
    </row>
    <row r="3704" spans="1:15" x14ac:dyDescent="0.3">
      <c r="A3704" s="1">
        <v>44009</v>
      </c>
      <c r="B3704">
        <v>1000014452</v>
      </c>
      <c r="C3704" t="s">
        <v>23</v>
      </c>
      <c r="D3704">
        <v>1</v>
      </c>
      <c r="E3704">
        <v>9000.4</v>
      </c>
      <c r="F3704" t="s">
        <v>16</v>
      </c>
      <c r="G3704" t="s">
        <v>24</v>
      </c>
      <c r="H3704" t="s">
        <v>18</v>
      </c>
      <c r="I3704" t="s">
        <v>34</v>
      </c>
      <c r="J3704" t="s">
        <v>36</v>
      </c>
      <c r="K3704" t="s">
        <v>70</v>
      </c>
      <c r="L3704" t="s">
        <v>22</v>
      </c>
      <c r="M3704">
        <v>9000.4</v>
      </c>
      <c r="N3704">
        <v>2020</v>
      </c>
      <c r="O3704">
        <v>6</v>
      </c>
    </row>
    <row r="3705" spans="1:15" x14ac:dyDescent="0.3">
      <c r="A3705" s="1">
        <v>44009</v>
      </c>
      <c r="B3705">
        <v>1000014572</v>
      </c>
      <c r="C3705" t="s">
        <v>23</v>
      </c>
      <c r="D3705">
        <v>1</v>
      </c>
      <c r="E3705">
        <v>10000.09</v>
      </c>
      <c r="F3705" t="s">
        <v>16</v>
      </c>
      <c r="G3705" t="s">
        <v>24</v>
      </c>
      <c r="H3705" t="s">
        <v>18</v>
      </c>
      <c r="I3705" t="s">
        <v>34</v>
      </c>
      <c r="J3705" t="s">
        <v>26</v>
      </c>
      <c r="K3705" t="s">
        <v>35</v>
      </c>
      <c r="L3705" t="s">
        <v>22</v>
      </c>
      <c r="M3705">
        <v>10000.09</v>
      </c>
      <c r="N3705">
        <v>2020</v>
      </c>
      <c r="O3705">
        <v>6</v>
      </c>
    </row>
    <row r="3706" spans="1:15" x14ac:dyDescent="0.3">
      <c r="A3706" s="1">
        <v>44009</v>
      </c>
      <c r="B3706">
        <v>1000014572</v>
      </c>
      <c r="C3706" t="s">
        <v>15</v>
      </c>
      <c r="D3706">
        <v>1</v>
      </c>
      <c r="E3706">
        <v>13000.13</v>
      </c>
      <c r="F3706" t="s">
        <v>16</v>
      </c>
      <c r="G3706" t="s">
        <v>17</v>
      </c>
      <c r="H3706" t="s">
        <v>18</v>
      </c>
      <c r="I3706" t="s">
        <v>34</v>
      </c>
      <c r="J3706" t="s">
        <v>26</v>
      </c>
      <c r="K3706" t="s">
        <v>35</v>
      </c>
      <c r="L3706" t="s">
        <v>22</v>
      </c>
      <c r="M3706">
        <v>13000.13</v>
      </c>
      <c r="N3706">
        <v>2020</v>
      </c>
      <c r="O3706">
        <v>6</v>
      </c>
    </row>
    <row r="3707" spans="1:15" x14ac:dyDescent="0.3">
      <c r="A3707" s="1">
        <v>44009</v>
      </c>
      <c r="B3707">
        <v>1000014588</v>
      </c>
      <c r="C3707" t="s">
        <v>42</v>
      </c>
      <c r="D3707">
        <v>1</v>
      </c>
      <c r="E3707">
        <v>15000.53</v>
      </c>
      <c r="F3707" t="s">
        <v>16</v>
      </c>
      <c r="G3707" t="s">
        <v>43</v>
      </c>
      <c r="H3707" t="s">
        <v>18</v>
      </c>
      <c r="I3707" t="s">
        <v>40</v>
      </c>
      <c r="J3707" t="s">
        <v>20</v>
      </c>
      <c r="K3707" t="s">
        <v>68</v>
      </c>
      <c r="L3707" t="s">
        <v>22</v>
      </c>
      <c r="M3707">
        <v>15000.53</v>
      </c>
      <c r="N3707">
        <v>2020</v>
      </c>
      <c r="O3707">
        <v>6</v>
      </c>
    </row>
    <row r="3708" spans="1:15" x14ac:dyDescent="0.3">
      <c r="A3708" s="1">
        <v>44009</v>
      </c>
      <c r="B3708">
        <v>1000014879</v>
      </c>
      <c r="C3708" t="s">
        <v>23</v>
      </c>
      <c r="D3708">
        <v>2</v>
      </c>
      <c r="E3708">
        <v>32000.31</v>
      </c>
      <c r="F3708" t="s">
        <v>16</v>
      </c>
      <c r="G3708" t="s">
        <v>24</v>
      </c>
      <c r="H3708" t="s">
        <v>18</v>
      </c>
      <c r="I3708" t="s">
        <v>40</v>
      </c>
      <c r="J3708" t="s">
        <v>26</v>
      </c>
      <c r="K3708" t="s">
        <v>41</v>
      </c>
      <c r="L3708" t="s">
        <v>22</v>
      </c>
      <c r="M3708">
        <v>16000.155000000001</v>
      </c>
      <c r="N3708">
        <v>2020</v>
      </c>
      <c r="O3708">
        <v>6</v>
      </c>
    </row>
    <row r="3709" spans="1:15" x14ac:dyDescent="0.3">
      <c r="A3709" s="1">
        <v>44009</v>
      </c>
      <c r="B3709">
        <v>1000014879</v>
      </c>
      <c r="C3709" t="s">
        <v>15</v>
      </c>
      <c r="D3709">
        <v>1</v>
      </c>
      <c r="E3709">
        <v>9000.07</v>
      </c>
      <c r="F3709" t="s">
        <v>16</v>
      </c>
      <c r="G3709" t="s">
        <v>17</v>
      </c>
      <c r="H3709" t="s">
        <v>18</v>
      </c>
      <c r="I3709" t="s">
        <v>40</v>
      </c>
      <c r="J3709" t="s">
        <v>26</v>
      </c>
      <c r="K3709" t="s">
        <v>41</v>
      </c>
      <c r="L3709" t="s">
        <v>22</v>
      </c>
      <c r="M3709">
        <v>9000.07</v>
      </c>
      <c r="N3709">
        <v>2020</v>
      </c>
      <c r="O3709">
        <v>6</v>
      </c>
    </row>
    <row r="3710" spans="1:15" x14ac:dyDescent="0.3">
      <c r="A3710" s="1">
        <v>44009</v>
      </c>
      <c r="B3710">
        <v>1000014996</v>
      </c>
      <c r="C3710" t="s">
        <v>23</v>
      </c>
      <c r="D3710">
        <v>1</v>
      </c>
      <c r="E3710">
        <v>16000.68</v>
      </c>
      <c r="F3710" t="s">
        <v>16</v>
      </c>
      <c r="G3710" t="s">
        <v>24</v>
      </c>
      <c r="H3710" t="s">
        <v>30</v>
      </c>
      <c r="I3710" t="s">
        <v>57</v>
      </c>
      <c r="J3710" t="s">
        <v>26</v>
      </c>
      <c r="K3710" t="s">
        <v>58</v>
      </c>
      <c r="L3710" t="s">
        <v>22</v>
      </c>
      <c r="M3710">
        <v>16000.68</v>
      </c>
      <c r="N3710">
        <v>2020</v>
      </c>
      <c r="O3710">
        <v>6</v>
      </c>
    </row>
    <row r="3711" spans="1:15" x14ac:dyDescent="0.3">
      <c r="A3711" s="1">
        <v>44009</v>
      </c>
      <c r="B3711">
        <v>1000015013</v>
      </c>
      <c r="C3711" t="s">
        <v>15</v>
      </c>
      <c r="D3711">
        <v>1</v>
      </c>
      <c r="E3711">
        <v>1220.3800000000001</v>
      </c>
      <c r="F3711" t="s">
        <v>16</v>
      </c>
      <c r="G3711" t="s">
        <v>17</v>
      </c>
      <c r="H3711" t="s">
        <v>18</v>
      </c>
      <c r="I3711" t="s">
        <v>19</v>
      </c>
      <c r="J3711" t="s">
        <v>26</v>
      </c>
      <c r="K3711" t="s">
        <v>29</v>
      </c>
      <c r="L3711" t="s">
        <v>22</v>
      </c>
      <c r="M3711">
        <v>1220.3800000000001</v>
      </c>
      <c r="N3711">
        <v>2020</v>
      </c>
      <c r="O3711">
        <v>6</v>
      </c>
    </row>
    <row r="3712" spans="1:15" x14ac:dyDescent="0.3">
      <c r="A3712" s="1">
        <v>44009</v>
      </c>
      <c r="B3712">
        <v>1000015015</v>
      </c>
      <c r="C3712" t="s">
        <v>15</v>
      </c>
      <c r="D3712">
        <v>2</v>
      </c>
      <c r="E3712">
        <v>15500.58</v>
      </c>
      <c r="F3712" t="s">
        <v>16</v>
      </c>
      <c r="G3712" t="s">
        <v>17</v>
      </c>
      <c r="H3712" t="s">
        <v>18</v>
      </c>
      <c r="I3712" t="s">
        <v>61</v>
      </c>
      <c r="J3712" t="s">
        <v>26</v>
      </c>
      <c r="K3712" t="s">
        <v>62</v>
      </c>
      <c r="L3712" t="s">
        <v>22</v>
      </c>
      <c r="M3712">
        <v>7750.29</v>
      </c>
      <c r="N3712">
        <v>2020</v>
      </c>
      <c r="O3712">
        <v>6</v>
      </c>
    </row>
    <row r="3713" spans="1:15" x14ac:dyDescent="0.3">
      <c r="A3713" s="1">
        <v>44009</v>
      </c>
      <c r="B3713">
        <v>1000015015</v>
      </c>
      <c r="C3713" t="s">
        <v>42</v>
      </c>
      <c r="D3713">
        <v>1</v>
      </c>
      <c r="E3713">
        <v>25000.68</v>
      </c>
      <c r="F3713" t="s">
        <v>16</v>
      </c>
      <c r="G3713" t="s">
        <v>43</v>
      </c>
      <c r="H3713" t="s">
        <v>18</v>
      </c>
      <c r="I3713" t="s">
        <v>61</v>
      </c>
      <c r="J3713" t="s">
        <v>26</v>
      </c>
      <c r="K3713" t="s">
        <v>62</v>
      </c>
      <c r="L3713" t="s">
        <v>22</v>
      </c>
      <c r="M3713">
        <v>25000.68</v>
      </c>
      <c r="N3713">
        <v>2020</v>
      </c>
      <c r="O3713">
        <v>6</v>
      </c>
    </row>
    <row r="3714" spans="1:15" x14ac:dyDescent="0.3">
      <c r="A3714" s="1">
        <v>44009</v>
      </c>
      <c r="B3714">
        <v>1000015133</v>
      </c>
      <c r="C3714" t="s">
        <v>23</v>
      </c>
      <c r="D3714">
        <v>1</v>
      </c>
      <c r="E3714">
        <v>5000.45</v>
      </c>
      <c r="F3714" t="s">
        <v>16</v>
      </c>
      <c r="G3714" t="s">
        <v>24</v>
      </c>
      <c r="H3714" t="s">
        <v>30</v>
      </c>
      <c r="I3714" t="s">
        <v>31</v>
      </c>
      <c r="J3714" t="s">
        <v>36</v>
      </c>
      <c r="K3714" t="s">
        <v>52</v>
      </c>
      <c r="L3714" t="s">
        <v>22</v>
      </c>
      <c r="M3714">
        <v>5000.45</v>
      </c>
      <c r="N3714">
        <v>2020</v>
      </c>
      <c r="O3714">
        <v>6</v>
      </c>
    </row>
    <row r="3715" spans="1:15" x14ac:dyDescent="0.3">
      <c r="A3715" s="1">
        <v>44009</v>
      </c>
      <c r="B3715">
        <v>1000015133</v>
      </c>
      <c r="C3715" t="s">
        <v>15</v>
      </c>
      <c r="D3715">
        <v>2</v>
      </c>
      <c r="E3715">
        <v>25000.77</v>
      </c>
      <c r="F3715" t="s">
        <v>16</v>
      </c>
      <c r="G3715" t="s">
        <v>17</v>
      </c>
      <c r="H3715" t="s">
        <v>30</v>
      </c>
      <c r="I3715" t="s">
        <v>31</v>
      </c>
      <c r="J3715" t="s">
        <v>36</v>
      </c>
      <c r="K3715" t="s">
        <v>52</v>
      </c>
      <c r="L3715" t="s">
        <v>22</v>
      </c>
      <c r="M3715">
        <v>12500.385</v>
      </c>
      <c r="N3715">
        <v>2020</v>
      </c>
      <c r="O3715">
        <v>6</v>
      </c>
    </row>
    <row r="3716" spans="1:15" x14ac:dyDescent="0.3">
      <c r="A3716" s="1">
        <v>44009</v>
      </c>
      <c r="B3716">
        <v>1000015203</v>
      </c>
      <c r="C3716" t="s">
        <v>23</v>
      </c>
      <c r="D3716">
        <v>1</v>
      </c>
      <c r="E3716">
        <v>5000.62</v>
      </c>
      <c r="F3716" t="s">
        <v>16</v>
      </c>
      <c r="G3716" t="s">
        <v>24</v>
      </c>
      <c r="H3716" t="s">
        <v>47</v>
      </c>
      <c r="I3716" t="s">
        <v>65</v>
      </c>
      <c r="J3716" t="s">
        <v>26</v>
      </c>
      <c r="K3716" t="s">
        <v>66</v>
      </c>
      <c r="L3716" t="s">
        <v>22</v>
      </c>
      <c r="M3716">
        <v>5000.62</v>
      </c>
      <c r="N3716">
        <v>2020</v>
      </c>
      <c r="O3716">
        <v>6</v>
      </c>
    </row>
    <row r="3717" spans="1:15" x14ac:dyDescent="0.3">
      <c r="A3717" s="1">
        <v>44009</v>
      </c>
      <c r="B3717">
        <v>1000015788</v>
      </c>
      <c r="C3717" t="s">
        <v>42</v>
      </c>
      <c r="D3717">
        <v>1</v>
      </c>
      <c r="E3717">
        <v>16000.63</v>
      </c>
      <c r="F3717" t="s">
        <v>16</v>
      </c>
      <c r="G3717" t="s">
        <v>43</v>
      </c>
      <c r="H3717" t="s">
        <v>30</v>
      </c>
      <c r="I3717" t="s">
        <v>31</v>
      </c>
      <c r="J3717" t="s">
        <v>36</v>
      </c>
      <c r="K3717" t="s">
        <v>52</v>
      </c>
      <c r="L3717" t="s">
        <v>22</v>
      </c>
      <c r="M3717">
        <v>16000.63</v>
      </c>
      <c r="N3717">
        <v>2020</v>
      </c>
      <c r="O3717">
        <v>6</v>
      </c>
    </row>
    <row r="3718" spans="1:15" x14ac:dyDescent="0.3">
      <c r="A3718" s="1">
        <v>44009</v>
      </c>
      <c r="B3718">
        <v>1000017576</v>
      </c>
      <c r="C3718" t="s">
        <v>15</v>
      </c>
      <c r="D3718">
        <v>1</v>
      </c>
      <c r="E3718">
        <v>6999.97</v>
      </c>
      <c r="F3718" t="s">
        <v>16</v>
      </c>
      <c r="G3718" t="s">
        <v>17</v>
      </c>
      <c r="H3718" t="s">
        <v>18</v>
      </c>
      <c r="I3718" t="s">
        <v>19</v>
      </c>
      <c r="J3718" t="s">
        <v>36</v>
      </c>
      <c r="K3718" t="s">
        <v>64</v>
      </c>
      <c r="L3718" t="s">
        <v>22</v>
      </c>
      <c r="M3718">
        <v>6999.97</v>
      </c>
      <c r="N3718">
        <v>2020</v>
      </c>
      <c r="O3718">
        <v>6</v>
      </c>
    </row>
    <row r="3719" spans="1:15" x14ac:dyDescent="0.3">
      <c r="A3719" s="1">
        <v>44009</v>
      </c>
      <c r="B3719">
        <v>1000017700</v>
      </c>
      <c r="C3719" t="s">
        <v>42</v>
      </c>
      <c r="D3719">
        <v>2</v>
      </c>
      <c r="E3719">
        <v>13500.75</v>
      </c>
      <c r="F3719" t="s">
        <v>16</v>
      </c>
      <c r="G3719" t="s">
        <v>43</v>
      </c>
      <c r="H3719" t="s">
        <v>47</v>
      </c>
      <c r="I3719" t="s">
        <v>65</v>
      </c>
      <c r="J3719" t="s">
        <v>26</v>
      </c>
      <c r="K3719" t="s">
        <v>66</v>
      </c>
      <c r="L3719" t="s">
        <v>22</v>
      </c>
      <c r="M3719">
        <v>6750.375</v>
      </c>
      <c r="N3719">
        <v>2020</v>
      </c>
      <c r="O3719">
        <v>6</v>
      </c>
    </row>
    <row r="3720" spans="1:15" x14ac:dyDescent="0.3">
      <c r="A3720" s="1">
        <v>44009</v>
      </c>
      <c r="B3720">
        <v>1000018132</v>
      </c>
      <c r="C3720" t="s">
        <v>42</v>
      </c>
      <c r="D3720">
        <v>1</v>
      </c>
      <c r="E3720">
        <v>6500.54</v>
      </c>
      <c r="F3720" t="s">
        <v>16</v>
      </c>
      <c r="G3720" t="s">
        <v>43</v>
      </c>
      <c r="H3720" t="s">
        <v>47</v>
      </c>
      <c r="I3720" t="s">
        <v>65</v>
      </c>
      <c r="J3720" t="s">
        <v>26</v>
      </c>
      <c r="K3720" t="s">
        <v>66</v>
      </c>
      <c r="L3720" t="s">
        <v>22</v>
      </c>
      <c r="M3720">
        <v>6500.54</v>
      </c>
      <c r="N3720">
        <v>2020</v>
      </c>
      <c r="O3720">
        <v>6</v>
      </c>
    </row>
    <row r="3721" spans="1:15" x14ac:dyDescent="0.3">
      <c r="A3721" s="1">
        <v>44009</v>
      </c>
      <c r="B3721">
        <v>1000018298</v>
      </c>
      <c r="C3721" t="s">
        <v>23</v>
      </c>
      <c r="D3721">
        <v>1</v>
      </c>
      <c r="E3721">
        <v>2500.35</v>
      </c>
      <c r="F3721" t="s">
        <v>16</v>
      </c>
      <c r="G3721" t="s">
        <v>24</v>
      </c>
      <c r="H3721" t="s">
        <v>18</v>
      </c>
      <c r="I3721" t="s">
        <v>34</v>
      </c>
      <c r="J3721" t="s">
        <v>20</v>
      </c>
      <c r="K3721" t="s">
        <v>44</v>
      </c>
      <c r="L3721" t="s">
        <v>22</v>
      </c>
      <c r="M3721">
        <v>2500.35</v>
      </c>
      <c r="N3721">
        <v>2020</v>
      </c>
      <c r="O3721">
        <v>6</v>
      </c>
    </row>
    <row r="3722" spans="1:15" x14ac:dyDescent="0.3">
      <c r="A3722" s="1">
        <v>44009</v>
      </c>
      <c r="B3722">
        <v>1000018298</v>
      </c>
      <c r="C3722" t="s">
        <v>15</v>
      </c>
      <c r="D3722">
        <v>1</v>
      </c>
      <c r="E3722">
        <v>5000.5</v>
      </c>
      <c r="F3722" t="s">
        <v>16</v>
      </c>
      <c r="G3722" t="s">
        <v>17</v>
      </c>
      <c r="H3722" t="s">
        <v>18</v>
      </c>
      <c r="I3722" t="s">
        <v>34</v>
      </c>
      <c r="J3722" t="s">
        <v>20</v>
      </c>
      <c r="K3722" t="s">
        <v>44</v>
      </c>
      <c r="L3722" t="s">
        <v>22</v>
      </c>
      <c r="M3722">
        <v>5000.5</v>
      </c>
      <c r="N3722">
        <v>2020</v>
      </c>
      <c r="O3722">
        <v>6</v>
      </c>
    </row>
    <row r="3723" spans="1:15" x14ac:dyDescent="0.3">
      <c r="A3723" s="1">
        <v>44009</v>
      </c>
      <c r="B3723">
        <v>1000019959</v>
      </c>
      <c r="C3723" t="s">
        <v>23</v>
      </c>
      <c r="D3723">
        <v>1</v>
      </c>
      <c r="E3723">
        <v>15000.31</v>
      </c>
      <c r="F3723" t="s">
        <v>16</v>
      </c>
      <c r="G3723" t="s">
        <v>24</v>
      </c>
      <c r="H3723" t="s">
        <v>18</v>
      </c>
      <c r="I3723" t="s">
        <v>40</v>
      </c>
      <c r="J3723" t="s">
        <v>26</v>
      </c>
      <c r="K3723" t="s">
        <v>41</v>
      </c>
      <c r="L3723" t="s">
        <v>28</v>
      </c>
      <c r="M3723">
        <v>15000.31</v>
      </c>
      <c r="N3723">
        <v>2020</v>
      </c>
      <c r="O3723">
        <v>6</v>
      </c>
    </row>
    <row r="3724" spans="1:15" x14ac:dyDescent="0.3">
      <c r="A3724" s="1">
        <v>44009</v>
      </c>
      <c r="B3724">
        <v>1000020084</v>
      </c>
      <c r="C3724" t="s">
        <v>23</v>
      </c>
      <c r="D3724">
        <v>2</v>
      </c>
      <c r="E3724">
        <v>21001.1</v>
      </c>
      <c r="F3724" t="s">
        <v>16</v>
      </c>
      <c r="G3724" t="s">
        <v>24</v>
      </c>
      <c r="H3724" t="s">
        <v>47</v>
      </c>
      <c r="I3724" t="s">
        <v>59</v>
      </c>
      <c r="J3724" t="s">
        <v>26</v>
      </c>
      <c r="K3724" t="s">
        <v>60</v>
      </c>
      <c r="L3724" t="s">
        <v>22</v>
      </c>
      <c r="M3724">
        <v>10500.55</v>
      </c>
      <c r="N3724">
        <v>2020</v>
      </c>
      <c r="O3724">
        <v>6</v>
      </c>
    </row>
    <row r="3725" spans="1:15" x14ac:dyDescent="0.3">
      <c r="A3725" s="1">
        <v>44009</v>
      </c>
      <c r="B3725">
        <v>1000020084</v>
      </c>
      <c r="C3725" t="s">
        <v>15</v>
      </c>
      <c r="D3725">
        <v>2</v>
      </c>
      <c r="E3725">
        <v>24000.43</v>
      </c>
      <c r="F3725" t="s">
        <v>16</v>
      </c>
      <c r="G3725" t="s">
        <v>17</v>
      </c>
      <c r="H3725" t="s">
        <v>47</v>
      </c>
      <c r="I3725" t="s">
        <v>59</v>
      </c>
      <c r="J3725" t="s">
        <v>26</v>
      </c>
      <c r="K3725" t="s">
        <v>60</v>
      </c>
      <c r="L3725" t="s">
        <v>22</v>
      </c>
      <c r="M3725">
        <v>12000.215</v>
      </c>
      <c r="N3725">
        <v>2020</v>
      </c>
      <c r="O3725">
        <v>6</v>
      </c>
    </row>
    <row r="3726" spans="1:15" x14ac:dyDescent="0.3">
      <c r="A3726" s="1">
        <v>44009</v>
      </c>
      <c r="B3726">
        <v>1000020128</v>
      </c>
      <c r="C3726" t="s">
        <v>23</v>
      </c>
      <c r="D3726">
        <v>1</v>
      </c>
      <c r="E3726">
        <v>7499.99</v>
      </c>
      <c r="F3726" t="s">
        <v>16</v>
      </c>
      <c r="G3726" t="s">
        <v>24</v>
      </c>
      <c r="H3726" t="s">
        <v>30</v>
      </c>
      <c r="I3726" t="s">
        <v>57</v>
      </c>
      <c r="J3726" t="s">
        <v>26</v>
      </c>
      <c r="K3726" t="s">
        <v>58</v>
      </c>
      <c r="L3726" t="s">
        <v>28</v>
      </c>
      <c r="M3726">
        <v>7499.99</v>
      </c>
      <c r="N3726">
        <v>2020</v>
      </c>
      <c r="O3726">
        <v>6</v>
      </c>
    </row>
    <row r="3727" spans="1:15" x14ac:dyDescent="0.3">
      <c r="A3727" s="1">
        <v>44009</v>
      </c>
      <c r="B3727">
        <v>1000020128</v>
      </c>
      <c r="C3727" t="s">
        <v>15</v>
      </c>
      <c r="D3727">
        <v>2</v>
      </c>
      <c r="E3727">
        <v>37000.81</v>
      </c>
      <c r="F3727" t="s">
        <v>16</v>
      </c>
      <c r="G3727" t="s">
        <v>17</v>
      </c>
      <c r="H3727" t="s">
        <v>30</v>
      </c>
      <c r="I3727" t="s">
        <v>57</v>
      </c>
      <c r="J3727" t="s">
        <v>26</v>
      </c>
      <c r="K3727" t="s">
        <v>58</v>
      </c>
      <c r="L3727" t="s">
        <v>28</v>
      </c>
      <c r="M3727">
        <v>18500.404999999999</v>
      </c>
      <c r="N3727">
        <v>2020</v>
      </c>
      <c r="O3727">
        <v>6</v>
      </c>
    </row>
    <row r="3728" spans="1:15" x14ac:dyDescent="0.3">
      <c r="A3728" s="1">
        <v>44009</v>
      </c>
      <c r="B3728">
        <v>1000020726</v>
      </c>
      <c r="C3728" t="s">
        <v>23</v>
      </c>
      <c r="D3728">
        <v>1</v>
      </c>
      <c r="E3728">
        <v>6000.6</v>
      </c>
      <c r="F3728" t="s">
        <v>16</v>
      </c>
      <c r="G3728" t="s">
        <v>24</v>
      </c>
      <c r="H3728" t="s">
        <v>18</v>
      </c>
      <c r="I3728" t="s">
        <v>61</v>
      </c>
      <c r="J3728" t="s">
        <v>32</v>
      </c>
      <c r="K3728" t="s">
        <v>63</v>
      </c>
      <c r="L3728" t="s">
        <v>22</v>
      </c>
      <c r="M3728">
        <v>6000.6</v>
      </c>
      <c r="N3728">
        <v>2020</v>
      </c>
      <c r="O3728">
        <v>6</v>
      </c>
    </row>
    <row r="3729" spans="1:15" x14ac:dyDescent="0.3">
      <c r="A3729" s="1">
        <v>44009</v>
      </c>
      <c r="B3729">
        <v>1000020921</v>
      </c>
      <c r="C3729" t="s">
        <v>15</v>
      </c>
      <c r="D3729">
        <v>1</v>
      </c>
      <c r="E3729">
        <v>9000.2199999999993</v>
      </c>
      <c r="F3729" t="s">
        <v>16</v>
      </c>
      <c r="G3729" t="s">
        <v>17</v>
      </c>
      <c r="H3729" t="s">
        <v>47</v>
      </c>
      <c r="I3729" t="s">
        <v>65</v>
      </c>
      <c r="J3729" t="s">
        <v>26</v>
      </c>
      <c r="K3729" t="s">
        <v>66</v>
      </c>
      <c r="L3729" t="s">
        <v>22</v>
      </c>
      <c r="M3729">
        <v>9000.2199999999993</v>
      </c>
      <c r="N3729">
        <v>2020</v>
      </c>
      <c r="O3729">
        <v>6</v>
      </c>
    </row>
    <row r="3730" spans="1:15" x14ac:dyDescent="0.3">
      <c r="A3730" s="1">
        <v>44009</v>
      </c>
      <c r="B3730">
        <v>1000020921</v>
      </c>
      <c r="C3730" t="s">
        <v>42</v>
      </c>
      <c r="D3730">
        <v>1</v>
      </c>
      <c r="E3730">
        <v>20000.560000000001</v>
      </c>
      <c r="F3730" t="s">
        <v>16</v>
      </c>
      <c r="G3730" t="s">
        <v>43</v>
      </c>
      <c r="H3730" t="s">
        <v>47</v>
      </c>
      <c r="I3730" t="s">
        <v>65</v>
      </c>
      <c r="J3730" t="s">
        <v>26</v>
      </c>
      <c r="K3730" t="s">
        <v>66</v>
      </c>
      <c r="L3730" t="s">
        <v>22</v>
      </c>
      <c r="M3730">
        <v>20000.560000000001</v>
      </c>
      <c r="N3730">
        <v>2020</v>
      </c>
      <c r="O3730">
        <v>6</v>
      </c>
    </row>
    <row r="3731" spans="1:15" x14ac:dyDescent="0.3">
      <c r="A3731" s="1">
        <v>44009</v>
      </c>
      <c r="B3731">
        <v>1000021227</v>
      </c>
      <c r="C3731" t="s">
        <v>23</v>
      </c>
      <c r="D3731">
        <v>1</v>
      </c>
      <c r="E3731">
        <v>500.26</v>
      </c>
      <c r="F3731" t="s">
        <v>16</v>
      </c>
      <c r="G3731" t="s">
        <v>24</v>
      </c>
      <c r="H3731" t="s">
        <v>47</v>
      </c>
      <c r="I3731" t="s">
        <v>59</v>
      </c>
      <c r="J3731" t="s">
        <v>26</v>
      </c>
      <c r="K3731" t="s">
        <v>60</v>
      </c>
      <c r="L3731" t="s">
        <v>28</v>
      </c>
      <c r="M3731">
        <v>500.26</v>
      </c>
      <c r="N3731">
        <v>2020</v>
      </c>
      <c r="O3731">
        <v>6</v>
      </c>
    </row>
    <row r="3732" spans="1:15" x14ac:dyDescent="0.3">
      <c r="A3732" s="1">
        <v>44010</v>
      </c>
      <c r="B3732">
        <v>1000000029</v>
      </c>
      <c r="C3732" t="s">
        <v>75</v>
      </c>
      <c r="D3732">
        <v>1</v>
      </c>
      <c r="E3732">
        <v>500.37</v>
      </c>
      <c r="F3732" t="s">
        <v>16</v>
      </c>
      <c r="G3732" t="s">
        <v>76</v>
      </c>
      <c r="H3732" t="s">
        <v>18</v>
      </c>
      <c r="I3732" t="s">
        <v>19</v>
      </c>
      <c r="J3732" t="s">
        <v>20</v>
      </c>
      <c r="K3732" t="s">
        <v>21</v>
      </c>
      <c r="L3732" t="s">
        <v>22</v>
      </c>
      <c r="M3732">
        <v>500.37</v>
      </c>
      <c r="N3732">
        <v>2020</v>
      </c>
      <c r="O3732">
        <v>6</v>
      </c>
    </row>
    <row r="3733" spans="1:15" x14ac:dyDescent="0.3">
      <c r="A3733" s="1">
        <v>44010</v>
      </c>
      <c r="B3733">
        <v>1000000029</v>
      </c>
      <c r="C3733" t="s">
        <v>73</v>
      </c>
      <c r="D3733">
        <v>1</v>
      </c>
      <c r="E3733">
        <v>1000.74</v>
      </c>
      <c r="F3733" t="s">
        <v>16</v>
      </c>
      <c r="G3733" t="s">
        <v>74</v>
      </c>
      <c r="H3733" t="s">
        <v>18</v>
      </c>
      <c r="I3733" t="s">
        <v>19</v>
      </c>
      <c r="J3733" t="s">
        <v>20</v>
      </c>
      <c r="K3733" t="s">
        <v>21</v>
      </c>
      <c r="L3733" t="s">
        <v>22</v>
      </c>
      <c r="M3733">
        <v>1000.74</v>
      </c>
      <c r="N3733">
        <v>2020</v>
      </c>
      <c r="O3733">
        <v>6</v>
      </c>
    </row>
    <row r="3734" spans="1:15" x14ac:dyDescent="0.3">
      <c r="A3734" s="1">
        <v>44010</v>
      </c>
      <c r="B3734">
        <v>1000000029</v>
      </c>
      <c r="C3734" t="s">
        <v>23</v>
      </c>
      <c r="D3734">
        <v>2</v>
      </c>
      <c r="E3734">
        <v>7000.07</v>
      </c>
      <c r="F3734" t="s">
        <v>16</v>
      </c>
      <c r="G3734" t="s">
        <v>24</v>
      </c>
      <c r="H3734" t="s">
        <v>18</v>
      </c>
      <c r="I3734" t="s">
        <v>19</v>
      </c>
      <c r="J3734" t="s">
        <v>20</v>
      </c>
      <c r="K3734" t="s">
        <v>21</v>
      </c>
      <c r="L3734" t="s">
        <v>22</v>
      </c>
      <c r="M3734">
        <v>3500.0349999999999</v>
      </c>
      <c r="N3734">
        <v>2020</v>
      </c>
      <c r="O3734">
        <v>6</v>
      </c>
    </row>
    <row r="3735" spans="1:15" x14ac:dyDescent="0.3">
      <c r="A3735" s="1">
        <v>44010</v>
      </c>
      <c r="B3735">
        <v>1000000029</v>
      </c>
      <c r="C3735" t="s">
        <v>15</v>
      </c>
      <c r="D3735">
        <v>1</v>
      </c>
      <c r="E3735">
        <v>6000.54</v>
      </c>
      <c r="F3735" t="s">
        <v>16</v>
      </c>
      <c r="G3735" t="s">
        <v>17</v>
      </c>
      <c r="H3735" t="s">
        <v>18</v>
      </c>
      <c r="I3735" t="s">
        <v>19</v>
      </c>
      <c r="J3735" t="s">
        <v>20</v>
      </c>
      <c r="K3735" t="s">
        <v>21</v>
      </c>
      <c r="L3735" t="s">
        <v>22</v>
      </c>
      <c r="M3735">
        <v>6000.54</v>
      </c>
      <c r="N3735">
        <v>2020</v>
      </c>
      <c r="O3735">
        <v>6</v>
      </c>
    </row>
    <row r="3736" spans="1:15" x14ac:dyDescent="0.3">
      <c r="A3736" s="1">
        <v>44010</v>
      </c>
      <c r="B3736">
        <v>1000000030</v>
      </c>
      <c r="C3736" t="s">
        <v>15</v>
      </c>
      <c r="D3736">
        <v>1</v>
      </c>
      <c r="E3736">
        <v>11000.26</v>
      </c>
      <c r="F3736" t="s">
        <v>16</v>
      </c>
      <c r="G3736" t="s">
        <v>17</v>
      </c>
      <c r="H3736" t="s">
        <v>47</v>
      </c>
      <c r="I3736" t="s">
        <v>48</v>
      </c>
      <c r="J3736" t="s">
        <v>36</v>
      </c>
      <c r="K3736" t="s">
        <v>49</v>
      </c>
      <c r="L3736" t="s">
        <v>22</v>
      </c>
      <c r="M3736">
        <v>11000.26</v>
      </c>
      <c r="N3736">
        <v>2020</v>
      </c>
      <c r="O3736">
        <v>6</v>
      </c>
    </row>
    <row r="3737" spans="1:15" x14ac:dyDescent="0.3">
      <c r="A3737" s="1">
        <v>44010</v>
      </c>
      <c r="B3737">
        <v>1000000031</v>
      </c>
      <c r="C3737" t="s">
        <v>73</v>
      </c>
      <c r="D3737">
        <v>1</v>
      </c>
      <c r="E3737">
        <v>2624.29</v>
      </c>
      <c r="F3737" t="s">
        <v>16</v>
      </c>
      <c r="G3737" t="s">
        <v>74</v>
      </c>
      <c r="H3737" t="s">
        <v>18</v>
      </c>
      <c r="I3737" t="s">
        <v>19</v>
      </c>
      <c r="J3737" t="s">
        <v>26</v>
      </c>
      <c r="K3737" t="s">
        <v>29</v>
      </c>
      <c r="L3737" t="s">
        <v>28</v>
      </c>
      <c r="M3737">
        <v>2624.29</v>
      </c>
      <c r="N3737">
        <v>2020</v>
      </c>
      <c r="O3737">
        <v>6</v>
      </c>
    </row>
    <row r="3738" spans="1:15" x14ac:dyDescent="0.3">
      <c r="A3738" s="1">
        <v>44010</v>
      </c>
      <c r="B3738">
        <v>1000000031</v>
      </c>
      <c r="C3738" t="s">
        <v>15</v>
      </c>
      <c r="D3738">
        <v>3</v>
      </c>
      <c r="E3738">
        <v>28500.79</v>
      </c>
      <c r="F3738" t="s">
        <v>16</v>
      </c>
      <c r="G3738" t="s">
        <v>17</v>
      </c>
      <c r="H3738" t="s">
        <v>18</v>
      </c>
      <c r="I3738" t="s">
        <v>19</v>
      </c>
      <c r="J3738" t="s">
        <v>26</v>
      </c>
      <c r="K3738" t="s">
        <v>29</v>
      </c>
      <c r="L3738" t="s">
        <v>28</v>
      </c>
      <c r="M3738">
        <v>9500.2633333333342</v>
      </c>
      <c r="N3738">
        <v>2020</v>
      </c>
      <c r="O3738">
        <v>6</v>
      </c>
    </row>
    <row r="3739" spans="1:15" x14ac:dyDescent="0.3">
      <c r="A3739" s="1">
        <v>44010</v>
      </c>
      <c r="B3739">
        <v>1000000032</v>
      </c>
      <c r="C3739" t="s">
        <v>23</v>
      </c>
      <c r="D3739">
        <v>1</v>
      </c>
      <c r="E3739">
        <v>500.65</v>
      </c>
      <c r="F3739" t="s">
        <v>16</v>
      </c>
      <c r="G3739" t="s">
        <v>24</v>
      </c>
      <c r="H3739" t="s">
        <v>18</v>
      </c>
      <c r="I3739" t="s">
        <v>25</v>
      </c>
      <c r="J3739" t="s">
        <v>26</v>
      </c>
      <c r="K3739" t="s">
        <v>27</v>
      </c>
      <c r="L3739" t="s">
        <v>28</v>
      </c>
      <c r="M3739">
        <v>500.65</v>
      </c>
      <c r="N3739">
        <v>2020</v>
      </c>
      <c r="O3739">
        <v>6</v>
      </c>
    </row>
    <row r="3740" spans="1:15" x14ac:dyDescent="0.3">
      <c r="A3740" s="1">
        <v>44010</v>
      </c>
      <c r="B3740">
        <v>1000000032</v>
      </c>
      <c r="C3740" t="s">
        <v>15</v>
      </c>
      <c r="D3740">
        <v>1</v>
      </c>
      <c r="E3740">
        <v>13000.52</v>
      </c>
      <c r="F3740" t="s">
        <v>16</v>
      </c>
      <c r="G3740" t="s">
        <v>17</v>
      </c>
      <c r="H3740" t="s">
        <v>18</v>
      </c>
      <c r="I3740" t="s">
        <v>25</v>
      </c>
      <c r="J3740" t="s">
        <v>26</v>
      </c>
      <c r="K3740" t="s">
        <v>27</v>
      </c>
      <c r="L3740" t="s">
        <v>28</v>
      </c>
      <c r="M3740">
        <v>13000.52</v>
      </c>
      <c r="N3740">
        <v>2020</v>
      </c>
      <c r="O3740">
        <v>6</v>
      </c>
    </row>
    <row r="3741" spans="1:15" x14ac:dyDescent="0.3">
      <c r="A3741" s="1">
        <v>44010</v>
      </c>
      <c r="B3741">
        <v>1000000032</v>
      </c>
      <c r="C3741" t="s">
        <v>42</v>
      </c>
      <c r="D3741">
        <v>2</v>
      </c>
      <c r="E3741">
        <v>35000.85</v>
      </c>
      <c r="F3741" t="s">
        <v>16</v>
      </c>
      <c r="G3741" t="s">
        <v>43</v>
      </c>
      <c r="H3741" t="s">
        <v>18</v>
      </c>
      <c r="I3741" t="s">
        <v>25</v>
      </c>
      <c r="J3741" t="s">
        <v>26</v>
      </c>
      <c r="K3741" t="s">
        <v>27</v>
      </c>
      <c r="L3741" t="s">
        <v>28</v>
      </c>
      <c r="M3741">
        <v>17500.424999999999</v>
      </c>
      <c r="N3741">
        <v>2020</v>
      </c>
      <c r="O3741">
        <v>6</v>
      </c>
    </row>
    <row r="3742" spans="1:15" x14ac:dyDescent="0.3">
      <c r="A3742" s="1">
        <v>44010</v>
      </c>
      <c r="B3742">
        <v>1000000036</v>
      </c>
      <c r="C3742" t="s">
        <v>23</v>
      </c>
      <c r="D3742">
        <v>1</v>
      </c>
      <c r="E3742">
        <v>17000.63</v>
      </c>
      <c r="F3742" t="s">
        <v>16</v>
      </c>
      <c r="G3742" t="s">
        <v>24</v>
      </c>
      <c r="H3742" t="s">
        <v>47</v>
      </c>
      <c r="I3742" t="s">
        <v>48</v>
      </c>
      <c r="J3742" t="s">
        <v>36</v>
      </c>
      <c r="K3742" t="s">
        <v>49</v>
      </c>
      <c r="L3742" t="s">
        <v>28</v>
      </c>
      <c r="M3742">
        <v>17000.63</v>
      </c>
      <c r="N3742">
        <v>2020</v>
      </c>
      <c r="O3742">
        <v>6</v>
      </c>
    </row>
    <row r="3743" spans="1:15" x14ac:dyDescent="0.3">
      <c r="A3743" s="1">
        <v>44010</v>
      </c>
      <c r="B3743">
        <v>1000000039</v>
      </c>
      <c r="C3743" t="s">
        <v>73</v>
      </c>
      <c r="D3743">
        <v>1</v>
      </c>
      <c r="E3743">
        <v>500.11</v>
      </c>
      <c r="F3743" t="s">
        <v>16</v>
      </c>
      <c r="G3743" t="s">
        <v>74</v>
      </c>
      <c r="H3743" t="s">
        <v>18</v>
      </c>
      <c r="I3743" t="s">
        <v>25</v>
      </c>
      <c r="J3743" t="s">
        <v>20</v>
      </c>
      <c r="K3743" t="s">
        <v>51</v>
      </c>
      <c r="L3743" t="s">
        <v>28</v>
      </c>
      <c r="M3743">
        <v>500.11</v>
      </c>
      <c r="N3743">
        <v>2020</v>
      </c>
      <c r="O3743">
        <v>6</v>
      </c>
    </row>
    <row r="3744" spans="1:15" x14ac:dyDescent="0.3">
      <c r="A3744" s="1">
        <v>44010</v>
      </c>
      <c r="B3744">
        <v>1000000039</v>
      </c>
      <c r="C3744" t="s">
        <v>23</v>
      </c>
      <c r="D3744">
        <v>1</v>
      </c>
      <c r="E3744">
        <v>14000.47</v>
      </c>
      <c r="F3744" t="s">
        <v>16</v>
      </c>
      <c r="G3744" t="s">
        <v>24</v>
      </c>
      <c r="H3744" t="s">
        <v>18</v>
      </c>
      <c r="I3744" t="s">
        <v>25</v>
      </c>
      <c r="J3744" t="s">
        <v>20</v>
      </c>
      <c r="K3744" t="s">
        <v>51</v>
      </c>
      <c r="L3744" t="s">
        <v>28</v>
      </c>
      <c r="M3744">
        <v>14000.47</v>
      </c>
      <c r="N3744">
        <v>2020</v>
      </c>
      <c r="O3744">
        <v>6</v>
      </c>
    </row>
    <row r="3745" spans="1:15" x14ac:dyDescent="0.3">
      <c r="A3745" s="1">
        <v>44010</v>
      </c>
      <c r="B3745">
        <v>1000000040</v>
      </c>
      <c r="C3745" t="s">
        <v>71</v>
      </c>
      <c r="D3745">
        <v>1</v>
      </c>
      <c r="E3745">
        <v>3386.98</v>
      </c>
      <c r="F3745" t="s">
        <v>16</v>
      </c>
      <c r="G3745" t="s">
        <v>72</v>
      </c>
      <c r="H3745" t="s">
        <v>30</v>
      </c>
      <c r="I3745" t="s">
        <v>31</v>
      </c>
      <c r="J3745" t="s">
        <v>32</v>
      </c>
      <c r="K3745" t="s">
        <v>33</v>
      </c>
      <c r="L3745" t="s">
        <v>28</v>
      </c>
      <c r="M3745">
        <v>3386.98</v>
      </c>
      <c r="N3745">
        <v>2020</v>
      </c>
      <c r="O3745">
        <v>6</v>
      </c>
    </row>
    <row r="3746" spans="1:15" x14ac:dyDescent="0.3">
      <c r="A3746" s="1">
        <v>44010</v>
      </c>
      <c r="B3746">
        <v>1000000040</v>
      </c>
      <c r="C3746" t="s">
        <v>15</v>
      </c>
      <c r="D3746">
        <v>2</v>
      </c>
      <c r="E3746">
        <v>47000.490000000005</v>
      </c>
      <c r="F3746" t="s">
        <v>16</v>
      </c>
      <c r="G3746" t="s">
        <v>17</v>
      </c>
      <c r="H3746" t="s">
        <v>30</v>
      </c>
      <c r="I3746" t="s">
        <v>31</v>
      </c>
      <c r="J3746" t="s">
        <v>32</v>
      </c>
      <c r="K3746" t="s">
        <v>33</v>
      </c>
      <c r="L3746" t="s">
        <v>28</v>
      </c>
      <c r="M3746">
        <v>23500.245000000003</v>
      </c>
      <c r="N3746">
        <v>2020</v>
      </c>
      <c r="O3746">
        <v>6</v>
      </c>
    </row>
    <row r="3747" spans="1:15" x14ac:dyDescent="0.3">
      <c r="A3747" s="1">
        <v>44010</v>
      </c>
      <c r="B3747">
        <v>1000000041</v>
      </c>
      <c r="C3747" t="s">
        <v>23</v>
      </c>
      <c r="D3747">
        <v>3</v>
      </c>
      <c r="E3747">
        <v>54501.79</v>
      </c>
      <c r="F3747" t="s">
        <v>16</v>
      </c>
      <c r="G3747" t="s">
        <v>24</v>
      </c>
      <c r="H3747" t="s">
        <v>30</v>
      </c>
      <c r="I3747" t="s">
        <v>31</v>
      </c>
      <c r="J3747" t="s">
        <v>32</v>
      </c>
      <c r="K3747" t="s">
        <v>33</v>
      </c>
      <c r="L3747" t="s">
        <v>22</v>
      </c>
      <c r="M3747">
        <v>18167.263333333332</v>
      </c>
      <c r="N3747">
        <v>2020</v>
      </c>
      <c r="O3747">
        <v>6</v>
      </c>
    </row>
    <row r="3748" spans="1:15" x14ac:dyDescent="0.3">
      <c r="A3748" s="1">
        <v>44010</v>
      </c>
      <c r="B3748">
        <v>1000000043</v>
      </c>
      <c r="C3748" t="s">
        <v>23</v>
      </c>
      <c r="D3748">
        <v>1</v>
      </c>
      <c r="E3748">
        <v>15000.6</v>
      </c>
      <c r="F3748" t="s">
        <v>16</v>
      </c>
      <c r="G3748" t="s">
        <v>24</v>
      </c>
      <c r="H3748" t="s">
        <v>30</v>
      </c>
      <c r="I3748" t="s">
        <v>38</v>
      </c>
      <c r="J3748" t="s">
        <v>26</v>
      </c>
      <c r="K3748" t="s">
        <v>39</v>
      </c>
      <c r="L3748" t="s">
        <v>22</v>
      </c>
      <c r="M3748">
        <v>15000.6</v>
      </c>
      <c r="N3748">
        <v>2020</v>
      </c>
      <c r="O3748">
        <v>6</v>
      </c>
    </row>
    <row r="3749" spans="1:15" x14ac:dyDescent="0.3">
      <c r="A3749" s="1">
        <v>44010</v>
      </c>
      <c r="B3749">
        <v>1000000044</v>
      </c>
      <c r="C3749" t="s">
        <v>73</v>
      </c>
      <c r="D3749">
        <v>1</v>
      </c>
      <c r="E3749">
        <v>2000.12</v>
      </c>
      <c r="F3749" t="s">
        <v>16</v>
      </c>
      <c r="G3749" t="s">
        <v>74</v>
      </c>
      <c r="H3749" t="s">
        <v>30</v>
      </c>
      <c r="I3749" t="s">
        <v>31</v>
      </c>
      <c r="J3749" t="s">
        <v>36</v>
      </c>
      <c r="K3749" t="s">
        <v>52</v>
      </c>
      <c r="L3749" t="s">
        <v>28</v>
      </c>
      <c r="M3749">
        <v>2000.12</v>
      </c>
      <c r="N3749">
        <v>2020</v>
      </c>
      <c r="O3749">
        <v>6</v>
      </c>
    </row>
    <row r="3750" spans="1:15" x14ac:dyDescent="0.3">
      <c r="A3750" s="1">
        <v>44010</v>
      </c>
      <c r="B3750">
        <v>1000000044</v>
      </c>
      <c r="C3750" t="s">
        <v>15</v>
      </c>
      <c r="D3750">
        <v>1</v>
      </c>
      <c r="E3750">
        <v>12000.71</v>
      </c>
      <c r="F3750" t="s">
        <v>16</v>
      </c>
      <c r="G3750" t="s">
        <v>17</v>
      </c>
      <c r="H3750" t="s">
        <v>30</v>
      </c>
      <c r="I3750" t="s">
        <v>31</v>
      </c>
      <c r="J3750" t="s">
        <v>36</v>
      </c>
      <c r="K3750" t="s">
        <v>52</v>
      </c>
      <c r="L3750" t="s">
        <v>28</v>
      </c>
      <c r="M3750">
        <v>12000.71</v>
      </c>
      <c r="N3750">
        <v>2020</v>
      </c>
      <c r="O3750">
        <v>6</v>
      </c>
    </row>
    <row r="3751" spans="1:15" x14ac:dyDescent="0.3">
      <c r="A3751" s="1">
        <v>44010</v>
      </c>
      <c r="B3751">
        <v>1000000046</v>
      </c>
      <c r="C3751" t="s">
        <v>75</v>
      </c>
      <c r="D3751">
        <v>2</v>
      </c>
      <c r="E3751">
        <v>1164.9299999999998</v>
      </c>
      <c r="F3751" t="s">
        <v>16</v>
      </c>
      <c r="G3751" t="s">
        <v>76</v>
      </c>
      <c r="H3751" t="s">
        <v>30</v>
      </c>
      <c r="I3751" t="s">
        <v>38</v>
      </c>
      <c r="J3751" t="s">
        <v>26</v>
      </c>
      <c r="K3751" t="s">
        <v>39</v>
      </c>
      <c r="L3751" t="s">
        <v>22</v>
      </c>
      <c r="M3751">
        <v>582.46499999999992</v>
      </c>
      <c r="N3751">
        <v>2020</v>
      </c>
      <c r="O3751">
        <v>6</v>
      </c>
    </row>
    <row r="3752" spans="1:15" x14ac:dyDescent="0.3">
      <c r="A3752" s="1">
        <v>44010</v>
      </c>
      <c r="B3752">
        <v>1000000054</v>
      </c>
      <c r="C3752" t="s">
        <v>23</v>
      </c>
      <c r="D3752">
        <v>1</v>
      </c>
      <c r="E3752">
        <v>9000.7000000000007</v>
      </c>
      <c r="F3752" t="s">
        <v>16</v>
      </c>
      <c r="G3752" t="s">
        <v>24</v>
      </c>
      <c r="H3752" t="s">
        <v>18</v>
      </c>
      <c r="I3752" t="s">
        <v>34</v>
      </c>
      <c r="J3752" t="s">
        <v>26</v>
      </c>
      <c r="K3752" t="s">
        <v>35</v>
      </c>
      <c r="L3752" t="s">
        <v>22</v>
      </c>
      <c r="M3752">
        <v>9000.7000000000007</v>
      </c>
      <c r="N3752">
        <v>2020</v>
      </c>
      <c r="O3752">
        <v>6</v>
      </c>
    </row>
    <row r="3753" spans="1:15" x14ac:dyDescent="0.3">
      <c r="A3753" s="1">
        <v>44010</v>
      </c>
      <c r="B3753">
        <v>1000000054</v>
      </c>
      <c r="C3753" t="s">
        <v>15</v>
      </c>
      <c r="D3753">
        <v>1</v>
      </c>
      <c r="E3753">
        <v>6500.38</v>
      </c>
      <c r="F3753" t="s">
        <v>16</v>
      </c>
      <c r="G3753" t="s">
        <v>17</v>
      </c>
      <c r="H3753" t="s">
        <v>18</v>
      </c>
      <c r="I3753" t="s">
        <v>34</v>
      </c>
      <c r="J3753" t="s">
        <v>26</v>
      </c>
      <c r="K3753" t="s">
        <v>35</v>
      </c>
      <c r="L3753" t="s">
        <v>22</v>
      </c>
      <c r="M3753">
        <v>6500.38</v>
      </c>
      <c r="N3753">
        <v>2020</v>
      </c>
      <c r="O3753">
        <v>6</v>
      </c>
    </row>
    <row r="3754" spans="1:15" x14ac:dyDescent="0.3">
      <c r="A3754" s="1">
        <v>44010</v>
      </c>
      <c r="B3754">
        <v>1000000056</v>
      </c>
      <c r="C3754" t="s">
        <v>23</v>
      </c>
      <c r="D3754">
        <v>2</v>
      </c>
      <c r="E3754">
        <v>10000.84</v>
      </c>
      <c r="F3754" t="s">
        <v>16</v>
      </c>
      <c r="G3754" t="s">
        <v>24</v>
      </c>
      <c r="H3754" t="s">
        <v>18</v>
      </c>
      <c r="I3754" t="s">
        <v>34</v>
      </c>
      <c r="J3754" t="s">
        <v>26</v>
      </c>
      <c r="K3754" t="s">
        <v>35</v>
      </c>
      <c r="L3754" t="s">
        <v>28</v>
      </c>
      <c r="M3754">
        <v>5000.42</v>
      </c>
      <c r="N3754">
        <v>2020</v>
      </c>
      <c r="O3754">
        <v>6</v>
      </c>
    </row>
    <row r="3755" spans="1:15" x14ac:dyDescent="0.3">
      <c r="A3755" s="1">
        <v>44010</v>
      </c>
      <c r="B3755">
        <v>1000000056</v>
      </c>
      <c r="C3755" t="s">
        <v>15</v>
      </c>
      <c r="D3755">
        <v>1</v>
      </c>
      <c r="E3755">
        <v>20000.37</v>
      </c>
      <c r="F3755" t="s">
        <v>16</v>
      </c>
      <c r="G3755" t="s">
        <v>17</v>
      </c>
      <c r="H3755" t="s">
        <v>18</v>
      </c>
      <c r="I3755" t="s">
        <v>34</v>
      </c>
      <c r="J3755" t="s">
        <v>26</v>
      </c>
      <c r="K3755" t="s">
        <v>35</v>
      </c>
      <c r="L3755" t="s">
        <v>28</v>
      </c>
      <c r="M3755">
        <v>20000.37</v>
      </c>
      <c r="N3755">
        <v>2020</v>
      </c>
      <c r="O3755">
        <v>6</v>
      </c>
    </row>
    <row r="3756" spans="1:15" x14ac:dyDescent="0.3">
      <c r="A3756" s="1">
        <v>44010</v>
      </c>
      <c r="B3756">
        <v>1000000067</v>
      </c>
      <c r="C3756" t="s">
        <v>23</v>
      </c>
      <c r="D3756">
        <v>1</v>
      </c>
      <c r="E3756">
        <v>30000.13</v>
      </c>
      <c r="F3756" t="s">
        <v>16</v>
      </c>
      <c r="G3756" t="s">
        <v>24</v>
      </c>
      <c r="H3756" t="s">
        <v>18</v>
      </c>
      <c r="I3756" t="s">
        <v>25</v>
      </c>
      <c r="J3756" t="s">
        <v>20</v>
      </c>
      <c r="K3756" t="s">
        <v>51</v>
      </c>
      <c r="L3756" t="s">
        <v>22</v>
      </c>
      <c r="M3756">
        <v>30000.13</v>
      </c>
      <c r="N3756">
        <v>2020</v>
      </c>
      <c r="O3756">
        <v>6</v>
      </c>
    </row>
    <row r="3757" spans="1:15" x14ac:dyDescent="0.3">
      <c r="A3757" s="1">
        <v>44010</v>
      </c>
      <c r="B3757">
        <v>1000000068</v>
      </c>
      <c r="C3757" t="s">
        <v>73</v>
      </c>
      <c r="D3757">
        <v>1</v>
      </c>
      <c r="E3757">
        <v>1457.4</v>
      </c>
      <c r="F3757" t="s">
        <v>16</v>
      </c>
      <c r="G3757" t="s">
        <v>74</v>
      </c>
      <c r="H3757" t="s">
        <v>30</v>
      </c>
      <c r="I3757" t="s">
        <v>55</v>
      </c>
      <c r="J3757" t="s">
        <v>26</v>
      </c>
      <c r="K3757" t="s">
        <v>56</v>
      </c>
      <c r="L3757" t="s">
        <v>28</v>
      </c>
      <c r="M3757">
        <v>1457.4</v>
      </c>
      <c r="N3757">
        <v>2020</v>
      </c>
      <c r="O3757">
        <v>6</v>
      </c>
    </row>
    <row r="3758" spans="1:15" x14ac:dyDescent="0.3">
      <c r="A3758" s="1">
        <v>44010</v>
      </c>
      <c r="B3758">
        <v>1000000068</v>
      </c>
      <c r="C3758" t="s">
        <v>23</v>
      </c>
      <c r="D3758">
        <v>3</v>
      </c>
      <c r="E3758">
        <v>19000.480000000003</v>
      </c>
      <c r="F3758" t="s">
        <v>16</v>
      </c>
      <c r="G3758" t="s">
        <v>24</v>
      </c>
      <c r="H3758" t="s">
        <v>30</v>
      </c>
      <c r="I3758" t="s">
        <v>55</v>
      </c>
      <c r="J3758" t="s">
        <v>26</v>
      </c>
      <c r="K3758" t="s">
        <v>56</v>
      </c>
      <c r="L3758" t="s">
        <v>28</v>
      </c>
      <c r="M3758">
        <v>6333.4933333333347</v>
      </c>
      <c r="N3758">
        <v>2020</v>
      </c>
      <c r="O3758">
        <v>6</v>
      </c>
    </row>
    <row r="3759" spans="1:15" x14ac:dyDescent="0.3">
      <c r="A3759" s="1">
        <v>44010</v>
      </c>
      <c r="B3759">
        <v>1000000068</v>
      </c>
      <c r="C3759" t="s">
        <v>15</v>
      </c>
      <c r="D3759">
        <v>1</v>
      </c>
      <c r="E3759">
        <v>15000.07</v>
      </c>
      <c r="F3759" t="s">
        <v>16</v>
      </c>
      <c r="G3759" t="s">
        <v>17</v>
      </c>
      <c r="H3759" t="s">
        <v>30</v>
      </c>
      <c r="I3759" t="s">
        <v>55</v>
      </c>
      <c r="J3759" t="s">
        <v>26</v>
      </c>
      <c r="K3759" t="s">
        <v>56</v>
      </c>
      <c r="L3759" t="s">
        <v>28</v>
      </c>
      <c r="M3759">
        <v>15000.07</v>
      </c>
      <c r="N3759">
        <v>2020</v>
      </c>
      <c r="O3759">
        <v>6</v>
      </c>
    </row>
    <row r="3760" spans="1:15" x14ac:dyDescent="0.3">
      <c r="A3760" s="1">
        <v>44010</v>
      </c>
      <c r="B3760">
        <v>1000000104</v>
      </c>
      <c r="C3760" t="s">
        <v>23</v>
      </c>
      <c r="D3760">
        <v>1</v>
      </c>
      <c r="E3760">
        <v>6000</v>
      </c>
      <c r="F3760" t="s">
        <v>16</v>
      </c>
      <c r="G3760" t="s">
        <v>24</v>
      </c>
      <c r="H3760" t="s">
        <v>18</v>
      </c>
      <c r="I3760" t="s">
        <v>40</v>
      </c>
      <c r="J3760" t="s">
        <v>26</v>
      </c>
      <c r="K3760" t="s">
        <v>41</v>
      </c>
      <c r="L3760" t="s">
        <v>22</v>
      </c>
      <c r="M3760">
        <v>6000</v>
      </c>
      <c r="N3760">
        <v>2020</v>
      </c>
      <c r="O3760">
        <v>6</v>
      </c>
    </row>
    <row r="3761" spans="1:15" x14ac:dyDescent="0.3">
      <c r="A3761" s="1">
        <v>44010</v>
      </c>
      <c r="B3761">
        <v>1000000104</v>
      </c>
      <c r="C3761" t="s">
        <v>42</v>
      </c>
      <c r="D3761">
        <v>1</v>
      </c>
      <c r="E3761">
        <v>1500.46</v>
      </c>
      <c r="F3761" t="s">
        <v>16</v>
      </c>
      <c r="G3761" t="s">
        <v>43</v>
      </c>
      <c r="H3761" t="s">
        <v>18</v>
      </c>
      <c r="I3761" t="s">
        <v>40</v>
      </c>
      <c r="J3761" t="s">
        <v>26</v>
      </c>
      <c r="K3761" t="s">
        <v>41</v>
      </c>
      <c r="L3761" t="s">
        <v>22</v>
      </c>
      <c r="M3761">
        <v>1500.46</v>
      </c>
      <c r="N3761">
        <v>2020</v>
      </c>
      <c r="O3761">
        <v>6</v>
      </c>
    </row>
    <row r="3762" spans="1:15" x14ac:dyDescent="0.3">
      <c r="A3762" s="1">
        <v>44010</v>
      </c>
      <c r="B3762">
        <v>1000000566</v>
      </c>
      <c r="C3762" t="s">
        <v>23</v>
      </c>
      <c r="D3762">
        <v>1</v>
      </c>
      <c r="E3762">
        <v>3500.65</v>
      </c>
      <c r="F3762" t="s">
        <v>16</v>
      </c>
      <c r="G3762" t="s">
        <v>24</v>
      </c>
      <c r="H3762" t="s">
        <v>47</v>
      </c>
      <c r="I3762" t="s">
        <v>48</v>
      </c>
      <c r="J3762" t="s">
        <v>36</v>
      </c>
      <c r="K3762" t="s">
        <v>49</v>
      </c>
      <c r="L3762" t="s">
        <v>22</v>
      </c>
      <c r="M3762">
        <v>3500.65</v>
      </c>
      <c r="N3762">
        <v>2020</v>
      </c>
      <c r="O3762">
        <v>6</v>
      </c>
    </row>
    <row r="3763" spans="1:15" x14ac:dyDescent="0.3">
      <c r="A3763" s="1">
        <v>44010</v>
      </c>
      <c r="B3763">
        <v>1000000566</v>
      </c>
      <c r="C3763" t="s">
        <v>71</v>
      </c>
      <c r="D3763">
        <v>1</v>
      </c>
      <c r="E3763">
        <v>8500.0300000000007</v>
      </c>
      <c r="F3763" t="s">
        <v>16</v>
      </c>
      <c r="G3763" t="s">
        <v>72</v>
      </c>
      <c r="H3763" t="s">
        <v>47</v>
      </c>
      <c r="I3763" t="s">
        <v>48</v>
      </c>
      <c r="J3763" t="s">
        <v>36</v>
      </c>
      <c r="K3763" t="s">
        <v>49</v>
      </c>
      <c r="L3763" t="s">
        <v>22</v>
      </c>
      <c r="M3763">
        <v>8500.0300000000007</v>
      </c>
      <c r="N3763">
        <v>2020</v>
      </c>
      <c r="O3763">
        <v>6</v>
      </c>
    </row>
    <row r="3764" spans="1:15" x14ac:dyDescent="0.3">
      <c r="A3764" s="1">
        <v>44010</v>
      </c>
      <c r="B3764">
        <v>1000000566</v>
      </c>
      <c r="C3764" t="s">
        <v>15</v>
      </c>
      <c r="D3764">
        <v>1</v>
      </c>
      <c r="E3764">
        <v>12000.43</v>
      </c>
      <c r="F3764" t="s">
        <v>16</v>
      </c>
      <c r="G3764" t="s">
        <v>17</v>
      </c>
      <c r="H3764" t="s">
        <v>47</v>
      </c>
      <c r="I3764" t="s">
        <v>48</v>
      </c>
      <c r="J3764" t="s">
        <v>36</v>
      </c>
      <c r="K3764" t="s">
        <v>49</v>
      </c>
      <c r="L3764" t="s">
        <v>22</v>
      </c>
      <c r="M3764">
        <v>12000.43</v>
      </c>
      <c r="N3764">
        <v>2020</v>
      </c>
      <c r="O3764">
        <v>6</v>
      </c>
    </row>
    <row r="3765" spans="1:15" x14ac:dyDescent="0.3">
      <c r="A3765" s="1">
        <v>44010</v>
      </c>
      <c r="B3765">
        <v>1000000928</v>
      </c>
      <c r="C3765" t="s">
        <v>15</v>
      </c>
      <c r="D3765">
        <v>1</v>
      </c>
      <c r="E3765">
        <v>25000.65</v>
      </c>
      <c r="F3765" t="s">
        <v>16</v>
      </c>
      <c r="G3765" t="s">
        <v>17</v>
      </c>
      <c r="H3765" t="s">
        <v>30</v>
      </c>
      <c r="I3765" t="s">
        <v>57</v>
      </c>
      <c r="J3765" t="s">
        <v>26</v>
      </c>
      <c r="K3765" t="s">
        <v>58</v>
      </c>
      <c r="L3765" t="s">
        <v>22</v>
      </c>
      <c r="M3765">
        <v>25000.65</v>
      </c>
      <c r="N3765">
        <v>2020</v>
      </c>
      <c r="O3765">
        <v>6</v>
      </c>
    </row>
    <row r="3766" spans="1:15" x14ac:dyDescent="0.3">
      <c r="A3766" s="1">
        <v>44010</v>
      </c>
      <c r="B3766">
        <v>1000001513</v>
      </c>
      <c r="C3766" t="s">
        <v>42</v>
      </c>
      <c r="D3766">
        <v>1</v>
      </c>
      <c r="E3766">
        <v>5000.2</v>
      </c>
      <c r="F3766" t="s">
        <v>16</v>
      </c>
      <c r="G3766" t="s">
        <v>43</v>
      </c>
      <c r="H3766" t="s">
        <v>18</v>
      </c>
      <c r="I3766" t="s">
        <v>34</v>
      </c>
      <c r="J3766" t="s">
        <v>20</v>
      </c>
      <c r="K3766" t="s">
        <v>44</v>
      </c>
      <c r="L3766" t="s">
        <v>22</v>
      </c>
      <c r="M3766">
        <v>5000.2</v>
      </c>
      <c r="N3766">
        <v>2020</v>
      </c>
      <c r="O3766">
        <v>6</v>
      </c>
    </row>
    <row r="3767" spans="1:15" x14ac:dyDescent="0.3">
      <c r="A3767" s="1">
        <v>44010</v>
      </c>
      <c r="B3767">
        <v>1000001524</v>
      </c>
      <c r="C3767" t="s">
        <v>15</v>
      </c>
      <c r="D3767">
        <v>1</v>
      </c>
      <c r="E3767">
        <v>10000.040000000001</v>
      </c>
      <c r="F3767" t="s">
        <v>16</v>
      </c>
      <c r="G3767" t="s">
        <v>17</v>
      </c>
      <c r="H3767" t="s">
        <v>18</v>
      </c>
      <c r="I3767" t="s">
        <v>25</v>
      </c>
      <c r="J3767" t="s">
        <v>20</v>
      </c>
      <c r="K3767" t="s">
        <v>51</v>
      </c>
      <c r="L3767" t="s">
        <v>22</v>
      </c>
      <c r="M3767">
        <v>10000.040000000001</v>
      </c>
      <c r="N3767">
        <v>2020</v>
      </c>
      <c r="O3767">
        <v>6</v>
      </c>
    </row>
    <row r="3768" spans="1:15" x14ac:dyDescent="0.3">
      <c r="A3768" s="1">
        <v>44010</v>
      </c>
      <c r="B3768">
        <v>1000002134</v>
      </c>
      <c r="C3768" t="s">
        <v>23</v>
      </c>
      <c r="D3768">
        <v>1</v>
      </c>
      <c r="E3768">
        <v>16000.59</v>
      </c>
      <c r="F3768" t="s">
        <v>16</v>
      </c>
      <c r="G3768" t="s">
        <v>24</v>
      </c>
      <c r="H3768" t="s">
        <v>18</v>
      </c>
      <c r="I3768" t="s">
        <v>40</v>
      </c>
      <c r="J3768" t="s">
        <v>20</v>
      </c>
      <c r="K3768" t="s">
        <v>68</v>
      </c>
      <c r="L3768" t="s">
        <v>22</v>
      </c>
      <c r="M3768">
        <v>16000.59</v>
      </c>
      <c r="N3768">
        <v>2020</v>
      </c>
      <c r="O3768">
        <v>6</v>
      </c>
    </row>
    <row r="3769" spans="1:15" x14ac:dyDescent="0.3">
      <c r="A3769" s="1">
        <v>44010</v>
      </c>
      <c r="B3769">
        <v>1000002134</v>
      </c>
      <c r="C3769" t="s">
        <v>15</v>
      </c>
      <c r="D3769">
        <v>1</v>
      </c>
      <c r="E3769">
        <v>5500.56</v>
      </c>
      <c r="F3769" t="s">
        <v>16</v>
      </c>
      <c r="G3769" t="s">
        <v>17</v>
      </c>
      <c r="H3769" t="s">
        <v>18</v>
      </c>
      <c r="I3769" t="s">
        <v>40</v>
      </c>
      <c r="J3769" t="s">
        <v>20</v>
      </c>
      <c r="K3769" t="s">
        <v>68</v>
      </c>
      <c r="L3769" t="s">
        <v>22</v>
      </c>
      <c r="M3769">
        <v>5500.56</v>
      </c>
      <c r="N3769">
        <v>2020</v>
      </c>
      <c r="O3769">
        <v>6</v>
      </c>
    </row>
    <row r="3770" spans="1:15" x14ac:dyDescent="0.3">
      <c r="A3770" s="1">
        <v>44010</v>
      </c>
      <c r="B3770">
        <v>1000002861</v>
      </c>
      <c r="C3770" t="s">
        <v>42</v>
      </c>
      <c r="D3770">
        <v>2</v>
      </c>
      <c r="E3770">
        <v>22001.07</v>
      </c>
      <c r="F3770" t="s">
        <v>16</v>
      </c>
      <c r="G3770" t="s">
        <v>43</v>
      </c>
      <c r="H3770" t="s">
        <v>47</v>
      </c>
      <c r="I3770" t="s">
        <v>48</v>
      </c>
      <c r="J3770" t="s">
        <v>36</v>
      </c>
      <c r="K3770" t="s">
        <v>49</v>
      </c>
      <c r="L3770" t="s">
        <v>22</v>
      </c>
      <c r="M3770">
        <v>11000.535</v>
      </c>
      <c r="N3770">
        <v>2020</v>
      </c>
      <c r="O3770">
        <v>6</v>
      </c>
    </row>
    <row r="3771" spans="1:15" x14ac:dyDescent="0.3">
      <c r="A3771" s="1">
        <v>44010</v>
      </c>
      <c r="B3771">
        <v>1000003489</v>
      </c>
      <c r="C3771" t="s">
        <v>23</v>
      </c>
      <c r="D3771">
        <v>1</v>
      </c>
      <c r="E3771">
        <v>10000.51</v>
      </c>
      <c r="F3771" t="s">
        <v>16</v>
      </c>
      <c r="G3771" t="s">
        <v>24</v>
      </c>
      <c r="H3771" t="s">
        <v>47</v>
      </c>
      <c r="I3771" t="s">
        <v>48</v>
      </c>
      <c r="J3771" t="s">
        <v>26</v>
      </c>
      <c r="K3771" t="s">
        <v>50</v>
      </c>
      <c r="L3771" t="s">
        <v>22</v>
      </c>
      <c r="M3771">
        <v>10000.51</v>
      </c>
      <c r="N3771">
        <v>2020</v>
      </c>
      <c r="O3771">
        <v>6</v>
      </c>
    </row>
    <row r="3772" spans="1:15" x14ac:dyDescent="0.3">
      <c r="A3772" s="1">
        <v>44010</v>
      </c>
      <c r="B3772">
        <v>1000003926</v>
      </c>
      <c r="C3772" t="s">
        <v>23</v>
      </c>
      <c r="D3772">
        <v>2</v>
      </c>
      <c r="E3772">
        <v>41000.58</v>
      </c>
      <c r="F3772" t="s">
        <v>16</v>
      </c>
      <c r="G3772" t="s">
        <v>24</v>
      </c>
      <c r="H3772" t="s">
        <v>47</v>
      </c>
      <c r="I3772" t="s">
        <v>48</v>
      </c>
      <c r="J3772" t="s">
        <v>26</v>
      </c>
      <c r="K3772" t="s">
        <v>50</v>
      </c>
      <c r="L3772" t="s">
        <v>28</v>
      </c>
      <c r="M3772">
        <v>20500.29</v>
      </c>
      <c r="N3772">
        <v>2020</v>
      </c>
      <c r="O3772">
        <v>6</v>
      </c>
    </row>
    <row r="3773" spans="1:15" x14ac:dyDescent="0.3">
      <c r="A3773" s="1">
        <v>44010</v>
      </c>
      <c r="B3773">
        <v>1000003989</v>
      </c>
      <c r="C3773" t="s">
        <v>71</v>
      </c>
      <c r="D3773">
        <v>2</v>
      </c>
      <c r="E3773">
        <v>2800.5299999999997</v>
      </c>
      <c r="F3773" t="s">
        <v>16</v>
      </c>
      <c r="G3773" t="s">
        <v>72</v>
      </c>
      <c r="H3773" t="s">
        <v>30</v>
      </c>
      <c r="I3773" t="s">
        <v>31</v>
      </c>
      <c r="J3773" t="s">
        <v>36</v>
      </c>
      <c r="K3773" t="s">
        <v>52</v>
      </c>
      <c r="L3773" t="s">
        <v>22</v>
      </c>
      <c r="M3773">
        <v>1400.2649999999999</v>
      </c>
      <c r="N3773">
        <v>2020</v>
      </c>
      <c r="O3773">
        <v>6</v>
      </c>
    </row>
    <row r="3774" spans="1:15" x14ac:dyDescent="0.3">
      <c r="A3774" s="1">
        <v>44010</v>
      </c>
      <c r="B3774">
        <v>1000003989</v>
      </c>
      <c r="C3774" t="s">
        <v>15</v>
      </c>
      <c r="D3774">
        <v>1</v>
      </c>
      <c r="E3774">
        <v>14000.68</v>
      </c>
      <c r="F3774" t="s">
        <v>16</v>
      </c>
      <c r="G3774" t="s">
        <v>17</v>
      </c>
      <c r="H3774" t="s">
        <v>30</v>
      </c>
      <c r="I3774" t="s">
        <v>31</v>
      </c>
      <c r="J3774" t="s">
        <v>36</v>
      </c>
      <c r="K3774" t="s">
        <v>52</v>
      </c>
      <c r="L3774" t="s">
        <v>22</v>
      </c>
      <c r="M3774">
        <v>14000.68</v>
      </c>
      <c r="N3774">
        <v>2020</v>
      </c>
      <c r="O3774">
        <v>6</v>
      </c>
    </row>
    <row r="3775" spans="1:15" x14ac:dyDescent="0.3">
      <c r="A3775" s="1">
        <v>44010</v>
      </c>
      <c r="B3775">
        <v>1000004170</v>
      </c>
      <c r="C3775" t="s">
        <v>23</v>
      </c>
      <c r="D3775">
        <v>4</v>
      </c>
      <c r="E3775">
        <v>65001.75</v>
      </c>
      <c r="F3775" t="s">
        <v>16</v>
      </c>
      <c r="G3775" t="s">
        <v>24</v>
      </c>
      <c r="H3775" t="s">
        <v>18</v>
      </c>
      <c r="I3775" t="s">
        <v>34</v>
      </c>
      <c r="J3775" t="s">
        <v>20</v>
      </c>
      <c r="K3775" t="s">
        <v>44</v>
      </c>
      <c r="L3775" t="s">
        <v>28</v>
      </c>
      <c r="M3775">
        <v>16250.4375</v>
      </c>
      <c r="N3775">
        <v>2020</v>
      </c>
      <c r="O3775">
        <v>6</v>
      </c>
    </row>
    <row r="3776" spans="1:15" x14ac:dyDescent="0.3">
      <c r="A3776" s="1">
        <v>44010</v>
      </c>
      <c r="B3776">
        <v>1000004170</v>
      </c>
      <c r="C3776" t="s">
        <v>71</v>
      </c>
      <c r="D3776">
        <v>1</v>
      </c>
      <c r="E3776">
        <v>1261</v>
      </c>
      <c r="F3776" t="s">
        <v>16</v>
      </c>
      <c r="G3776" t="s">
        <v>72</v>
      </c>
      <c r="H3776" t="s">
        <v>18</v>
      </c>
      <c r="I3776" t="s">
        <v>34</v>
      </c>
      <c r="J3776" t="s">
        <v>20</v>
      </c>
      <c r="K3776" t="s">
        <v>44</v>
      </c>
      <c r="L3776" t="s">
        <v>28</v>
      </c>
      <c r="M3776">
        <v>1261</v>
      </c>
      <c r="N3776">
        <v>2020</v>
      </c>
      <c r="O3776">
        <v>6</v>
      </c>
    </row>
    <row r="3777" spans="1:15" x14ac:dyDescent="0.3">
      <c r="A3777" s="1">
        <v>44010</v>
      </c>
      <c r="B3777">
        <v>1000004256</v>
      </c>
      <c r="C3777" t="s">
        <v>15</v>
      </c>
      <c r="D3777">
        <v>1</v>
      </c>
      <c r="E3777">
        <v>16000.23</v>
      </c>
      <c r="F3777" t="s">
        <v>16</v>
      </c>
      <c r="G3777" t="s">
        <v>17</v>
      </c>
      <c r="H3777" t="s">
        <v>18</v>
      </c>
      <c r="I3777" t="s">
        <v>40</v>
      </c>
      <c r="J3777" t="s">
        <v>26</v>
      </c>
      <c r="K3777" t="s">
        <v>41</v>
      </c>
      <c r="L3777" t="s">
        <v>22</v>
      </c>
      <c r="M3777">
        <v>16000.23</v>
      </c>
      <c r="N3777">
        <v>2020</v>
      </c>
      <c r="O3777">
        <v>6</v>
      </c>
    </row>
    <row r="3778" spans="1:15" x14ac:dyDescent="0.3">
      <c r="A3778" s="1">
        <v>44010</v>
      </c>
      <c r="B3778">
        <v>1000004256</v>
      </c>
      <c r="C3778" t="s">
        <v>42</v>
      </c>
      <c r="D3778">
        <v>1</v>
      </c>
      <c r="E3778">
        <v>12000.47</v>
      </c>
      <c r="F3778" t="s">
        <v>16</v>
      </c>
      <c r="G3778" t="s">
        <v>43</v>
      </c>
      <c r="H3778" t="s">
        <v>18</v>
      </c>
      <c r="I3778" t="s">
        <v>40</v>
      </c>
      <c r="J3778" t="s">
        <v>26</v>
      </c>
      <c r="K3778" t="s">
        <v>41</v>
      </c>
      <c r="L3778" t="s">
        <v>22</v>
      </c>
      <c r="M3778">
        <v>12000.47</v>
      </c>
      <c r="N3778">
        <v>2020</v>
      </c>
      <c r="O3778">
        <v>6</v>
      </c>
    </row>
    <row r="3779" spans="1:15" x14ac:dyDescent="0.3">
      <c r="A3779" s="1">
        <v>44010</v>
      </c>
      <c r="B3779">
        <v>1000005873</v>
      </c>
      <c r="C3779" t="s">
        <v>23</v>
      </c>
      <c r="D3779">
        <v>1</v>
      </c>
      <c r="E3779">
        <v>16000.65</v>
      </c>
      <c r="F3779" t="s">
        <v>16</v>
      </c>
      <c r="G3779" t="s">
        <v>24</v>
      </c>
      <c r="H3779" t="s">
        <v>18</v>
      </c>
      <c r="I3779" t="s">
        <v>19</v>
      </c>
      <c r="J3779" t="s">
        <v>20</v>
      </c>
      <c r="K3779" t="s">
        <v>21</v>
      </c>
      <c r="L3779" t="s">
        <v>28</v>
      </c>
      <c r="M3779">
        <v>16000.65</v>
      </c>
      <c r="N3779">
        <v>2020</v>
      </c>
      <c r="O3779">
        <v>6</v>
      </c>
    </row>
    <row r="3780" spans="1:15" x14ac:dyDescent="0.3">
      <c r="A3780" s="1">
        <v>44010</v>
      </c>
      <c r="B3780">
        <v>1000005873</v>
      </c>
      <c r="C3780" t="s">
        <v>71</v>
      </c>
      <c r="D3780">
        <v>1</v>
      </c>
      <c r="E3780">
        <v>2000.13</v>
      </c>
      <c r="F3780" t="s">
        <v>16</v>
      </c>
      <c r="G3780" t="s">
        <v>72</v>
      </c>
      <c r="H3780" t="s">
        <v>18</v>
      </c>
      <c r="I3780" t="s">
        <v>19</v>
      </c>
      <c r="J3780" t="s">
        <v>20</v>
      </c>
      <c r="K3780" t="s">
        <v>21</v>
      </c>
      <c r="L3780" t="s">
        <v>28</v>
      </c>
      <c r="M3780">
        <v>2000.13</v>
      </c>
      <c r="N3780">
        <v>2020</v>
      </c>
      <c r="O3780">
        <v>6</v>
      </c>
    </row>
    <row r="3781" spans="1:15" x14ac:dyDescent="0.3">
      <c r="A3781" s="1">
        <v>44010</v>
      </c>
      <c r="B3781">
        <v>1000006064</v>
      </c>
      <c r="C3781" t="s">
        <v>42</v>
      </c>
      <c r="D3781">
        <v>2</v>
      </c>
      <c r="E3781">
        <v>35001.089999999997</v>
      </c>
      <c r="F3781" t="s">
        <v>16</v>
      </c>
      <c r="G3781" t="s">
        <v>43</v>
      </c>
      <c r="H3781" t="s">
        <v>18</v>
      </c>
      <c r="I3781" t="s">
        <v>40</v>
      </c>
      <c r="J3781" t="s">
        <v>26</v>
      </c>
      <c r="K3781" t="s">
        <v>41</v>
      </c>
      <c r="L3781" t="s">
        <v>22</v>
      </c>
      <c r="M3781">
        <v>17500.544999999998</v>
      </c>
      <c r="N3781">
        <v>2020</v>
      </c>
      <c r="O3781">
        <v>6</v>
      </c>
    </row>
    <row r="3782" spans="1:15" x14ac:dyDescent="0.3">
      <c r="A3782" s="1">
        <v>44010</v>
      </c>
      <c r="B3782">
        <v>1000006860</v>
      </c>
      <c r="C3782" t="s">
        <v>71</v>
      </c>
      <c r="D3782">
        <v>1</v>
      </c>
      <c r="E3782">
        <v>874.94</v>
      </c>
      <c r="F3782" t="s">
        <v>16</v>
      </c>
      <c r="G3782" t="s">
        <v>72</v>
      </c>
      <c r="H3782" t="s">
        <v>18</v>
      </c>
      <c r="I3782" t="s">
        <v>61</v>
      </c>
      <c r="J3782" t="s">
        <v>26</v>
      </c>
      <c r="K3782" t="s">
        <v>62</v>
      </c>
      <c r="L3782" t="s">
        <v>22</v>
      </c>
      <c r="M3782">
        <v>874.94</v>
      </c>
      <c r="N3782">
        <v>2020</v>
      </c>
      <c r="O3782">
        <v>6</v>
      </c>
    </row>
    <row r="3783" spans="1:15" x14ac:dyDescent="0.3">
      <c r="A3783" s="1">
        <v>44010</v>
      </c>
      <c r="B3783">
        <v>1000007197</v>
      </c>
      <c r="C3783" t="s">
        <v>71</v>
      </c>
      <c r="D3783">
        <v>1</v>
      </c>
      <c r="E3783">
        <v>500.36</v>
      </c>
      <c r="F3783" t="s">
        <v>16</v>
      </c>
      <c r="G3783" t="s">
        <v>72</v>
      </c>
      <c r="H3783" t="s">
        <v>18</v>
      </c>
      <c r="I3783" t="s">
        <v>40</v>
      </c>
      <c r="J3783" t="s">
        <v>26</v>
      </c>
      <c r="K3783" t="s">
        <v>41</v>
      </c>
      <c r="L3783" t="s">
        <v>22</v>
      </c>
      <c r="M3783">
        <v>500.36</v>
      </c>
      <c r="N3783">
        <v>2020</v>
      </c>
      <c r="O3783">
        <v>6</v>
      </c>
    </row>
    <row r="3784" spans="1:15" x14ac:dyDescent="0.3">
      <c r="A3784" s="1">
        <v>44010</v>
      </c>
      <c r="B3784">
        <v>1000007320</v>
      </c>
      <c r="C3784" t="s">
        <v>15</v>
      </c>
      <c r="D3784">
        <v>2</v>
      </c>
      <c r="E3784">
        <v>17000.62</v>
      </c>
      <c r="F3784" t="s">
        <v>16</v>
      </c>
      <c r="G3784" t="s">
        <v>17</v>
      </c>
      <c r="H3784" t="s">
        <v>18</v>
      </c>
      <c r="I3784" t="s">
        <v>34</v>
      </c>
      <c r="J3784" t="s">
        <v>26</v>
      </c>
      <c r="K3784" t="s">
        <v>35</v>
      </c>
      <c r="L3784" t="s">
        <v>22</v>
      </c>
      <c r="M3784">
        <v>8500.31</v>
      </c>
      <c r="N3784">
        <v>2020</v>
      </c>
      <c r="O3784">
        <v>6</v>
      </c>
    </row>
    <row r="3785" spans="1:15" x14ac:dyDescent="0.3">
      <c r="A3785" s="1">
        <v>44010</v>
      </c>
      <c r="B3785">
        <v>1000008239</v>
      </c>
      <c r="C3785" t="s">
        <v>23</v>
      </c>
      <c r="D3785">
        <v>1</v>
      </c>
      <c r="E3785">
        <v>10000.66</v>
      </c>
      <c r="F3785" t="s">
        <v>16</v>
      </c>
      <c r="G3785" t="s">
        <v>24</v>
      </c>
      <c r="H3785" t="s">
        <v>18</v>
      </c>
      <c r="I3785" t="s">
        <v>61</v>
      </c>
      <c r="J3785" t="s">
        <v>26</v>
      </c>
      <c r="K3785" t="s">
        <v>62</v>
      </c>
      <c r="L3785" t="s">
        <v>28</v>
      </c>
      <c r="M3785">
        <v>10000.66</v>
      </c>
      <c r="N3785">
        <v>2020</v>
      </c>
      <c r="O3785">
        <v>6</v>
      </c>
    </row>
    <row r="3786" spans="1:15" x14ac:dyDescent="0.3">
      <c r="A3786" s="1">
        <v>44010</v>
      </c>
      <c r="B3786">
        <v>1000008542</v>
      </c>
      <c r="C3786" t="s">
        <v>42</v>
      </c>
      <c r="D3786">
        <v>1</v>
      </c>
      <c r="E3786">
        <v>10000.74</v>
      </c>
      <c r="F3786" t="s">
        <v>16</v>
      </c>
      <c r="G3786" t="s">
        <v>43</v>
      </c>
      <c r="H3786" t="s">
        <v>18</v>
      </c>
      <c r="I3786" t="s">
        <v>40</v>
      </c>
      <c r="J3786" t="s">
        <v>26</v>
      </c>
      <c r="K3786" t="s">
        <v>41</v>
      </c>
      <c r="L3786" t="s">
        <v>22</v>
      </c>
      <c r="M3786">
        <v>10000.74</v>
      </c>
      <c r="N3786">
        <v>2020</v>
      </c>
      <c r="O3786">
        <v>6</v>
      </c>
    </row>
    <row r="3787" spans="1:15" x14ac:dyDescent="0.3">
      <c r="A3787" s="1">
        <v>44010</v>
      </c>
      <c r="B3787">
        <v>1000009288</v>
      </c>
      <c r="C3787" t="s">
        <v>23</v>
      </c>
      <c r="D3787">
        <v>4</v>
      </c>
      <c r="E3787">
        <v>49001.55</v>
      </c>
      <c r="F3787" t="s">
        <v>16</v>
      </c>
      <c r="G3787" t="s">
        <v>24</v>
      </c>
      <c r="H3787" t="s">
        <v>18</v>
      </c>
      <c r="I3787" t="s">
        <v>25</v>
      </c>
      <c r="J3787" t="s">
        <v>20</v>
      </c>
      <c r="K3787" t="s">
        <v>51</v>
      </c>
      <c r="L3787" t="s">
        <v>22</v>
      </c>
      <c r="M3787">
        <v>12250.387500000001</v>
      </c>
      <c r="N3787">
        <v>2020</v>
      </c>
      <c r="O3787">
        <v>6</v>
      </c>
    </row>
    <row r="3788" spans="1:15" x14ac:dyDescent="0.3">
      <c r="A3788" s="1">
        <v>44010</v>
      </c>
      <c r="B3788">
        <v>1000010837</v>
      </c>
      <c r="C3788" t="s">
        <v>73</v>
      </c>
      <c r="D3788">
        <v>1</v>
      </c>
      <c r="E3788">
        <v>4000.21</v>
      </c>
      <c r="F3788" t="s">
        <v>16</v>
      </c>
      <c r="G3788" t="s">
        <v>74</v>
      </c>
      <c r="H3788" t="s">
        <v>18</v>
      </c>
      <c r="I3788" t="s">
        <v>61</v>
      </c>
      <c r="J3788" t="s">
        <v>26</v>
      </c>
      <c r="K3788" t="s">
        <v>62</v>
      </c>
      <c r="L3788" t="s">
        <v>22</v>
      </c>
      <c r="M3788">
        <v>4000.21</v>
      </c>
      <c r="N3788">
        <v>2020</v>
      </c>
      <c r="O3788">
        <v>6</v>
      </c>
    </row>
    <row r="3789" spans="1:15" x14ac:dyDescent="0.3">
      <c r="A3789" s="1">
        <v>44010</v>
      </c>
      <c r="B3789">
        <v>1000010837</v>
      </c>
      <c r="C3789" t="s">
        <v>15</v>
      </c>
      <c r="D3789">
        <v>1</v>
      </c>
      <c r="E3789">
        <v>20000.689999999999</v>
      </c>
      <c r="F3789" t="s">
        <v>16</v>
      </c>
      <c r="G3789" t="s">
        <v>17</v>
      </c>
      <c r="H3789" t="s">
        <v>18</v>
      </c>
      <c r="I3789" t="s">
        <v>61</v>
      </c>
      <c r="J3789" t="s">
        <v>26</v>
      </c>
      <c r="K3789" t="s">
        <v>62</v>
      </c>
      <c r="L3789" t="s">
        <v>22</v>
      </c>
      <c r="M3789">
        <v>20000.689999999999</v>
      </c>
      <c r="N3789">
        <v>2020</v>
      </c>
      <c r="O3789">
        <v>6</v>
      </c>
    </row>
    <row r="3790" spans="1:15" x14ac:dyDescent="0.3">
      <c r="A3790" s="1">
        <v>44010</v>
      </c>
      <c r="B3790">
        <v>1000010881</v>
      </c>
      <c r="C3790" t="s">
        <v>42</v>
      </c>
      <c r="D3790">
        <v>1</v>
      </c>
      <c r="E3790">
        <v>5999.93</v>
      </c>
      <c r="F3790" t="s">
        <v>16</v>
      </c>
      <c r="G3790" t="s">
        <v>43</v>
      </c>
      <c r="H3790" t="s">
        <v>47</v>
      </c>
      <c r="I3790" t="s">
        <v>48</v>
      </c>
      <c r="J3790" t="s">
        <v>26</v>
      </c>
      <c r="K3790" t="s">
        <v>50</v>
      </c>
      <c r="L3790" t="s">
        <v>22</v>
      </c>
      <c r="M3790">
        <v>5999.93</v>
      </c>
      <c r="N3790">
        <v>2020</v>
      </c>
      <c r="O3790">
        <v>6</v>
      </c>
    </row>
    <row r="3791" spans="1:15" x14ac:dyDescent="0.3">
      <c r="A3791" s="1">
        <v>44010</v>
      </c>
      <c r="B3791">
        <v>1000011697</v>
      </c>
      <c r="C3791" t="s">
        <v>23</v>
      </c>
      <c r="D3791">
        <v>1</v>
      </c>
      <c r="E3791">
        <v>15000.3</v>
      </c>
      <c r="F3791" t="s">
        <v>16</v>
      </c>
      <c r="G3791" t="s">
        <v>24</v>
      </c>
      <c r="H3791" t="s">
        <v>18</v>
      </c>
      <c r="I3791" t="s">
        <v>34</v>
      </c>
      <c r="J3791" t="s">
        <v>20</v>
      </c>
      <c r="K3791" t="s">
        <v>44</v>
      </c>
      <c r="L3791" t="s">
        <v>22</v>
      </c>
      <c r="M3791">
        <v>15000.3</v>
      </c>
      <c r="N3791">
        <v>2020</v>
      </c>
      <c r="O3791">
        <v>6</v>
      </c>
    </row>
    <row r="3792" spans="1:15" x14ac:dyDescent="0.3">
      <c r="A3792" s="1">
        <v>44010</v>
      </c>
      <c r="B3792">
        <v>1000011697</v>
      </c>
      <c r="C3792" t="s">
        <v>15</v>
      </c>
      <c r="D3792">
        <v>1</v>
      </c>
      <c r="E3792">
        <v>11000.67</v>
      </c>
      <c r="F3792" t="s">
        <v>16</v>
      </c>
      <c r="G3792" t="s">
        <v>17</v>
      </c>
      <c r="H3792" t="s">
        <v>18</v>
      </c>
      <c r="I3792" t="s">
        <v>34</v>
      </c>
      <c r="J3792" t="s">
        <v>20</v>
      </c>
      <c r="K3792" t="s">
        <v>44</v>
      </c>
      <c r="L3792" t="s">
        <v>22</v>
      </c>
      <c r="M3792">
        <v>11000.67</v>
      </c>
      <c r="N3792">
        <v>2020</v>
      </c>
      <c r="O3792">
        <v>6</v>
      </c>
    </row>
    <row r="3793" spans="1:15" x14ac:dyDescent="0.3">
      <c r="A3793" s="1">
        <v>44010</v>
      </c>
      <c r="B3793">
        <v>1000011698</v>
      </c>
      <c r="C3793" t="s">
        <v>23</v>
      </c>
      <c r="D3793">
        <v>3</v>
      </c>
      <c r="E3793">
        <v>34000.83</v>
      </c>
      <c r="F3793" t="s">
        <v>16</v>
      </c>
      <c r="G3793" t="s">
        <v>24</v>
      </c>
      <c r="H3793" t="s">
        <v>18</v>
      </c>
      <c r="I3793" t="s">
        <v>34</v>
      </c>
      <c r="J3793" t="s">
        <v>20</v>
      </c>
      <c r="K3793" t="s">
        <v>44</v>
      </c>
      <c r="L3793" t="s">
        <v>22</v>
      </c>
      <c r="M3793">
        <v>11333.61</v>
      </c>
      <c r="N3793">
        <v>2020</v>
      </c>
      <c r="O3793">
        <v>6</v>
      </c>
    </row>
    <row r="3794" spans="1:15" x14ac:dyDescent="0.3">
      <c r="A3794" s="1">
        <v>44010</v>
      </c>
      <c r="B3794">
        <v>1000012112</v>
      </c>
      <c r="C3794" t="s">
        <v>23</v>
      </c>
      <c r="D3794">
        <v>1</v>
      </c>
      <c r="E3794">
        <v>9000.6200000000008</v>
      </c>
      <c r="F3794" t="s">
        <v>16</v>
      </c>
      <c r="G3794" t="s">
        <v>24</v>
      </c>
      <c r="H3794" t="s">
        <v>18</v>
      </c>
      <c r="I3794" t="s">
        <v>19</v>
      </c>
      <c r="J3794" t="s">
        <v>36</v>
      </c>
      <c r="K3794" t="s">
        <v>64</v>
      </c>
      <c r="L3794" t="s">
        <v>28</v>
      </c>
      <c r="M3794">
        <v>9000.6200000000008</v>
      </c>
      <c r="N3794">
        <v>2020</v>
      </c>
      <c r="O3794">
        <v>6</v>
      </c>
    </row>
    <row r="3795" spans="1:15" x14ac:dyDescent="0.3">
      <c r="A3795" s="1">
        <v>44010</v>
      </c>
      <c r="B3795">
        <v>1000012126</v>
      </c>
      <c r="C3795" t="s">
        <v>42</v>
      </c>
      <c r="D3795">
        <v>1</v>
      </c>
      <c r="E3795">
        <v>17000.46</v>
      </c>
      <c r="F3795" t="s">
        <v>16</v>
      </c>
      <c r="G3795" t="s">
        <v>43</v>
      </c>
      <c r="H3795" t="s">
        <v>18</v>
      </c>
      <c r="I3795" t="s">
        <v>19</v>
      </c>
      <c r="J3795" t="s">
        <v>26</v>
      </c>
      <c r="K3795" t="s">
        <v>29</v>
      </c>
      <c r="L3795" t="s">
        <v>22</v>
      </c>
      <c r="M3795">
        <v>17000.46</v>
      </c>
      <c r="N3795">
        <v>2020</v>
      </c>
      <c r="O3795">
        <v>6</v>
      </c>
    </row>
    <row r="3796" spans="1:15" x14ac:dyDescent="0.3">
      <c r="A3796" s="1">
        <v>44010</v>
      </c>
      <c r="B3796">
        <v>1000012234</v>
      </c>
      <c r="C3796" t="s">
        <v>23</v>
      </c>
      <c r="D3796">
        <v>4</v>
      </c>
      <c r="E3796">
        <v>60001.1</v>
      </c>
      <c r="F3796" t="s">
        <v>16</v>
      </c>
      <c r="G3796" t="s">
        <v>24</v>
      </c>
      <c r="H3796" t="s">
        <v>18</v>
      </c>
      <c r="I3796" t="s">
        <v>25</v>
      </c>
      <c r="J3796" t="s">
        <v>26</v>
      </c>
      <c r="K3796" t="s">
        <v>27</v>
      </c>
      <c r="L3796" t="s">
        <v>22</v>
      </c>
      <c r="M3796">
        <v>15000.275</v>
      </c>
      <c r="N3796">
        <v>2020</v>
      </c>
      <c r="O3796">
        <v>6</v>
      </c>
    </row>
    <row r="3797" spans="1:15" x14ac:dyDescent="0.3">
      <c r="A3797" s="1">
        <v>44010</v>
      </c>
      <c r="B3797">
        <v>1000012313</v>
      </c>
      <c r="C3797" t="s">
        <v>23</v>
      </c>
      <c r="D3797">
        <v>1</v>
      </c>
      <c r="E3797">
        <v>10000</v>
      </c>
      <c r="F3797" t="s">
        <v>16</v>
      </c>
      <c r="G3797" t="s">
        <v>24</v>
      </c>
      <c r="H3797" t="s">
        <v>47</v>
      </c>
      <c r="I3797" t="s">
        <v>65</v>
      </c>
      <c r="J3797" t="s">
        <v>26</v>
      </c>
      <c r="K3797" t="s">
        <v>66</v>
      </c>
      <c r="L3797" t="s">
        <v>22</v>
      </c>
      <c r="M3797">
        <v>10000</v>
      </c>
      <c r="N3797">
        <v>2020</v>
      </c>
      <c r="O3797">
        <v>6</v>
      </c>
    </row>
    <row r="3798" spans="1:15" x14ac:dyDescent="0.3">
      <c r="A3798" s="1">
        <v>44010</v>
      </c>
      <c r="B3798">
        <v>1000012446</v>
      </c>
      <c r="C3798" t="s">
        <v>15</v>
      </c>
      <c r="D3798">
        <v>1</v>
      </c>
      <c r="E3798">
        <v>14000.1</v>
      </c>
      <c r="F3798" t="s">
        <v>16</v>
      </c>
      <c r="G3798" t="s">
        <v>17</v>
      </c>
      <c r="H3798" t="s">
        <v>30</v>
      </c>
      <c r="I3798" t="s">
        <v>31</v>
      </c>
      <c r="J3798" t="s">
        <v>36</v>
      </c>
      <c r="K3798" t="s">
        <v>52</v>
      </c>
      <c r="L3798" t="s">
        <v>22</v>
      </c>
      <c r="M3798">
        <v>14000.1</v>
      </c>
      <c r="N3798">
        <v>2020</v>
      </c>
      <c r="O3798">
        <v>6</v>
      </c>
    </row>
    <row r="3799" spans="1:15" x14ac:dyDescent="0.3">
      <c r="A3799" s="1">
        <v>44010</v>
      </c>
      <c r="B3799">
        <v>1000014072</v>
      </c>
      <c r="C3799" t="s">
        <v>15</v>
      </c>
      <c r="D3799">
        <v>1</v>
      </c>
      <c r="E3799">
        <v>15000.28</v>
      </c>
      <c r="F3799" t="s">
        <v>16</v>
      </c>
      <c r="G3799" t="s">
        <v>17</v>
      </c>
      <c r="H3799" t="s">
        <v>47</v>
      </c>
      <c r="I3799" t="s">
        <v>65</v>
      </c>
      <c r="J3799" t="s">
        <v>26</v>
      </c>
      <c r="K3799" t="s">
        <v>66</v>
      </c>
      <c r="L3799" t="s">
        <v>22</v>
      </c>
      <c r="M3799">
        <v>15000.28</v>
      </c>
      <c r="N3799">
        <v>2020</v>
      </c>
      <c r="O3799">
        <v>6</v>
      </c>
    </row>
    <row r="3800" spans="1:15" x14ac:dyDescent="0.3">
      <c r="A3800" s="1">
        <v>44010</v>
      </c>
      <c r="B3800">
        <v>1000014273</v>
      </c>
      <c r="C3800" t="s">
        <v>23</v>
      </c>
      <c r="D3800">
        <v>1</v>
      </c>
      <c r="E3800">
        <v>17000.54</v>
      </c>
      <c r="F3800" t="s">
        <v>16</v>
      </c>
      <c r="G3800" t="s">
        <v>24</v>
      </c>
      <c r="H3800" t="s">
        <v>18</v>
      </c>
      <c r="I3800" t="s">
        <v>19</v>
      </c>
      <c r="J3800" t="s">
        <v>20</v>
      </c>
      <c r="K3800" t="s">
        <v>21</v>
      </c>
      <c r="L3800" t="s">
        <v>22</v>
      </c>
      <c r="M3800">
        <v>17000.54</v>
      </c>
      <c r="N3800">
        <v>2020</v>
      </c>
      <c r="O3800">
        <v>6</v>
      </c>
    </row>
    <row r="3801" spans="1:15" x14ac:dyDescent="0.3">
      <c r="A3801" s="1">
        <v>44010</v>
      </c>
      <c r="B3801">
        <v>1000014291</v>
      </c>
      <c r="C3801" t="s">
        <v>23</v>
      </c>
      <c r="D3801">
        <v>3</v>
      </c>
      <c r="E3801">
        <v>27001.39</v>
      </c>
      <c r="F3801" t="s">
        <v>16</v>
      </c>
      <c r="G3801" t="s">
        <v>24</v>
      </c>
      <c r="H3801" t="s">
        <v>47</v>
      </c>
      <c r="I3801" t="s">
        <v>48</v>
      </c>
      <c r="J3801" t="s">
        <v>20</v>
      </c>
      <c r="K3801" t="s">
        <v>67</v>
      </c>
      <c r="L3801" t="s">
        <v>28</v>
      </c>
      <c r="M3801">
        <v>9000.4633333333331</v>
      </c>
      <c r="N3801">
        <v>2020</v>
      </c>
      <c r="O3801">
        <v>6</v>
      </c>
    </row>
    <row r="3802" spans="1:15" x14ac:dyDescent="0.3">
      <c r="A3802" s="1">
        <v>44010</v>
      </c>
      <c r="B3802">
        <v>1000014291</v>
      </c>
      <c r="C3802" t="s">
        <v>15</v>
      </c>
      <c r="D3802">
        <v>2</v>
      </c>
      <c r="E3802">
        <v>16000.53</v>
      </c>
      <c r="F3802" t="s">
        <v>16</v>
      </c>
      <c r="G3802" t="s">
        <v>17</v>
      </c>
      <c r="H3802" t="s">
        <v>47</v>
      </c>
      <c r="I3802" t="s">
        <v>48</v>
      </c>
      <c r="J3802" t="s">
        <v>20</v>
      </c>
      <c r="K3802" t="s">
        <v>67</v>
      </c>
      <c r="L3802" t="s">
        <v>28</v>
      </c>
      <c r="M3802">
        <v>8000.2650000000003</v>
      </c>
      <c r="N3802">
        <v>2020</v>
      </c>
      <c r="O3802">
        <v>6</v>
      </c>
    </row>
    <row r="3803" spans="1:15" x14ac:dyDescent="0.3">
      <c r="A3803" s="1">
        <v>44010</v>
      </c>
      <c r="B3803">
        <v>1000014452</v>
      </c>
      <c r="C3803" t="s">
        <v>15</v>
      </c>
      <c r="D3803">
        <v>1</v>
      </c>
      <c r="E3803">
        <v>16000.48</v>
      </c>
      <c r="F3803" t="s">
        <v>16</v>
      </c>
      <c r="G3803" t="s">
        <v>17</v>
      </c>
      <c r="H3803" t="s">
        <v>18</v>
      </c>
      <c r="I3803" t="s">
        <v>34</v>
      </c>
      <c r="J3803" t="s">
        <v>36</v>
      </c>
      <c r="K3803" t="s">
        <v>70</v>
      </c>
      <c r="L3803" t="s">
        <v>22</v>
      </c>
      <c r="M3803">
        <v>16000.48</v>
      </c>
      <c r="N3803">
        <v>2020</v>
      </c>
      <c r="O3803">
        <v>6</v>
      </c>
    </row>
    <row r="3804" spans="1:15" x14ac:dyDescent="0.3">
      <c r="A3804" s="1">
        <v>44010</v>
      </c>
      <c r="B3804">
        <v>1000014530</v>
      </c>
      <c r="C3804" t="s">
        <v>23</v>
      </c>
      <c r="D3804">
        <v>1</v>
      </c>
      <c r="E3804">
        <v>15000.17</v>
      </c>
      <c r="F3804" t="s">
        <v>16</v>
      </c>
      <c r="G3804" t="s">
        <v>24</v>
      </c>
      <c r="H3804" t="s">
        <v>47</v>
      </c>
      <c r="I3804" t="s">
        <v>65</v>
      </c>
      <c r="J3804" t="s">
        <v>26</v>
      </c>
      <c r="K3804" t="s">
        <v>66</v>
      </c>
      <c r="L3804" t="s">
        <v>22</v>
      </c>
      <c r="M3804">
        <v>15000.17</v>
      </c>
      <c r="N3804">
        <v>2020</v>
      </c>
      <c r="O3804">
        <v>6</v>
      </c>
    </row>
    <row r="3805" spans="1:15" x14ac:dyDescent="0.3">
      <c r="A3805" s="1">
        <v>44010</v>
      </c>
      <c r="B3805">
        <v>1000014572</v>
      </c>
      <c r="C3805" t="s">
        <v>23</v>
      </c>
      <c r="D3805">
        <v>2</v>
      </c>
      <c r="E3805">
        <v>29000.400000000001</v>
      </c>
      <c r="F3805" t="s">
        <v>16</v>
      </c>
      <c r="G3805" t="s">
        <v>24</v>
      </c>
      <c r="H3805" t="s">
        <v>18</v>
      </c>
      <c r="I3805" t="s">
        <v>34</v>
      </c>
      <c r="J3805" t="s">
        <v>26</v>
      </c>
      <c r="K3805" t="s">
        <v>35</v>
      </c>
      <c r="L3805" t="s">
        <v>22</v>
      </c>
      <c r="M3805">
        <v>14500.2</v>
      </c>
      <c r="N3805">
        <v>2020</v>
      </c>
      <c r="O3805">
        <v>6</v>
      </c>
    </row>
    <row r="3806" spans="1:15" x14ac:dyDescent="0.3">
      <c r="A3806" s="1">
        <v>44010</v>
      </c>
      <c r="B3806">
        <v>1000014572</v>
      </c>
      <c r="C3806" t="s">
        <v>15</v>
      </c>
      <c r="D3806">
        <v>1</v>
      </c>
      <c r="E3806">
        <v>10000.44</v>
      </c>
      <c r="F3806" t="s">
        <v>16</v>
      </c>
      <c r="G3806" t="s">
        <v>17</v>
      </c>
      <c r="H3806" t="s">
        <v>18</v>
      </c>
      <c r="I3806" t="s">
        <v>34</v>
      </c>
      <c r="J3806" t="s">
        <v>26</v>
      </c>
      <c r="K3806" t="s">
        <v>35</v>
      </c>
      <c r="L3806" t="s">
        <v>22</v>
      </c>
      <c r="M3806">
        <v>10000.44</v>
      </c>
      <c r="N3806">
        <v>2020</v>
      </c>
      <c r="O3806">
        <v>6</v>
      </c>
    </row>
    <row r="3807" spans="1:15" x14ac:dyDescent="0.3">
      <c r="A3807" s="1">
        <v>44010</v>
      </c>
      <c r="B3807">
        <v>1000014588</v>
      </c>
      <c r="C3807" t="s">
        <v>42</v>
      </c>
      <c r="D3807">
        <v>3</v>
      </c>
      <c r="E3807">
        <v>23500.91</v>
      </c>
      <c r="F3807" t="s">
        <v>16</v>
      </c>
      <c r="G3807" t="s">
        <v>43</v>
      </c>
      <c r="H3807" t="s">
        <v>18</v>
      </c>
      <c r="I3807" t="s">
        <v>40</v>
      </c>
      <c r="J3807" t="s">
        <v>20</v>
      </c>
      <c r="K3807" t="s">
        <v>68</v>
      </c>
      <c r="L3807" t="s">
        <v>22</v>
      </c>
      <c r="M3807">
        <v>7833.6366666666663</v>
      </c>
      <c r="N3807">
        <v>2020</v>
      </c>
      <c r="O3807">
        <v>6</v>
      </c>
    </row>
    <row r="3808" spans="1:15" x14ac:dyDescent="0.3">
      <c r="A3808" s="1">
        <v>44010</v>
      </c>
      <c r="B3808">
        <v>1000014879</v>
      </c>
      <c r="C3808" t="s">
        <v>23</v>
      </c>
      <c r="D3808">
        <v>3</v>
      </c>
      <c r="E3808">
        <v>53000.94</v>
      </c>
      <c r="F3808" t="s">
        <v>16</v>
      </c>
      <c r="G3808" t="s">
        <v>24</v>
      </c>
      <c r="H3808" t="s">
        <v>18</v>
      </c>
      <c r="I3808" t="s">
        <v>40</v>
      </c>
      <c r="J3808" t="s">
        <v>26</v>
      </c>
      <c r="K3808" t="s">
        <v>41</v>
      </c>
      <c r="L3808" t="s">
        <v>22</v>
      </c>
      <c r="M3808">
        <v>17666.98</v>
      </c>
      <c r="N3808">
        <v>2020</v>
      </c>
      <c r="O3808">
        <v>6</v>
      </c>
    </row>
    <row r="3809" spans="1:15" x14ac:dyDescent="0.3">
      <c r="A3809" s="1">
        <v>44010</v>
      </c>
      <c r="B3809">
        <v>1000014996</v>
      </c>
      <c r="C3809" t="s">
        <v>42</v>
      </c>
      <c r="D3809">
        <v>1</v>
      </c>
      <c r="E3809">
        <v>25000.05</v>
      </c>
      <c r="F3809" t="s">
        <v>16</v>
      </c>
      <c r="G3809" t="s">
        <v>43</v>
      </c>
      <c r="H3809" t="s">
        <v>30</v>
      </c>
      <c r="I3809" t="s">
        <v>57</v>
      </c>
      <c r="J3809" t="s">
        <v>26</v>
      </c>
      <c r="K3809" t="s">
        <v>58</v>
      </c>
      <c r="L3809" t="s">
        <v>22</v>
      </c>
      <c r="M3809">
        <v>25000.05</v>
      </c>
      <c r="N3809">
        <v>2020</v>
      </c>
      <c r="O3809">
        <v>6</v>
      </c>
    </row>
    <row r="3810" spans="1:15" x14ac:dyDescent="0.3">
      <c r="A3810" s="1">
        <v>44010</v>
      </c>
      <c r="B3810">
        <v>1000015013</v>
      </c>
      <c r="C3810" t="s">
        <v>15</v>
      </c>
      <c r="D3810">
        <v>1</v>
      </c>
      <c r="E3810">
        <v>10000.42</v>
      </c>
      <c r="F3810" t="s">
        <v>16</v>
      </c>
      <c r="G3810" t="s">
        <v>17</v>
      </c>
      <c r="H3810" t="s">
        <v>18</v>
      </c>
      <c r="I3810" t="s">
        <v>19</v>
      </c>
      <c r="J3810" t="s">
        <v>26</v>
      </c>
      <c r="K3810" t="s">
        <v>29</v>
      </c>
      <c r="L3810" t="s">
        <v>22</v>
      </c>
      <c r="M3810">
        <v>10000.42</v>
      </c>
      <c r="N3810">
        <v>2020</v>
      </c>
      <c r="O3810">
        <v>6</v>
      </c>
    </row>
    <row r="3811" spans="1:15" x14ac:dyDescent="0.3">
      <c r="A3811" s="1">
        <v>44010</v>
      </c>
      <c r="B3811">
        <v>1000015015</v>
      </c>
      <c r="C3811" t="s">
        <v>15</v>
      </c>
      <c r="D3811">
        <v>2</v>
      </c>
      <c r="E3811">
        <v>17000.79</v>
      </c>
      <c r="F3811" t="s">
        <v>16</v>
      </c>
      <c r="G3811" t="s">
        <v>17</v>
      </c>
      <c r="H3811" t="s">
        <v>18</v>
      </c>
      <c r="I3811" t="s">
        <v>61</v>
      </c>
      <c r="J3811" t="s">
        <v>26</v>
      </c>
      <c r="K3811" t="s">
        <v>62</v>
      </c>
      <c r="L3811" t="s">
        <v>22</v>
      </c>
      <c r="M3811">
        <v>8500.3950000000004</v>
      </c>
      <c r="N3811">
        <v>2020</v>
      </c>
      <c r="O3811">
        <v>6</v>
      </c>
    </row>
    <row r="3812" spans="1:15" x14ac:dyDescent="0.3">
      <c r="A3812" s="1">
        <v>44010</v>
      </c>
      <c r="B3812">
        <v>1000015203</v>
      </c>
      <c r="C3812" t="s">
        <v>15</v>
      </c>
      <c r="D3812">
        <v>1</v>
      </c>
      <c r="E3812">
        <v>12000.49</v>
      </c>
      <c r="F3812" t="s">
        <v>16</v>
      </c>
      <c r="G3812" t="s">
        <v>17</v>
      </c>
      <c r="H3812" t="s">
        <v>47</v>
      </c>
      <c r="I3812" t="s">
        <v>65</v>
      </c>
      <c r="J3812" t="s">
        <v>26</v>
      </c>
      <c r="K3812" t="s">
        <v>66</v>
      </c>
      <c r="L3812" t="s">
        <v>22</v>
      </c>
      <c r="M3812">
        <v>12000.49</v>
      </c>
      <c r="N3812">
        <v>2020</v>
      </c>
      <c r="O3812">
        <v>6</v>
      </c>
    </row>
    <row r="3813" spans="1:15" x14ac:dyDescent="0.3">
      <c r="A3813" s="1">
        <v>44010</v>
      </c>
      <c r="B3813">
        <v>1000017576</v>
      </c>
      <c r="C3813" t="s">
        <v>23</v>
      </c>
      <c r="D3813">
        <v>1</v>
      </c>
      <c r="E3813">
        <v>10000.41</v>
      </c>
      <c r="F3813" t="s">
        <v>16</v>
      </c>
      <c r="G3813" t="s">
        <v>24</v>
      </c>
      <c r="H3813" t="s">
        <v>18</v>
      </c>
      <c r="I3813" t="s">
        <v>19</v>
      </c>
      <c r="J3813" t="s">
        <v>36</v>
      </c>
      <c r="K3813" t="s">
        <v>64</v>
      </c>
      <c r="L3813" t="s">
        <v>22</v>
      </c>
      <c r="M3813">
        <v>10000.41</v>
      </c>
      <c r="N3813">
        <v>2020</v>
      </c>
      <c r="O3813">
        <v>6</v>
      </c>
    </row>
    <row r="3814" spans="1:15" x14ac:dyDescent="0.3">
      <c r="A3814" s="1">
        <v>44010</v>
      </c>
      <c r="B3814">
        <v>1000017576</v>
      </c>
      <c r="C3814" t="s">
        <v>15</v>
      </c>
      <c r="D3814">
        <v>3</v>
      </c>
      <c r="E3814">
        <v>47000.32</v>
      </c>
      <c r="F3814" t="s">
        <v>16</v>
      </c>
      <c r="G3814" t="s">
        <v>17</v>
      </c>
      <c r="H3814" t="s">
        <v>18</v>
      </c>
      <c r="I3814" t="s">
        <v>19</v>
      </c>
      <c r="J3814" t="s">
        <v>36</v>
      </c>
      <c r="K3814" t="s">
        <v>64</v>
      </c>
      <c r="L3814" t="s">
        <v>22</v>
      </c>
      <c r="M3814">
        <v>15666.773333333333</v>
      </c>
      <c r="N3814">
        <v>2020</v>
      </c>
      <c r="O3814">
        <v>6</v>
      </c>
    </row>
    <row r="3815" spans="1:15" x14ac:dyDescent="0.3">
      <c r="A3815" s="1">
        <v>44010</v>
      </c>
      <c r="B3815">
        <v>1000017688</v>
      </c>
      <c r="C3815" t="s">
        <v>23</v>
      </c>
      <c r="D3815">
        <v>2</v>
      </c>
      <c r="E3815">
        <v>25000.54</v>
      </c>
      <c r="F3815" t="s">
        <v>16</v>
      </c>
      <c r="G3815" t="s">
        <v>24</v>
      </c>
      <c r="H3815" t="s">
        <v>47</v>
      </c>
      <c r="I3815" t="s">
        <v>48</v>
      </c>
      <c r="J3815" t="s">
        <v>36</v>
      </c>
      <c r="K3815" t="s">
        <v>49</v>
      </c>
      <c r="L3815" t="s">
        <v>22</v>
      </c>
      <c r="M3815">
        <v>12500.27</v>
      </c>
      <c r="N3815">
        <v>2020</v>
      </c>
      <c r="O3815">
        <v>6</v>
      </c>
    </row>
    <row r="3816" spans="1:15" x14ac:dyDescent="0.3">
      <c r="A3816" s="1">
        <v>44010</v>
      </c>
      <c r="B3816">
        <v>1000017700</v>
      </c>
      <c r="C3816" t="s">
        <v>15</v>
      </c>
      <c r="D3816">
        <v>1</v>
      </c>
      <c r="E3816">
        <v>7000.22</v>
      </c>
      <c r="F3816" t="s">
        <v>16</v>
      </c>
      <c r="G3816" t="s">
        <v>17</v>
      </c>
      <c r="H3816" t="s">
        <v>47</v>
      </c>
      <c r="I3816" t="s">
        <v>65</v>
      </c>
      <c r="J3816" t="s">
        <v>26</v>
      </c>
      <c r="K3816" t="s">
        <v>66</v>
      </c>
      <c r="L3816" t="s">
        <v>22</v>
      </c>
      <c r="M3816">
        <v>7000.22</v>
      </c>
      <c r="N3816">
        <v>2020</v>
      </c>
      <c r="O3816">
        <v>6</v>
      </c>
    </row>
    <row r="3817" spans="1:15" x14ac:dyDescent="0.3">
      <c r="A3817" s="1">
        <v>44010</v>
      </c>
      <c r="B3817">
        <v>1000017700</v>
      </c>
      <c r="C3817" t="s">
        <v>42</v>
      </c>
      <c r="D3817">
        <v>1</v>
      </c>
      <c r="E3817">
        <v>8000.22</v>
      </c>
      <c r="F3817" t="s">
        <v>16</v>
      </c>
      <c r="G3817" t="s">
        <v>43</v>
      </c>
      <c r="H3817" t="s">
        <v>47</v>
      </c>
      <c r="I3817" t="s">
        <v>65</v>
      </c>
      <c r="J3817" t="s">
        <v>26</v>
      </c>
      <c r="K3817" t="s">
        <v>66</v>
      </c>
      <c r="L3817" t="s">
        <v>22</v>
      </c>
      <c r="M3817">
        <v>8000.22</v>
      </c>
      <c r="N3817">
        <v>2020</v>
      </c>
      <c r="O3817">
        <v>6</v>
      </c>
    </row>
    <row r="3818" spans="1:15" x14ac:dyDescent="0.3">
      <c r="A3818" s="1">
        <v>44010</v>
      </c>
      <c r="B3818">
        <v>1000018134</v>
      </c>
      <c r="C3818" t="s">
        <v>15</v>
      </c>
      <c r="D3818">
        <v>1</v>
      </c>
      <c r="E3818">
        <v>22000.38</v>
      </c>
      <c r="F3818" t="s">
        <v>16</v>
      </c>
      <c r="G3818" t="s">
        <v>17</v>
      </c>
      <c r="H3818" t="s">
        <v>18</v>
      </c>
      <c r="I3818" t="s">
        <v>40</v>
      </c>
      <c r="J3818" t="s">
        <v>26</v>
      </c>
      <c r="K3818" t="s">
        <v>41</v>
      </c>
      <c r="L3818" t="s">
        <v>22</v>
      </c>
      <c r="M3818">
        <v>22000.38</v>
      </c>
      <c r="N3818">
        <v>2020</v>
      </c>
      <c r="O3818">
        <v>6</v>
      </c>
    </row>
    <row r="3819" spans="1:15" x14ac:dyDescent="0.3">
      <c r="A3819" s="1">
        <v>44010</v>
      </c>
      <c r="B3819">
        <v>1000018134</v>
      </c>
      <c r="C3819" t="s">
        <v>42</v>
      </c>
      <c r="D3819">
        <v>1</v>
      </c>
      <c r="E3819">
        <v>12000.07</v>
      </c>
      <c r="F3819" t="s">
        <v>16</v>
      </c>
      <c r="G3819" t="s">
        <v>43</v>
      </c>
      <c r="H3819" t="s">
        <v>18</v>
      </c>
      <c r="I3819" t="s">
        <v>40</v>
      </c>
      <c r="J3819" t="s">
        <v>26</v>
      </c>
      <c r="K3819" t="s">
        <v>41</v>
      </c>
      <c r="L3819" t="s">
        <v>22</v>
      </c>
      <c r="M3819">
        <v>12000.07</v>
      </c>
      <c r="N3819">
        <v>2020</v>
      </c>
      <c r="O3819">
        <v>6</v>
      </c>
    </row>
    <row r="3820" spans="1:15" x14ac:dyDescent="0.3">
      <c r="A3820" s="1">
        <v>44010</v>
      </c>
      <c r="B3820">
        <v>1000018298</v>
      </c>
      <c r="C3820" t="s">
        <v>71</v>
      </c>
      <c r="D3820">
        <v>1</v>
      </c>
      <c r="E3820">
        <v>1500.39</v>
      </c>
      <c r="F3820" t="s">
        <v>16</v>
      </c>
      <c r="G3820" t="s">
        <v>72</v>
      </c>
      <c r="H3820" t="s">
        <v>18</v>
      </c>
      <c r="I3820" t="s">
        <v>34</v>
      </c>
      <c r="J3820" t="s">
        <v>20</v>
      </c>
      <c r="K3820" t="s">
        <v>44</v>
      </c>
      <c r="L3820" t="s">
        <v>22</v>
      </c>
      <c r="M3820">
        <v>1500.39</v>
      </c>
      <c r="N3820">
        <v>2020</v>
      </c>
      <c r="O3820">
        <v>6</v>
      </c>
    </row>
    <row r="3821" spans="1:15" x14ac:dyDescent="0.3">
      <c r="A3821" s="1">
        <v>44010</v>
      </c>
      <c r="B3821">
        <v>1000020084</v>
      </c>
      <c r="C3821" t="s">
        <v>23</v>
      </c>
      <c r="D3821">
        <v>1</v>
      </c>
      <c r="E3821">
        <v>6000.72</v>
      </c>
      <c r="F3821" t="s">
        <v>16</v>
      </c>
      <c r="G3821" t="s">
        <v>24</v>
      </c>
      <c r="H3821" t="s">
        <v>47</v>
      </c>
      <c r="I3821" t="s">
        <v>59</v>
      </c>
      <c r="J3821" t="s">
        <v>26</v>
      </c>
      <c r="K3821" t="s">
        <v>60</v>
      </c>
      <c r="L3821" t="s">
        <v>22</v>
      </c>
      <c r="M3821">
        <v>6000.72</v>
      </c>
      <c r="N3821">
        <v>2020</v>
      </c>
      <c r="O3821">
        <v>6</v>
      </c>
    </row>
    <row r="3822" spans="1:15" x14ac:dyDescent="0.3">
      <c r="A3822" s="1">
        <v>44010</v>
      </c>
      <c r="B3822">
        <v>1000020084</v>
      </c>
      <c r="C3822" t="s">
        <v>42</v>
      </c>
      <c r="D3822">
        <v>1</v>
      </c>
      <c r="E3822">
        <v>20000.43</v>
      </c>
      <c r="F3822" t="s">
        <v>16</v>
      </c>
      <c r="G3822" t="s">
        <v>43</v>
      </c>
      <c r="H3822" t="s">
        <v>47</v>
      </c>
      <c r="I3822" t="s">
        <v>59</v>
      </c>
      <c r="J3822" t="s">
        <v>26</v>
      </c>
      <c r="K3822" t="s">
        <v>60</v>
      </c>
      <c r="L3822" t="s">
        <v>22</v>
      </c>
      <c r="M3822">
        <v>20000.43</v>
      </c>
      <c r="N3822">
        <v>2020</v>
      </c>
      <c r="O3822">
        <v>6</v>
      </c>
    </row>
    <row r="3823" spans="1:15" x14ac:dyDescent="0.3">
      <c r="A3823" s="1">
        <v>44010</v>
      </c>
      <c r="B3823">
        <v>1000020128</v>
      </c>
      <c r="C3823" t="s">
        <v>23</v>
      </c>
      <c r="D3823">
        <v>1</v>
      </c>
      <c r="E3823">
        <v>14000.07</v>
      </c>
      <c r="F3823" t="s">
        <v>16</v>
      </c>
      <c r="G3823" t="s">
        <v>24</v>
      </c>
      <c r="H3823" t="s">
        <v>30</v>
      </c>
      <c r="I3823" t="s">
        <v>57</v>
      </c>
      <c r="J3823" t="s">
        <v>26</v>
      </c>
      <c r="K3823" t="s">
        <v>58</v>
      </c>
      <c r="L3823" t="s">
        <v>28</v>
      </c>
      <c r="M3823">
        <v>14000.07</v>
      </c>
      <c r="N3823">
        <v>2020</v>
      </c>
      <c r="O3823">
        <v>6</v>
      </c>
    </row>
    <row r="3824" spans="1:15" x14ac:dyDescent="0.3">
      <c r="A3824" s="1">
        <v>44010</v>
      </c>
      <c r="B3824">
        <v>1000020128</v>
      </c>
      <c r="C3824" t="s">
        <v>42</v>
      </c>
      <c r="D3824">
        <v>1</v>
      </c>
      <c r="E3824">
        <v>12000.13</v>
      </c>
      <c r="F3824" t="s">
        <v>16</v>
      </c>
      <c r="G3824" t="s">
        <v>43</v>
      </c>
      <c r="H3824" t="s">
        <v>30</v>
      </c>
      <c r="I3824" t="s">
        <v>57</v>
      </c>
      <c r="J3824" t="s">
        <v>26</v>
      </c>
      <c r="K3824" t="s">
        <v>58</v>
      </c>
      <c r="L3824" t="s">
        <v>28</v>
      </c>
      <c r="M3824">
        <v>12000.13</v>
      </c>
      <c r="N3824">
        <v>2020</v>
      </c>
      <c r="O3824">
        <v>6</v>
      </c>
    </row>
    <row r="3825" spans="1:15" x14ac:dyDescent="0.3">
      <c r="A3825" s="1">
        <v>44010</v>
      </c>
      <c r="B3825">
        <v>1000020526</v>
      </c>
      <c r="C3825" t="s">
        <v>23</v>
      </c>
      <c r="D3825">
        <v>1</v>
      </c>
      <c r="E3825">
        <v>17000.009999999998</v>
      </c>
      <c r="F3825" t="s">
        <v>16</v>
      </c>
      <c r="G3825" t="s">
        <v>24</v>
      </c>
      <c r="H3825" t="s">
        <v>18</v>
      </c>
      <c r="I3825" t="s">
        <v>34</v>
      </c>
      <c r="J3825" t="s">
        <v>26</v>
      </c>
      <c r="K3825" t="s">
        <v>35</v>
      </c>
      <c r="L3825" t="s">
        <v>22</v>
      </c>
      <c r="M3825">
        <v>17000.009999999998</v>
      </c>
      <c r="N3825">
        <v>2020</v>
      </c>
      <c r="O3825">
        <v>6</v>
      </c>
    </row>
    <row r="3826" spans="1:15" x14ac:dyDescent="0.3">
      <c r="A3826" s="1">
        <v>44010</v>
      </c>
      <c r="B3826">
        <v>1000020754</v>
      </c>
      <c r="C3826" t="s">
        <v>23</v>
      </c>
      <c r="D3826">
        <v>1</v>
      </c>
      <c r="E3826">
        <v>13000.5</v>
      </c>
      <c r="F3826" t="s">
        <v>16</v>
      </c>
      <c r="G3826" t="s">
        <v>24</v>
      </c>
      <c r="H3826" t="s">
        <v>18</v>
      </c>
      <c r="I3826" t="s">
        <v>25</v>
      </c>
      <c r="J3826" t="s">
        <v>20</v>
      </c>
      <c r="K3826" t="s">
        <v>51</v>
      </c>
      <c r="L3826" t="s">
        <v>22</v>
      </c>
      <c r="M3826">
        <v>13000.5</v>
      </c>
      <c r="N3826">
        <v>2020</v>
      </c>
      <c r="O3826">
        <v>6</v>
      </c>
    </row>
    <row r="3827" spans="1:15" x14ac:dyDescent="0.3">
      <c r="A3827" s="1">
        <v>44010</v>
      </c>
      <c r="B3827">
        <v>1000021167</v>
      </c>
      <c r="C3827" t="s">
        <v>15</v>
      </c>
      <c r="D3827">
        <v>1</v>
      </c>
      <c r="E3827">
        <v>15000.36</v>
      </c>
      <c r="F3827" t="s">
        <v>16</v>
      </c>
      <c r="G3827" t="s">
        <v>17</v>
      </c>
      <c r="H3827" t="s">
        <v>18</v>
      </c>
      <c r="I3827" t="s">
        <v>19</v>
      </c>
      <c r="J3827" t="s">
        <v>20</v>
      </c>
      <c r="K3827" t="s">
        <v>21</v>
      </c>
      <c r="L3827" t="s">
        <v>22</v>
      </c>
      <c r="M3827">
        <v>15000.36</v>
      </c>
      <c r="N3827">
        <v>2020</v>
      </c>
      <c r="O3827">
        <v>6</v>
      </c>
    </row>
    <row r="3828" spans="1:15" x14ac:dyDescent="0.3">
      <c r="A3828" s="1">
        <v>44010</v>
      </c>
      <c r="B3828">
        <v>1000021227</v>
      </c>
      <c r="C3828" t="s">
        <v>23</v>
      </c>
      <c r="D3828">
        <v>2</v>
      </c>
      <c r="E3828">
        <v>15000.46</v>
      </c>
      <c r="F3828" t="s">
        <v>16</v>
      </c>
      <c r="G3828" t="s">
        <v>24</v>
      </c>
      <c r="H3828" t="s">
        <v>47</v>
      </c>
      <c r="I3828" t="s">
        <v>59</v>
      </c>
      <c r="J3828" t="s">
        <v>26</v>
      </c>
      <c r="K3828" t="s">
        <v>60</v>
      </c>
      <c r="L3828" t="s">
        <v>28</v>
      </c>
      <c r="M3828">
        <v>7500.23</v>
      </c>
      <c r="N3828">
        <v>2020</v>
      </c>
      <c r="O3828">
        <v>6</v>
      </c>
    </row>
    <row r="3829" spans="1:15" x14ac:dyDescent="0.3">
      <c r="A3829" s="1">
        <v>44011</v>
      </c>
      <c r="B3829">
        <v>1000000029</v>
      </c>
      <c r="C3829" t="s">
        <v>73</v>
      </c>
      <c r="D3829">
        <v>1</v>
      </c>
      <c r="E3829">
        <v>2647.44</v>
      </c>
      <c r="F3829" t="s">
        <v>16</v>
      </c>
      <c r="G3829" t="s">
        <v>74</v>
      </c>
      <c r="H3829" t="s">
        <v>18</v>
      </c>
      <c r="I3829" t="s">
        <v>19</v>
      </c>
      <c r="J3829" t="s">
        <v>20</v>
      </c>
      <c r="K3829" t="s">
        <v>21</v>
      </c>
      <c r="L3829" t="s">
        <v>22</v>
      </c>
      <c r="M3829">
        <v>2647.44</v>
      </c>
      <c r="N3829">
        <v>2020</v>
      </c>
      <c r="O3829">
        <v>6</v>
      </c>
    </row>
    <row r="3830" spans="1:15" x14ac:dyDescent="0.3">
      <c r="A3830" s="1">
        <v>44011</v>
      </c>
      <c r="B3830">
        <v>1000000029</v>
      </c>
      <c r="C3830" t="s">
        <v>23</v>
      </c>
      <c r="D3830">
        <v>3</v>
      </c>
      <c r="E3830">
        <v>27713.38</v>
      </c>
      <c r="F3830" t="s">
        <v>16</v>
      </c>
      <c r="G3830" t="s">
        <v>24</v>
      </c>
      <c r="H3830" t="s">
        <v>18</v>
      </c>
      <c r="I3830" t="s">
        <v>19</v>
      </c>
      <c r="J3830" t="s">
        <v>20</v>
      </c>
      <c r="K3830" t="s">
        <v>21</v>
      </c>
      <c r="L3830" t="s">
        <v>22</v>
      </c>
      <c r="M3830">
        <v>9237.7933333333331</v>
      </c>
      <c r="N3830">
        <v>2020</v>
      </c>
      <c r="O3830">
        <v>6</v>
      </c>
    </row>
    <row r="3831" spans="1:15" x14ac:dyDescent="0.3">
      <c r="A3831" s="1">
        <v>44011</v>
      </c>
      <c r="B3831">
        <v>1000000030</v>
      </c>
      <c r="C3831" t="s">
        <v>15</v>
      </c>
      <c r="D3831">
        <v>1</v>
      </c>
      <c r="E3831">
        <v>16000.16</v>
      </c>
      <c r="F3831" t="s">
        <v>16</v>
      </c>
      <c r="G3831" t="s">
        <v>17</v>
      </c>
      <c r="H3831" t="s">
        <v>47</v>
      </c>
      <c r="I3831" t="s">
        <v>48</v>
      </c>
      <c r="J3831" t="s">
        <v>36</v>
      </c>
      <c r="K3831" t="s">
        <v>49</v>
      </c>
      <c r="L3831" t="s">
        <v>22</v>
      </c>
      <c r="M3831">
        <v>16000.16</v>
      </c>
      <c r="N3831">
        <v>2020</v>
      </c>
      <c r="O3831">
        <v>6</v>
      </c>
    </row>
    <row r="3832" spans="1:15" x14ac:dyDescent="0.3">
      <c r="A3832" s="1">
        <v>44011</v>
      </c>
      <c r="B3832">
        <v>1000000031</v>
      </c>
      <c r="C3832" t="s">
        <v>73</v>
      </c>
      <c r="D3832">
        <v>1</v>
      </c>
      <c r="E3832">
        <v>1000.17</v>
      </c>
      <c r="F3832" t="s">
        <v>16</v>
      </c>
      <c r="G3832" t="s">
        <v>74</v>
      </c>
      <c r="H3832" t="s">
        <v>18</v>
      </c>
      <c r="I3832" t="s">
        <v>19</v>
      </c>
      <c r="J3832" t="s">
        <v>26</v>
      </c>
      <c r="K3832" t="s">
        <v>29</v>
      </c>
      <c r="L3832" t="s">
        <v>28</v>
      </c>
      <c r="M3832">
        <v>1000.17</v>
      </c>
      <c r="N3832">
        <v>2020</v>
      </c>
      <c r="O3832">
        <v>6</v>
      </c>
    </row>
    <row r="3833" spans="1:15" x14ac:dyDescent="0.3">
      <c r="A3833" s="1">
        <v>44011</v>
      </c>
      <c r="B3833">
        <v>1000000031</v>
      </c>
      <c r="C3833" t="s">
        <v>23</v>
      </c>
      <c r="D3833">
        <v>1</v>
      </c>
      <c r="E3833">
        <v>15000.69</v>
      </c>
      <c r="F3833" t="s">
        <v>16</v>
      </c>
      <c r="G3833" t="s">
        <v>24</v>
      </c>
      <c r="H3833" t="s">
        <v>18</v>
      </c>
      <c r="I3833" t="s">
        <v>19</v>
      </c>
      <c r="J3833" t="s">
        <v>26</v>
      </c>
      <c r="K3833" t="s">
        <v>29</v>
      </c>
      <c r="L3833" t="s">
        <v>28</v>
      </c>
      <c r="M3833">
        <v>15000.69</v>
      </c>
      <c r="N3833">
        <v>2020</v>
      </c>
      <c r="O3833">
        <v>6</v>
      </c>
    </row>
    <row r="3834" spans="1:15" x14ac:dyDescent="0.3">
      <c r="A3834" s="1">
        <v>44011</v>
      </c>
      <c r="B3834">
        <v>1000000031</v>
      </c>
      <c r="C3834" t="s">
        <v>42</v>
      </c>
      <c r="D3834">
        <v>1</v>
      </c>
      <c r="E3834">
        <v>12000.39</v>
      </c>
      <c r="F3834" t="s">
        <v>16</v>
      </c>
      <c r="G3834" t="s">
        <v>43</v>
      </c>
      <c r="H3834" t="s">
        <v>18</v>
      </c>
      <c r="I3834" t="s">
        <v>19</v>
      </c>
      <c r="J3834" t="s">
        <v>26</v>
      </c>
      <c r="K3834" t="s">
        <v>29</v>
      </c>
      <c r="L3834" t="s">
        <v>28</v>
      </c>
      <c r="M3834">
        <v>12000.39</v>
      </c>
      <c r="N3834">
        <v>2020</v>
      </c>
      <c r="O3834">
        <v>6</v>
      </c>
    </row>
    <row r="3835" spans="1:15" x14ac:dyDescent="0.3">
      <c r="A3835" s="1">
        <v>44011</v>
      </c>
      <c r="B3835">
        <v>1000000033</v>
      </c>
      <c r="C3835" t="s">
        <v>23</v>
      </c>
      <c r="D3835">
        <v>2</v>
      </c>
      <c r="E3835">
        <v>26499.899999999998</v>
      </c>
      <c r="F3835" t="s">
        <v>16</v>
      </c>
      <c r="G3835" t="s">
        <v>24</v>
      </c>
      <c r="H3835" t="s">
        <v>18</v>
      </c>
      <c r="I3835" t="s">
        <v>25</v>
      </c>
      <c r="J3835" t="s">
        <v>26</v>
      </c>
      <c r="K3835" t="s">
        <v>27</v>
      </c>
      <c r="L3835" t="s">
        <v>22</v>
      </c>
      <c r="M3835">
        <v>13249.949999999999</v>
      </c>
      <c r="N3835">
        <v>2020</v>
      </c>
      <c r="O3835">
        <v>6</v>
      </c>
    </row>
    <row r="3836" spans="1:15" x14ac:dyDescent="0.3">
      <c r="A3836" s="1">
        <v>44011</v>
      </c>
      <c r="B3836">
        <v>1000000034</v>
      </c>
      <c r="C3836" t="s">
        <v>42</v>
      </c>
      <c r="D3836">
        <v>1</v>
      </c>
      <c r="E3836">
        <v>16000.49</v>
      </c>
      <c r="F3836" t="s">
        <v>16</v>
      </c>
      <c r="G3836" t="s">
        <v>43</v>
      </c>
      <c r="H3836" t="s">
        <v>18</v>
      </c>
      <c r="I3836" t="s">
        <v>25</v>
      </c>
      <c r="J3836" t="s">
        <v>26</v>
      </c>
      <c r="K3836" t="s">
        <v>27</v>
      </c>
      <c r="L3836" t="s">
        <v>22</v>
      </c>
      <c r="M3836">
        <v>16000.49</v>
      </c>
      <c r="N3836">
        <v>2020</v>
      </c>
      <c r="O3836">
        <v>6</v>
      </c>
    </row>
    <row r="3837" spans="1:15" x14ac:dyDescent="0.3">
      <c r="A3837" s="1">
        <v>44011</v>
      </c>
      <c r="B3837">
        <v>1000000036</v>
      </c>
      <c r="C3837" t="s">
        <v>23</v>
      </c>
      <c r="D3837">
        <v>3</v>
      </c>
      <c r="E3837">
        <v>33000.82</v>
      </c>
      <c r="F3837" t="s">
        <v>16</v>
      </c>
      <c r="G3837" t="s">
        <v>24</v>
      </c>
      <c r="H3837" t="s">
        <v>47</v>
      </c>
      <c r="I3837" t="s">
        <v>48</v>
      </c>
      <c r="J3837" t="s">
        <v>36</v>
      </c>
      <c r="K3837" t="s">
        <v>49</v>
      </c>
      <c r="L3837" t="s">
        <v>28</v>
      </c>
      <c r="M3837">
        <v>11000.273333333333</v>
      </c>
      <c r="N3837">
        <v>2020</v>
      </c>
      <c r="O3837">
        <v>6</v>
      </c>
    </row>
    <row r="3838" spans="1:15" x14ac:dyDescent="0.3">
      <c r="A3838" s="1">
        <v>44011</v>
      </c>
      <c r="B3838">
        <v>1000000037</v>
      </c>
      <c r="C3838" t="s">
        <v>23</v>
      </c>
      <c r="D3838">
        <v>1</v>
      </c>
      <c r="E3838">
        <v>24000.69</v>
      </c>
      <c r="F3838" t="s">
        <v>16</v>
      </c>
      <c r="G3838" t="s">
        <v>24</v>
      </c>
      <c r="H3838" t="s">
        <v>18</v>
      </c>
      <c r="I3838" t="s">
        <v>19</v>
      </c>
      <c r="J3838" t="s">
        <v>20</v>
      </c>
      <c r="K3838" t="s">
        <v>21</v>
      </c>
      <c r="L3838" t="s">
        <v>22</v>
      </c>
      <c r="M3838">
        <v>24000.69</v>
      </c>
      <c r="N3838">
        <v>2020</v>
      </c>
      <c r="O3838">
        <v>6</v>
      </c>
    </row>
    <row r="3839" spans="1:15" x14ac:dyDescent="0.3">
      <c r="A3839" s="1">
        <v>44011</v>
      </c>
      <c r="B3839">
        <v>1000000037</v>
      </c>
      <c r="C3839" t="s">
        <v>15</v>
      </c>
      <c r="D3839">
        <v>1</v>
      </c>
      <c r="E3839">
        <v>16000.48</v>
      </c>
      <c r="F3839" t="s">
        <v>16</v>
      </c>
      <c r="G3839" t="s">
        <v>17</v>
      </c>
      <c r="H3839" t="s">
        <v>18</v>
      </c>
      <c r="I3839" t="s">
        <v>19</v>
      </c>
      <c r="J3839" t="s">
        <v>20</v>
      </c>
      <c r="K3839" t="s">
        <v>21</v>
      </c>
      <c r="L3839" t="s">
        <v>22</v>
      </c>
      <c r="M3839">
        <v>16000.48</v>
      </c>
      <c r="N3839">
        <v>2020</v>
      </c>
      <c r="O3839">
        <v>6</v>
      </c>
    </row>
    <row r="3840" spans="1:15" x14ac:dyDescent="0.3">
      <c r="A3840" s="1">
        <v>44011</v>
      </c>
      <c r="B3840">
        <v>1000000039</v>
      </c>
      <c r="C3840" t="s">
        <v>75</v>
      </c>
      <c r="D3840">
        <v>1</v>
      </c>
      <c r="E3840">
        <v>1763.52</v>
      </c>
      <c r="F3840" t="s">
        <v>16</v>
      </c>
      <c r="G3840" t="s">
        <v>76</v>
      </c>
      <c r="H3840" t="s">
        <v>18</v>
      </c>
      <c r="I3840" t="s">
        <v>25</v>
      </c>
      <c r="J3840" t="s">
        <v>20</v>
      </c>
      <c r="K3840" t="s">
        <v>51</v>
      </c>
      <c r="L3840" t="s">
        <v>28</v>
      </c>
      <c r="M3840">
        <v>1763.52</v>
      </c>
      <c r="N3840">
        <v>2020</v>
      </c>
      <c r="O3840">
        <v>6</v>
      </c>
    </row>
    <row r="3841" spans="1:15" x14ac:dyDescent="0.3">
      <c r="A3841" s="1">
        <v>44011</v>
      </c>
      <c r="B3841">
        <v>1000000039</v>
      </c>
      <c r="C3841" t="s">
        <v>42</v>
      </c>
      <c r="D3841">
        <v>1</v>
      </c>
      <c r="E3841">
        <v>9500.42</v>
      </c>
      <c r="F3841" t="s">
        <v>16</v>
      </c>
      <c r="G3841" t="s">
        <v>43</v>
      </c>
      <c r="H3841" t="s">
        <v>18</v>
      </c>
      <c r="I3841" t="s">
        <v>25</v>
      </c>
      <c r="J3841" t="s">
        <v>20</v>
      </c>
      <c r="K3841" t="s">
        <v>51</v>
      </c>
      <c r="L3841" t="s">
        <v>28</v>
      </c>
      <c r="M3841">
        <v>9500.42</v>
      </c>
      <c r="N3841">
        <v>2020</v>
      </c>
      <c r="O3841">
        <v>6</v>
      </c>
    </row>
    <row r="3842" spans="1:15" x14ac:dyDescent="0.3">
      <c r="A3842" s="1">
        <v>44011</v>
      </c>
      <c r="B3842">
        <v>1000000040</v>
      </c>
      <c r="C3842" t="s">
        <v>15</v>
      </c>
      <c r="D3842">
        <v>1</v>
      </c>
      <c r="E3842">
        <v>2000.64</v>
      </c>
      <c r="F3842" t="s">
        <v>16</v>
      </c>
      <c r="G3842" t="s">
        <v>17</v>
      </c>
      <c r="H3842" t="s">
        <v>30</v>
      </c>
      <c r="I3842" t="s">
        <v>31</v>
      </c>
      <c r="J3842" t="s">
        <v>32</v>
      </c>
      <c r="K3842" t="s">
        <v>33</v>
      </c>
      <c r="L3842" t="s">
        <v>28</v>
      </c>
      <c r="M3842">
        <v>2000.64</v>
      </c>
      <c r="N3842">
        <v>2020</v>
      </c>
      <c r="O3842">
        <v>6</v>
      </c>
    </row>
    <row r="3843" spans="1:15" x14ac:dyDescent="0.3">
      <c r="A3843" s="1">
        <v>44011</v>
      </c>
      <c r="B3843">
        <v>1000000043</v>
      </c>
      <c r="C3843" t="s">
        <v>73</v>
      </c>
      <c r="D3843">
        <v>1</v>
      </c>
      <c r="E3843">
        <v>640.44000000000005</v>
      </c>
      <c r="F3843" t="s">
        <v>16</v>
      </c>
      <c r="G3843" t="s">
        <v>74</v>
      </c>
      <c r="H3843" t="s">
        <v>30</v>
      </c>
      <c r="I3843" t="s">
        <v>38</v>
      </c>
      <c r="J3843" t="s">
        <v>26</v>
      </c>
      <c r="K3843" t="s">
        <v>39</v>
      </c>
      <c r="L3843" t="s">
        <v>22</v>
      </c>
      <c r="M3843">
        <v>640.44000000000005</v>
      </c>
      <c r="N3843">
        <v>2020</v>
      </c>
      <c r="O3843">
        <v>6</v>
      </c>
    </row>
    <row r="3844" spans="1:15" x14ac:dyDescent="0.3">
      <c r="A3844" s="1">
        <v>44011</v>
      </c>
      <c r="B3844">
        <v>1000000043</v>
      </c>
      <c r="C3844" t="s">
        <v>23</v>
      </c>
      <c r="D3844">
        <v>1</v>
      </c>
      <c r="E3844">
        <v>20000.66</v>
      </c>
      <c r="F3844" t="s">
        <v>16</v>
      </c>
      <c r="G3844" t="s">
        <v>24</v>
      </c>
      <c r="H3844" t="s">
        <v>30</v>
      </c>
      <c r="I3844" t="s">
        <v>38</v>
      </c>
      <c r="J3844" t="s">
        <v>26</v>
      </c>
      <c r="K3844" t="s">
        <v>39</v>
      </c>
      <c r="L3844" t="s">
        <v>22</v>
      </c>
      <c r="M3844">
        <v>20000.66</v>
      </c>
      <c r="N3844">
        <v>2020</v>
      </c>
      <c r="O3844">
        <v>6</v>
      </c>
    </row>
    <row r="3845" spans="1:15" x14ac:dyDescent="0.3">
      <c r="A3845" s="1">
        <v>44011</v>
      </c>
      <c r="B3845">
        <v>1000000044</v>
      </c>
      <c r="C3845" t="s">
        <v>73</v>
      </c>
      <c r="D3845">
        <v>1</v>
      </c>
      <c r="E3845">
        <v>2000.19</v>
      </c>
      <c r="F3845" t="s">
        <v>16</v>
      </c>
      <c r="G3845" t="s">
        <v>74</v>
      </c>
      <c r="H3845" t="s">
        <v>30</v>
      </c>
      <c r="I3845" t="s">
        <v>31</v>
      </c>
      <c r="J3845" t="s">
        <v>36</v>
      </c>
      <c r="K3845" t="s">
        <v>52</v>
      </c>
      <c r="L3845" t="s">
        <v>28</v>
      </c>
      <c r="M3845">
        <v>2000.19</v>
      </c>
      <c r="N3845">
        <v>2020</v>
      </c>
      <c r="O3845">
        <v>6</v>
      </c>
    </row>
    <row r="3846" spans="1:15" x14ac:dyDescent="0.3">
      <c r="A3846" s="1">
        <v>44011</v>
      </c>
      <c r="B3846">
        <v>1000000046</v>
      </c>
      <c r="C3846" t="s">
        <v>23</v>
      </c>
      <c r="D3846">
        <v>2</v>
      </c>
      <c r="E3846">
        <v>22500.43</v>
      </c>
      <c r="F3846" t="s">
        <v>16</v>
      </c>
      <c r="G3846" t="s">
        <v>24</v>
      </c>
      <c r="H3846" t="s">
        <v>30</v>
      </c>
      <c r="I3846" t="s">
        <v>38</v>
      </c>
      <c r="J3846" t="s">
        <v>26</v>
      </c>
      <c r="K3846" t="s">
        <v>39</v>
      </c>
      <c r="L3846" t="s">
        <v>22</v>
      </c>
      <c r="M3846">
        <v>11250.215</v>
      </c>
      <c r="N3846">
        <v>2020</v>
      </c>
      <c r="O3846">
        <v>6</v>
      </c>
    </row>
    <row r="3847" spans="1:15" x14ac:dyDescent="0.3">
      <c r="A3847" s="1">
        <v>44011</v>
      </c>
      <c r="B3847">
        <v>1000000054</v>
      </c>
      <c r="C3847" t="s">
        <v>75</v>
      </c>
      <c r="D3847">
        <v>1</v>
      </c>
      <c r="E3847">
        <v>1264.73</v>
      </c>
      <c r="F3847" t="s">
        <v>16</v>
      </c>
      <c r="G3847" t="s">
        <v>76</v>
      </c>
      <c r="H3847" t="s">
        <v>18</v>
      </c>
      <c r="I3847" t="s">
        <v>34</v>
      </c>
      <c r="J3847" t="s">
        <v>26</v>
      </c>
      <c r="K3847" t="s">
        <v>35</v>
      </c>
      <c r="L3847" t="s">
        <v>22</v>
      </c>
      <c r="M3847">
        <v>1264.73</v>
      </c>
      <c r="N3847">
        <v>2020</v>
      </c>
      <c r="O3847">
        <v>6</v>
      </c>
    </row>
    <row r="3848" spans="1:15" x14ac:dyDescent="0.3">
      <c r="A3848" s="1">
        <v>44011</v>
      </c>
      <c r="B3848">
        <v>1000000056</v>
      </c>
      <c r="C3848" t="s">
        <v>23</v>
      </c>
      <c r="D3848">
        <v>1</v>
      </c>
      <c r="E3848">
        <v>13000.29</v>
      </c>
      <c r="F3848" t="s">
        <v>16</v>
      </c>
      <c r="G3848" t="s">
        <v>24</v>
      </c>
      <c r="H3848" t="s">
        <v>18</v>
      </c>
      <c r="I3848" t="s">
        <v>34</v>
      </c>
      <c r="J3848" t="s">
        <v>26</v>
      </c>
      <c r="K3848" t="s">
        <v>35</v>
      </c>
      <c r="L3848" t="s">
        <v>28</v>
      </c>
      <c r="M3848">
        <v>13000.29</v>
      </c>
      <c r="N3848">
        <v>2020</v>
      </c>
      <c r="O3848">
        <v>6</v>
      </c>
    </row>
    <row r="3849" spans="1:15" x14ac:dyDescent="0.3">
      <c r="A3849" s="1">
        <v>44011</v>
      </c>
      <c r="B3849">
        <v>1000000056</v>
      </c>
      <c r="C3849" t="s">
        <v>15</v>
      </c>
      <c r="D3849">
        <v>1</v>
      </c>
      <c r="E3849">
        <v>4000.28</v>
      </c>
      <c r="F3849" t="s">
        <v>16</v>
      </c>
      <c r="G3849" t="s">
        <v>17</v>
      </c>
      <c r="H3849" t="s">
        <v>18</v>
      </c>
      <c r="I3849" t="s">
        <v>34</v>
      </c>
      <c r="J3849" t="s">
        <v>26</v>
      </c>
      <c r="K3849" t="s">
        <v>35</v>
      </c>
      <c r="L3849" t="s">
        <v>28</v>
      </c>
      <c r="M3849">
        <v>4000.28</v>
      </c>
      <c r="N3849">
        <v>2020</v>
      </c>
      <c r="O3849">
        <v>6</v>
      </c>
    </row>
    <row r="3850" spans="1:15" x14ac:dyDescent="0.3">
      <c r="A3850" s="1">
        <v>44011</v>
      </c>
      <c r="B3850">
        <v>1000000058</v>
      </c>
      <c r="C3850" t="s">
        <v>73</v>
      </c>
      <c r="D3850">
        <v>1</v>
      </c>
      <c r="E3850">
        <v>1299.97</v>
      </c>
      <c r="F3850" t="s">
        <v>16</v>
      </c>
      <c r="G3850" t="s">
        <v>74</v>
      </c>
      <c r="H3850" t="s">
        <v>18</v>
      </c>
      <c r="I3850" t="s">
        <v>34</v>
      </c>
      <c r="J3850" t="s">
        <v>20</v>
      </c>
      <c r="K3850" t="s">
        <v>44</v>
      </c>
      <c r="L3850" t="s">
        <v>22</v>
      </c>
      <c r="M3850">
        <v>1299.97</v>
      </c>
      <c r="N3850">
        <v>2020</v>
      </c>
      <c r="O3850">
        <v>6</v>
      </c>
    </row>
    <row r="3851" spans="1:15" x14ac:dyDescent="0.3">
      <c r="A3851" s="1">
        <v>44011</v>
      </c>
      <c r="B3851">
        <v>1000000060</v>
      </c>
      <c r="C3851" t="s">
        <v>75</v>
      </c>
      <c r="D3851">
        <v>1</v>
      </c>
      <c r="E3851">
        <v>6700.68</v>
      </c>
      <c r="F3851" t="s">
        <v>16</v>
      </c>
      <c r="G3851" t="s">
        <v>76</v>
      </c>
      <c r="H3851" t="s">
        <v>18</v>
      </c>
      <c r="I3851" t="s">
        <v>40</v>
      </c>
      <c r="J3851" t="s">
        <v>26</v>
      </c>
      <c r="K3851" t="s">
        <v>41</v>
      </c>
      <c r="L3851" t="s">
        <v>22</v>
      </c>
      <c r="M3851">
        <v>6700.68</v>
      </c>
      <c r="N3851">
        <v>2020</v>
      </c>
      <c r="O3851">
        <v>6</v>
      </c>
    </row>
    <row r="3852" spans="1:15" x14ac:dyDescent="0.3">
      <c r="A3852" s="1">
        <v>44011</v>
      </c>
      <c r="B3852">
        <v>1000000068</v>
      </c>
      <c r="C3852" t="s">
        <v>23</v>
      </c>
      <c r="D3852">
        <v>1</v>
      </c>
      <c r="E3852">
        <v>2500.31</v>
      </c>
      <c r="F3852" t="s">
        <v>16</v>
      </c>
      <c r="G3852" t="s">
        <v>24</v>
      </c>
      <c r="H3852" t="s">
        <v>30</v>
      </c>
      <c r="I3852" t="s">
        <v>55</v>
      </c>
      <c r="J3852" t="s">
        <v>26</v>
      </c>
      <c r="K3852" t="s">
        <v>56</v>
      </c>
      <c r="L3852" t="s">
        <v>28</v>
      </c>
      <c r="M3852">
        <v>2500.31</v>
      </c>
      <c r="N3852">
        <v>2020</v>
      </c>
      <c r="O3852">
        <v>6</v>
      </c>
    </row>
    <row r="3853" spans="1:15" x14ac:dyDescent="0.3">
      <c r="A3853" s="1">
        <v>44011</v>
      </c>
      <c r="B3853">
        <v>1000000068</v>
      </c>
      <c r="C3853" t="s">
        <v>15</v>
      </c>
      <c r="D3853">
        <v>2</v>
      </c>
      <c r="E3853">
        <v>19000.690000000002</v>
      </c>
      <c r="F3853" t="s">
        <v>16</v>
      </c>
      <c r="G3853" t="s">
        <v>17</v>
      </c>
      <c r="H3853" t="s">
        <v>30</v>
      </c>
      <c r="I3853" t="s">
        <v>55</v>
      </c>
      <c r="J3853" t="s">
        <v>26</v>
      </c>
      <c r="K3853" t="s">
        <v>56</v>
      </c>
      <c r="L3853" t="s">
        <v>28</v>
      </c>
      <c r="M3853">
        <v>9500.3450000000012</v>
      </c>
      <c r="N3853">
        <v>2020</v>
      </c>
      <c r="O3853">
        <v>6</v>
      </c>
    </row>
    <row r="3854" spans="1:15" x14ac:dyDescent="0.3">
      <c r="A3854" s="1">
        <v>44011</v>
      </c>
      <c r="B3854">
        <v>1000000104</v>
      </c>
      <c r="C3854" t="s">
        <v>23</v>
      </c>
      <c r="D3854">
        <v>1</v>
      </c>
      <c r="E3854">
        <v>20000.580000000002</v>
      </c>
      <c r="F3854" t="s">
        <v>16</v>
      </c>
      <c r="G3854" t="s">
        <v>24</v>
      </c>
      <c r="H3854" t="s">
        <v>18</v>
      </c>
      <c r="I3854" t="s">
        <v>40</v>
      </c>
      <c r="J3854" t="s">
        <v>26</v>
      </c>
      <c r="K3854" t="s">
        <v>41</v>
      </c>
      <c r="L3854" t="s">
        <v>22</v>
      </c>
      <c r="M3854">
        <v>20000.580000000002</v>
      </c>
      <c r="N3854">
        <v>2020</v>
      </c>
      <c r="O3854">
        <v>6</v>
      </c>
    </row>
    <row r="3855" spans="1:15" x14ac:dyDescent="0.3">
      <c r="A3855" s="1">
        <v>44011</v>
      </c>
      <c r="B3855">
        <v>1000000237</v>
      </c>
      <c r="C3855" t="s">
        <v>42</v>
      </c>
      <c r="D3855">
        <v>2</v>
      </c>
      <c r="E3855">
        <v>9000.7100000000009</v>
      </c>
      <c r="F3855" t="s">
        <v>16</v>
      </c>
      <c r="G3855" t="s">
        <v>43</v>
      </c>
      <c r="H3855" t="s">
        <v>18</v>
      </c>
      <c r="I3855" t="s">
        <v>40</v>
      </c>
      <c r="J3855" t="s">
        <v>26</v>
      </c>
      <c r="K3855" t="s">
        <v>41</v>
      </c>
      <c r="L3855" t="s">
        <v>22</v>
      </c>
      <c r="M3855">
        <v>4500.3550000000005</v>
      </c>
      <c r="N3855">
        <v>2020</v>
      </c>
      <c r="O3855">
        <v>6</v>
      </c>
    </row>
    <row r="3856" spans="1:15" x14ac:dyDescent="0.3">
      <c r="A3856" s="1">
        <v>44011</v>
      </c>
      <c r="B3856">
        <v>1000000566</v>
      </c>
      <c r="C3856" t="s">
        <v>23</v>
      </c>
      <c r="D3856">
        <v>1</v>
      </c>
      <c r="E3856">
        <v>5500.63</v>
      </c>
      <c r="F3856" t="s">
        <v>16</v>
      </c>
      <c r="G3856" t="s">
        <v>24</v>
      </c>
      <c r="H3856" t="s">
        <v>47</v>
      </c>
      <c r="I3856" t="s">
        <v>48</v>
      </c>
      <c r="J3856" t="s">
        <v>36</v>
      </c>
      <c r="K3856" t="s">
        <v>49</v>
      </c>
      <c r="L3856" t="s">
        <v>22</v>
      </c>
      <c r="M3856">
        <v>5500.63</v>
      </c>
      <c r="N3856">
        <v>2020</v>
      </c>
      <c r="O3856">
        <v>6</v>
      </c>
    </row>
    <row r="3857" spans="1:15" x14ac:dyDescent="0.3">
      <c r="A3857" s="1">
        <v>44011</v>
      </c>
      <c r="B3857">
        <v>1000000594</v>
      </c>
      <c r="C3857" t="s">
        <v>15</v>
      </c>
      <c r="D3857">
        <v>1</v>
      </c>
      <c r="E3857">
        <v>9000.5</v>
      </c>
      <c r="F3857" t="s">
        <v>16</v>
      </c>
      <c r="G3857" t="s">
        <v>17</v>
      </c>
      <c r="H3857" t="s">
        <v>18</v>
      </c>
      <c r="I3857" t="s">
        <v>25</v>
      </c>
      <c r="J3857" t="s">
        <v>20</v>
      </c>
      <c r="K3857" t="s">
        <v>51</v>
      </c>
      <c r="L3857" t="s">
        <v>22</v>
      </c>
      <c r="M3857">
        <v>9000.5</v>
      </c>
      <c r="N3857">
        <v>2020</v>
      </c>
      <c r="O3857">
        <v>6</v>
      </c>
    </row>
    <row r="3858" spans="1:15" x14ac:dyDescent="0.3">
      <c r="A3858" s="1">
        <v>44011</v>
      </c>
      <c r="B3858">
        <v>1000001524</v>
      </c>
      <c r="C3858" t="s">
        <v>15</v>
      </c>
      <c r="D3858">
        <v>2</v>
      </c>
      <c r="E3858">
        <v>38000.69</v>
      </c>
      <c r="F3858" t="s">
        <v>16</v>
      </c>
      <c r="G3858" t="s">
        <v>17</v>
      </c>
      <c r="H3858" t="s">
        <v>18</v>
      </c>
      <c r="I3858" t="s">
        <v>25</v>
      </c>
      <c r="J3858" t="s">
        <v>20</v>
      </c>
      <c r="K3858" t="s">
        <v>51</v>
      </c>
      <c r="L3858" t="s">
        <v>22</v>
      </c>
      <c r="M3858">
        <v>19000.345000000001</v>
      </c>
      <c r="N3858">
        <v>2020</v>
      </c>
      <c r="O3858">
        <v>6</v>
      </c>
    </row>
    <row r="3859" spans="1:15" x14ac:dyDescent="0.3">
      <c r="A3859" s="1">
        <v>44011</v>
      </c>
      <c r="B3859">
        <v>1000001524</v>
      </c>
      <c r="C3859" t="s">
        <v>42</v>
      </c>
      <c r="D3859">
        <v>1</v>
      </c>
      <c r="E3859">
        <v>18000.259999999998</v>
      </c>
      <c r="F3859" t="s">
        <v>16</v>
      </c>
      <c r="G3859" t="s">
        <v>43</v>
      </c>
      <c r="H3859" t="s">
        <v>18</v>
      </c>
      <c r="I3859" t="s">
        <v>25</v>
      </c>
      <c r="J3859" t="s">
        <v>20</v>
      </c>
      <c r="K3859" t="s">
        <v>51</v>
      </c>
      <c r="L3859" t="s">
        <v>22</v>
      </c>
      <c r="M3859">
        <v>18000.259999999998</v>
      </c>
      <c r="N3859">
        <v>2020</v>
      </c>
      <c r="O3859">
        <v>6</v>
      </c>
    </row>
    <row r="3860" spans="1:15" x14ac:dyDescent="0.3">
      <c r="A3860" s="1">
        <v>44011</v>
      </c>
      <c r="B3860">
        <v>1000002861</v>
      </c>
      <c r="C3860" t="s">
        <v>15</v>
      </c>
      <c r="D3860">
        <v>2</v>
      </c>
      <c r="E3860">
        <v>23001.53</v>
      </c>
      <c r="F3860" t="s">
        <v>16</v>
      </c>
      <c r="G3860" t="s">
        <v>17</v>
      </c>
      <c r="H3860" t="s">
        <v>47</v>
      </c>
      <c r="I3860" t="s">
        <v>48</v>
      </c>
      <c r="J3860" t="s">
        <v>36</v>
      </c>
      <c r="K3860" t="s">
        <v>49</v>
      </c>
      <c r="L3860" t="s">
        <v>22</v>
      </c>
      <c r="M3860">
        <v>11500.764999999999</v>
      </c>
      <c r="N3860">
        <v>2020</v>
      </c>
      <c r="O3860">
        <v>6</v>
      </c>
    </row>
    <row r="3861" spans="1:15" x14ac:dyDescent="0.3">
      <c r="A3861" s="1">
        <v>44011</v>
      </c>
      <c r="B3861">
        <v>1000002861</v>
      </c>
      <c r="C3861" t="s">
        <v>42</v>
      </c>
      <c r="D3861">
        <v>1</v>
      </c>
      <c r="E3861">
        <v>7500.75</v>
      </c>
      <c r="F3861" t="s">
        <v>16</v>
      </c>
      <c r="G3861" t="s">
        <v>43</v>
      </c>
      <c r="H3861" t="s">
        <v>47</v>
      </c>
      <c r="I3861" t="s">
        <v>48</v>
      </c>
      <c r="J3861" t="s">
        <v>36</v>
      </c>
      <c r="K3861" t="s">
        <v>49</v>
      </c>
      <c r="L3861" t="s">
        <v>22</v>
      </c>
      <c r="M3861">
        <v>7500.75</v>
      </c>
      <c r="N3861">
        <v>2020</v>
      </c>
      <c r="O3861">
        <v>6</v>
      </c>
    </row>
    <row r="3862" spans="1:15" x14ac:dyDescent="0.3">
      <c r="A3862" s="1">
        <v>44011</v>
      </c>
      <c r="B3862">
        <v>1000003926</v>
      </c>
      <c r="C3862" t="s">
        <v>23</v>
      </c>
      <c r="D3862">
        <v>1</v>
      </c>
      <c r="E3862">
        <v>20000.240000000002</v>
      </c>
      <c r="F3862" t="s">
        <v>16</v>
      </c>
      <c r="G3862" t="s">
        <v>24</v>
      </c>
      <c r="H3862" t="s">
        <v>47</v>
      </c>
      <c r="I3862" t="s">
        <v>48</v>
      </c>
      <c r="J3862" t="s">
        <v>26</v>
      </c>
      <c r="K3862" t="s">
        <v>50</v>
      </c>
      <c r="L3862" t="s">
        <v>28</v>
      </c>
      <c r="M3862">
        <v>20000.240000000002</v>
      </c>
      <c r="N3862">
        <v>2020</v>
      </c>
      <c r="O3862">
        <v>6</v>
      </c>
    </row>
    <row r="3863" spans="1:15" x14ac:dyDescent="0.3">
      <c r="A3863" s="1">
        <v>44011</v>
      </c>
      <c r="B3863">
        <v>1000003989</v>
      </c>
      <c r="C3863" t="s">
        <v>23</v>
      </c>
      <c r="D3863">
        <v>1</v>
      </c>
      <c r="E3863">
        <v>20000.580000000002</v>
      </c>
      <c r="F3863" t="s">
        <v>16</v>
      </c>
      <c r="G3863" t="s">
        <v>24</v>
      </c>
      <c r="H3863" t="s">
        <v>30</v>
      </c>
      <c r="I3863" t="s">
        <v>31</v>
      </c>
      <c r="J3863" t="s">
        <v>36</v>
      </c>
      <c r="K3863" t="s">
        <v>52</v>
      </c>
      <c r="L3863" t="s">
        <v>22</v>
      </c>
      <c r="M3863">
        <v>20000.580000000002</v>
      </c>
      <c r="N3863">
        <v>2020</v>
      </c>
      <c r="O3863">
        <v>6</v>
      </c>
    </row>
    <row r="3864" spans="1:15" x14ac:dyDescent="0.3">
      <c r="A3864" s="1">
        <v>44011</v>
      </c>
      <c r="B3864">
        <v>1000004170</v>
      </c>
      <c r="C3864" t="s">
        <v>23</v>
      </c>
      <c r="D3864">
        <v>1</v>
      </c>
      <c r="E3864">
        <v>11000.6</v>
      </c>
      <c r="F3864" t="s">
        <v>16</v>
      </c>
      <c r="G3864" t="s">
        <v>24</v>
      </c>
      <c r="H3864" t="s">
        <v>18</v>
      </c>
      <c r="I3864" t="s">
        <v>34</v>
      </c>
      <c r="J3864" t="s">
        <v>20</v>
      </c>
      <c r="K3864" t="s">
        <v>44</v>
      </c>
      <c r="L3864" t="s">
        <v>28</v>
      </c>
      <c r="M3864">
        <v>11000.6</v>
      </c>
      <c r="N3864">
        <v>2020</v>
      </c>
      <c r="O3864">
        <v>6</v>
      </c>
    </row>
    <row r="3865" spans="1:15" x14ac:dyDescent="0.3">
      <c r="A3865" s="1">
        <v>44011</v>
      </c>
      <c r="B3865">
        <v>1000004256</v>
      </c>
      <c r="C3865" t="s">
        <v>15</v>
      </c>
      <c r="D3865">
        <v>1</v>
      </c>
      <c r="E3865">
        <v>15000.4</v>
      </c>
      <c r="F3865" t="s">
        <v>16</v>
      </c>
      <c r="G3865" t="s">
        <v>17</v>
      </c>
      <c r="H3865" t="s">
        <v>18</v>
      </c>
      <c r="I3865" t="s">
        <v>40</v>
      </c>
      <c r="J3865" t="s">
        <v>26</v>
      </c>
      <c r="K3865" t="s">
        <v>41</v>
      </c>
      <c r="L3865" t="s">
        <v>22</v>
      </c>
      <c r="M3865">
        <v>15000.4</v>
      </c>
      <c r="N3865">
        <v>2020</v>
      </c>
      <c r="O3865">
        <v>6</v>
      </c>
    </row>
    <row r="3866" spans="1:15" x14ac:dyDescent="0.3">
      <c r="A3866" s="1">
        <v>44011</v>
      </c>
      <c r="B3866">
        <v>1000004256</v>
      </c>
      <c r="C3866" t="s">
        <v>42</v>
      </c>
      <c r="D3866">
        <v>2</v>
      </c>
      <c r="E3866">
        <v>21001.1</v>
      </c>
      <c r="F3866" t="s">
        <v>16</v>
      </c>
      <c r="G3866" t="s">
        <v>43</v>
      </c>
      <c r="H3866" t="s">
        <v>18</v>
      </c>
      <c r="I3866" t="s">
        <v>40</v>
      </c>
      <c r="J3866" t="s">
        <v>26</v>
      </c>
      <c r="K3866" t="s">
        <v>41</v>
      </c>
      <c r="L3866" t="s">
        <v>22</v>
      </c>
      <c r="M3866">
        <v>10500.55</v>
      </c>
      <c r="N3866">
        <v>2020</v>
      </c>
      <c r="O3866">
        <v>6</v>
      </c>
    </row>
    <row r="3867" spans="1:15" x14ac:dyDescent="0.3">
      <c r="A3867" s="1">
        <v>44011</v>
      </c>
      <c r="B3867">
        <v>1000006064</v>
      </c>
      <c r="C3867" t="s">
        <v>54</v>
      </c>
      <c r="D3867">
        <v>1</v>
      </c>
      <c r="E3867">
        <v>9.3800000000000008</v>
      </c>
      <c r="F3867" t="s">
        <v>46</v>
      </c>
      <c r="G3867" t="s">
        <v>24</v>
      </c>
      <c r="H3867" t="s">
        <v>18</v>
      </c>
      <c r="I3867" t="s">
        <v>40</v>
      </c>
      <c r="J3867" t="s">
        <v>26</v>
      </c>
      <c r="K3867" t="s">
        <v>41</v>
      </c>
      <c r="L3867" t="s">
        <v>22</v>
      </c>
      <c r="M3867">
        <v>9.3800000000000008</v>
      </c>
      <c r="N3867">
        <v>2020</v>
      </c>
      <c r="O3867">
        <v>6</v>
      </c>
    </row>
    <row r="3868" spans="1:15" x14ac:dyDescent="0.3">
      <c r="A3868" s="1">
        <v>44011</v>
      </c>
      <c r="B3868">
        <v>1000006867</v>
      </c>
      <c r="C3868" t="s">
        <v>15</v>
      </c>
      <c r="D3868">
        <v>1</v>
      </c>
      <c r="E3868">
        <v>1138.72</v>
      </c>
      <c r="F3868" t="s">
        <v>16</v>
      </c>
      <c r="G3868" t="s">
        <v>17</v>
      </c>
      <c r="H3868" t="s">
        <v>18</v>
      </c>
      <c r="I3868" t="s">
        <v>61</v>
      </c>
      <c r="J3868" t="s">
        <v>26</v>
      </c>
      <c r="K3868" t="s">
        <v>62</v>
      </c>
      <c r="L3868" t="s">
        <v>22</v>
      </c>
      <c r="M3868">
        <v>1138.72</v>
      </c>
      <c r="N3868">
        <v>2020</v>
      </c>
      <c r="O3868">
        <v>6</v>
      </c>
    </row>
    <row r="3869" spans="1:15" x14ac:dyDescent="0.3">
      <c r="A3869" s="1">
        <v>44011</v>
      </c>
      <c r="B3869">
        <v>1000007320</v>
      </c>
      <c r="C3869" t="s">
        <v>23</v>
      </c>
      <c r="D3869">
        <v>1</v>
      </c>
      <c r="E3869">
        <v>9500.09</v>
      </c>
      <c r="F3869" t="s">
        <v>16</v>
      </c>
      <c r="G3869" t="s">
        <v>24</v>
      </c>
      <c r="H3869" t="s">
        <v>18</v>
      </c>
      <c r="I3869" t="s">
        <v>34</v>
      </c>
      <c r="J3869" t="s">
        <v>26</v>
      </c>
      <c r="K3869" t="s">
        <v>35</v>
      </c>
      <c r="L3869" t="s">
        <v>22</v>
      </c>
      <c r="M3869">
        <v>9500.09</v>
      </c>
      <c r="N3869">
        <v>2020</v>
      </c>
      <c r="O3869">
        <v>6</v>
      </c>
    </row>
    <row r="3870" spans="1:15" x14ac:dyDescent="0.3">
      <c r="A3870" s="1">
        <v>44011</v>
      </c>
      <c r="B3870">
        <v>1000007320</v>
      </c>
      <c r="C3870" t="s">
        <v>42</v>
      </c>
      <c r="D3870">
        <v>1</v>
      </c>
      <c r="E3870">
        <v>18000.7</v>
      </c>
      <c r="F3870" t="s">
        <v>16</v>
      </c>
      <c r="G3870" t="s">
        <v>43</v>
      </c>
      <c r="H3870" t="s">
        <v>18</v>
      </c>
      <c r="I3870" t="s">
        <v>34</v>
      </c>
      <c r="J3870" t="s">
        <v>26</v>
      </c>
      <c r="K3870" t="s">
        <v>35</v>
      </c>
      <c r="L3870" t="s">
        <v>22</v>
      </c>
      <c r="M3870">
        <v>18000.7</v>
      </c>
      <c r="N3870">
        <v>2020</v>
      </c>
      <c r="O3870">
        <v>6</v>
      </c>
    </row>
    <row r="3871" spans="1:15" x14ac:dyDescent="0.3">
      <c r="A3871" s="1">
        <v>44011</v>
      </c>
      <c r="B3871">
        <v>1000008228</v>
      </c>
      <c r="C3871" t="s">
        <v>75</v>
      </c>
      <c r="D3871">
        <v>1</v>
      </c>
      <c r="E3871">
        <v>1000.52</v>
      </c>
      <c r="F3871" t="s">
        <v>16</v>
      </c>
      <c r="G3871" t="s">
        <v>76</v>
      </c>
      <c r="H3871" t="s">
        <v>30</v>
      </c>
      <c r="I3871" t="s">
        <v>31</v>
      </c>
      <c r="J3871" t="s">
        <v>36</v>
      </c>
      <c r="K3871" t="s">
        <v>52</v>
      </c>
      <c r="L3871" t="s">
        <v>22</v>
      </c>
      <c r="M3871">
        <v>1000.52</v>
      </c>
      <c r="N3871">
        <v>2020</v>
      </c>
      <c r="O3871">
        <v>6</v>
      </c>
    </row>
    <row r="3872" spans="1:15" x14ac:dyDescent="0.3">
      <c r="A3872" s="1">
        <v>44011</v>
      </c>
      <c r="B3872">
        <v>1000008228</v>
      </c>
      <c r="C3872" t="s">
        <v>23</v>
      </c>
      <c r="D3872">
        <v>1</v>
      </c>
      <c r="E3872">
        <v>14000.03</v>
      </c>
      <c r="F3872" t="s">
        <v>16</v>
      </c>
      <c r="G3872" t="s">
        <v>24</v>
      </c>
      <c r="H3872" t="s">
        <v>30</v>
      </c>
      <c r="I3872" t="s">
        <v>31</v>
      </c>
      <c r="J3872" t="s">
        <v>36</v>
      </c>
      <c r="K3872" t="s">
        <v>52</v>
      </c>
      <c r="L3872" t="s">
        <v>22</v>
      </c>
      <c r="M3872">
        <v>14000.03</v>
      </c>
      <c r="N3872">
        <v>2020</v>
      </c>
      <c r="O3872">
        <v>6</v>
      </c>
    </row>
    <row r="3873" spans="1:15" x14ac:dyDescent="0.3">
      <c r="A3873" s="1">
        <v>44011</v>
      </c>
      <c r="B3873">
        <v>1000008542</v>
      </c>
      <c r="C3873" t="s">
        <v>23</v>
      </c>
      <c r="D3873">
        <v>1</v>
      </c>
      <c r="E3873">
        <v>2000.24</v>
      </c>
      <c r="F3873" t="s">
        <v>16</v>
      </c>
      <c r="G3873" t="s">
        <v>24</v>
      </c>
      <c r="H3873" t="s">
        <v>18</v>
      </c>
      <c r="I3873" t="s">
        <v>40</v>
      </c>
      <c r="J3873" t="s">
        <v>26</v>
      </c>
      <c r="K3873" t="s">
        <v>41</v>
      </c>
      <c r="L3873" t="s">
        <v>22</v>
      </c>
      <c r="M3873">
        <v>2000.24</v>
      </c>
      <c r="N3873">
        <v>2020</v>
      </c>
      <c r="O3873">
        <v>6</v>
      </c>
    </row>
    <row r="3874" spans="1:15" x14ac:dyDescent="0.3">
      <c r="A3874" s="1">
        <v>44011</v>
      </c>
      <c r="B3874">
        <v>1000008542</v>
      </c>
      <c r="C3874" t="s">
        <v>15</v>
      </c>
      <c r="D3874">
        <v>1</v>
      </c>
      <c r="E3874">
        <v>13999.96</v>
      </c>
      <c r="F3874" t="s">
        <v>16</v>
      </c>
      <c r="G3874" t="s">
        <v>17</v>
      </c>
      <c r="H3874" t="s">
        <v>18</v>
      </c>
      <c r="I3874" t="s">
        <v>40</v>
      </c>
      <c r="J3874" t="s">
        <v>26</v>
      </c>
      <c r="K3874" t="s">
        <v>41</v>
      </c>
      <c r="L3874" t="s">
        <v>22</v>
      </c>
      <c r="M3874">
        <v>13999.96</v>
      </c>
      <c r="N3874">
        <v>2020</v>
      </c>
      <c r="O3874">
        <v>6</v>
      </c>
    </row>
    <row r="3875" spans="1:15" x14ac:dyDescent="0.3">
      <c r="A3875" s="1">
        <v>44011</v>
      </c>
      <c r="B3875">
        <v>1000008957</v>
      </c>
      <c r="C3875" t="s">
        <v>23</v>
      </c>
      <c r="D3875">
        <v>1</v>
      </c>
      <c r="E3875">
        <v>20000.41</v>
      </c>
      <c r="F3875" t="s">
        <v>16</v>
      </c>
      <c r="G3875" t="s">
        <v>24</v>
      </c>
      <c r="H3875" t="s">
        <v>18</v>
      </c>
      <c r="I3875" t="s">
        <v>34</v>
      </c>
      <c r="J3875" t="s">
        <v>20</v>
      </c>
      <c r="K3875" t="s">
        <v>44</v>
      </c>
      <c r="L3875" t="s">
        <v>22</v>
      </c>
      <c r="M3875">
        <v>20000.41</v>
      </c>
      <c r="N3875">
        <v>2020</v>
      </c>
      <c r="O3875">
        <v>6</v>
      </c>
    </row>
    <row r="3876" spans="1:15" x14ac:dyDescent="0.3">
      <c r="A3876" s="1">
        <v>44011</v>
      </c>
      <c r="B3876">
        <v>1000009288</v>
      </c>
      <c r="C3876" t="s">
        <v>23</v>
      </c>
      <c r="D3876">
        <v>3</v>
      </c>
      <c r="E3876">
        <v>24000</v>
      </c>
      <c r="F3876" t="s">
        <v>16</v>
      </c>
      <c r="G3876" t="s">
        <v>24</v>
      </c>
      <c r="H3876" t="s">
        <v>18</v>
      </c>
      <c r="I3876" t="s">
        <v>25</v>
      </c>
      <c r="J3876" t="s">
        <v>20</v>
      </c>
      <c r="K3876" t="s">
        <v>51</v>
      </c>
      <c r="L3876" t="s">
        <v>22</v>
      </c>
      <c r="M3876">
        <v>8000</v>
      </c>
      <c r="N3876">
        <v>2020</v>
      </c>
      <c r="O3876">
        <v>6</v>
      </c>
    </row>
    <row r="3877" spans="1:15" x14ac:dyDescent="0.3">
      <c r="A3877" s="1">
        <v>44011</v>
      </c>
      <c r="B3877">
        <v>1000011697</v>
      </c>
      <c r="C3877" t="s">
        <v>23</v>
      </c>
      <c r="D3877">
        <v>2</v>
      </c>
      <c r="E3877">
        <v>11001.259999999998</v>
      </c>
      <c r="F3877" t="s">
        <v>16</v>
      </c>
      <c r="G3877" t="s">
        <v>24</v>
      </c>
      <c r="H3877" t="s">
        <v>18</v>
      </c>
      <c r="I3877" t="s">
        <v>34</v>
      </c>
      <c r="J3877" t="s">
        <v>20</v>
      </c>
      <c r="K3877" t="s">
        <v>44</v>
      </c>
      <c r="L3877" t="s">
        <v>22</v>
      </c>
      <c r="M3877">
        <v>5500.6299999999992</v>
      </c>
      <c r="N3877">
        <v>2020</v>
      </c>
      <c r="O3877">
        <v>6</v>
      </c>
    </row>
    <row r="3878" spans="1:15" x14ac:dyDescent="0.3">
      <c r="A3878" s="1">
        <v>44011</v>
      </c>
      <c r="B3878">
        <v>1000011697</v>
      </c>
      <c r="C3878" t="s">
        <v>15</v>
      </c>
      <c r="D3878">
        <v>1</v>
      </c>
      <c r="E3878">
        <v>18000.02</v>
      </c>
      <c r="F3878" t="s">
        <v>16</v>
      </c>
      <c r="G3878" t="s">
        <v>17</v>
      </c>
      <c r="H3878" t="s">
        <v>18</v>
      </c>
      <c r="I3878" t="s">
        <v>34</v>
      </c>
      <c r="J3878" t="s">
        <v>20</v>
      </c>
      <c r="K3878" t="s">
        <v>44</v>
      </c>
      <c r="L3878" t="s">
        <v>22</v>
      </c>
      <c r="M3878">
        <v>18000.02</v>
      </c>
      <c r="N3878">
        <v>2020</v>
      </c>
      <c r="O3878">
        <v>6</v>
      </c>
    </row>
    <row r="3879" spans="1:15" x14ac:dyDescent="0.3">
      <c r="A3879" s="1">
        <v>44011</v>
      </c>
      <c r="B3879">
        <v>1000011698</v>
      </c>
      <c r="C3879" t="s">
        <v>23</v>
      </c>
      <c r="D3879">
        <v>2</v>
      </c>
      <c r="E3879">
        <v>44000.61</v>
      </c>
      <c r="F3879" t="s">
        <v>16</v>
      </c>
      <c r="G3879" t="s">
        <v>24</v>
      </c>
      <c r="H3879" t="s">
        <v>18</v>
      </c>
      <c r="I3879" t="s">
        <v>34</v>
      </c>
      <c r="J3879" t="s">
        <v>20</v>
      </c>
      <c r="K3879" t="s">
        <v>44</v>
      </c>
      <c r="L3879" t="s">
        <v>22</v>
      </c>
      <c r="M3879">
        <v>22000.305</v>
      </c>
      <c r="N3879">
        <v>2020</v>
      </c>
      <c r="O3879">
        <v>6</v>
      </c>
    </row>
    <row r="3880" spans="1:15" x14ac:dyDescent="0.3">
      <c r="A3880" s="1">
        <v>44011</v>
      </c>
      <c r="B3880">
        <v>1000011828</v>
      </c>
      <c r="C3880" t="s">
        <v>15</v>
      </c>
      <c r="D3880">
        <v>1</v>
      </c>
      <c r="E3880">
        <v>20000.71</v>
      </c>
      <c r="F3880" t="s">
        <v>16</v>
      </c>
      <c r="G3880" t="s">
        <v>17</v>
      </c>
      <c r="H3880" t="s">
        <v>18</v>
      </c>
      <c r="I3880" t="s">
        <v>19</v>
      </c>
      <c r="J3880" t="s">
        <v>20</v>
      </c>
      <c r="K3880" t="s">
        <v>21</v>
      </c>
      <c r="L3880" t="s">
        <v>22</v>
      </c>
      <c r="M3880">
        <v>20000.71</v>
      </c>
      <c r="N3880">
        <v>2020</v>
      </c>
      <c r="O3880">
        <v>6</v>
      </c>
    </row>
    <row r="3881" spans="1:15" x14ac:dyDescent="0.3">
      <c r="A3881" s="1">
        <v>44011</v>
      </c>
      <c r="B3881">
        <v>1000012096</v>
      </c>
      <c r="C3881" t="s">
        <v>15</v>
      </c>
      <c r="D3881">
        <v>1</v>
      </c>
      <c r="E3881">
        <v>14000.48</v>
      </c>
      <c r="F3881" t="s">
        <v>16</v>
      </c>
      <c r="G3881" t="s">
        <v>17</v>
      </c>
      <c r="H3881" t="s">
        <v>18</v>
      </c>
      <c r="I3881" t="s">
        <v>19</v>
      </c>
      <c r="J3881" t="s">
        <v>26</v>
      </c>
      <c r="K3881" t="s">
        <v>29</v>
      </c>
      <c r="L3881" t="s">
        <v>22</v>
      </c>
      <c r="M3881">
        <v>14000.48</v>
      </c>
      <c r="N3881">
        <v>2020</v>
      </c>
      <c r="O3881">
        <v>6</v>
      </c>
    </row>
    <row r="3882" spans="1:15" x14ac:dyDescent="0.3">
      <c r="A3882" s="1">
        <v>44011</v>
      </c>
      <c r="B3882">
        <v>1000012099</v>
      </c>
      <c r="C3882" t="s">
        <v>42</v>
      </c>
      <c r="D3882">
        <v>1</v>
      </c>
      <c r="E3882">
        <v>13000.62</v>
      </c>
      <c r="F3882" t="s">
        <v>16</v>
      </c>
      <c r="G3882" t="s">
        <v>43</v>
      </c>
      <c r="H3882" t="s">
        <v>18</v>
      </c>
      <c r="I3882" t="s">
        <v>19</v>
      </c>
      <c r="J3882" t="s">
        <v>20</v>
      </c>
      <c r="K3882" t="s">
        <v>21</v>
      </c>
      <c r="L3882" t="s">
        <v>22</v>
      </c>
      <c r="M3882">
        <v>13000.62</v>
      </c>
      <c r="N3882">
        <v>2020</v>
      </c>
      <c r="O3882">
        <v>6</v>
      </c>
    </row>
    <row r="3883" spans="1:15" x14ac:dyDescent="0.3">
      <c r="A3883" s="1">
        <v>44011</v>
      </c>
      <c r="B3883">
        <v>1000012124</v>
      </c>
      <c r="C3883" t="s">
        <v>23</v>
      </c>
      <c r="D3883">
        <v>1</v>
      </c>
      <c r="E3883">
        <v>5500.69</v>
      </c>
      <c r="F3883" t="s">
        <v>16</v>
      </c>
      <c r="G3883" t="s">
        <v>24</v>
      </c>
      <c r="H3883" t="s">
        <v>18</v>
      </c>
      <c r="I3883" t="s">
        <v>19</v>
      </c>
      <c r="J3883" t="s">
        <v>26</v>
      </c>
      <c r="K3883" t="s">
        <v>29</v>
      </c>
      <c r="L3883" t="s">
        <v>22</v>
      </c>
      <c r="M3883">
        <v>5500.69</v>
      </c>
      <c r="N3883">
        <v>2020</v>
      </c>
      <c r="O3883">
        <v>6</v>
      </c>
    </row>
    <row r="3884" spans="1:15" x14ac:dyDescent="0.3">
      <c r="A3884" s="1">
        <v>44011</v>
      </c>
      <c r="B3884">
        <v>1000012124</v>
      </c>
      <c r="C3884" t="s">
        <v>42</v>
      </c>
      <c r="D3884">
        <v>1</v>
      </c>
      <c r="E3884">
        <v>15000.44</v>
      </c>
      <c r="F3884" t="s">
        <v>16</v>
      </c>
      <c r="G3884" t="s">
        <v>43</v>
      </c>
      <c r="H3884" t="s">
        <v>18</v>
      </c>
      <c r="I3884" t="s">
        <v>19</v>
      </c>
      <c r="J3884" t="s">
        <v>26</v>
      </c>
      <c r="K3884" t="s">
        <v>29</v>
      </c>
      <c r="L3884" t="s">
        <v>22</v>
      </c>
      <c r="M3884">
        <v>15000.44</v>
      </c>
      <c r="N3884">
        <v>2020</v>
      </c>
      <c r="O3884">
        <v>6</v>
      </c>
    </row>
    <row r="3885" spans="1:15" x14ac:dyDescent="0.3">
      <c r="A3885" s="1">
        <v>44011</v>
      </c>
      <c r="B3885">
        <v>1000012126</v>
      </c>
      <c r="C3885" t="s">
        <v>23</v>
      </c>
      <c r="D3885">
        <v>2</v>
      </c>
      <c r="E3885">
        <v>25000.65</v>
      </c>
      <c r="F3885" t="s">
        <v>16</v>
      </c>
      <c r="G3885" t="s">
        <v>24</v>
      </c>
      <c r="H3885" t="s">
        <v>18</v>
      </c>
      <c r="I3885" t="s">
        <v>19</v>
      </c>
      <c r="J3885" t="s">
        <v>26</v>
      </c>
      <c r="K3885" t="s">
        <v>29</v>
      </c>
      <c r="L3885" t="s">
        <v>22</v>
      </c>
      <c r="M3885">
        <v>12500.325000000001</v>
      </c>
      <c r="N3885">
        <v>2020</v>
      </c>
      <c r="O3885">
        <v>6</v>
      </c>
    </row>
    <row r="3886" spans="1:15" x14ac:dyDescent="0.3">
      <c r="A3886" s="1">
        <v>44011</v>
      </c>
      <c r="B3886">
        <v>1000012126</v>
      </c>
      <c r="C3886" t="s">
        <v>15</v>
      </c>
      <c r="D3886">
        <v>1</v>
      </c>
      <c r="E3886">
        <v>11000.32</v>
      </c>
      <c r="F3886" t="s">
        <v>16</v>
      </c>
      <c r="G3886" t="s">
        <v>17</v>
      </c>
      <c r="H3886" t="s">
        <v>18</v>
      </c>
      <c r="I3886" t="s">
        <v>19</v>
      </c>
      <c r="J3886" t="s">
        <v>26</v>
      </c>
      <c r="K3886" t="s">
        <v>29</v>
      </c>
      <c r="L3886" t="s">
        <v>22</v>
      </c>
      <c r="M3886">
        <v>11000.32</v>
      </c>
      <c r="N3886">
        <v>2020</v>
      </c>
      <c r="O3886">
        <v>6</v>
      </c>
    </row>
    <row r="3887" spans="1:15" x14ac:dyDescent="0.3">
      <c r="A3887" s="1">
        <v>44011</v>
      </c>
      <c r="B3887">
        <v>1000012234</v>
      </c>
      <c r="C3887" t="s">
        <v>23</v>
      </c>
      <c r="D3887">
        <v>1</v>
      </c>
      <c r="E3887">
        <v>4000.48</v>
      </c>
      <c r="F3887" t="s">
        <v>16</v>
      </c>
      <c r="G3887" t="s">
        <v>24</v>
      </c>
      <c r="H3887" t="s">
        <v>18</v>
      </c>
      <c r="I3887" t="s">
        <v>25</v>
      </c>
      <c r="J3887" t="s">
        <v>26</v>
      </c>
      <c r="K3887" t="s">
        <v>27</v>
      </c>
      <c r="L3887" t="s">
        <v>22</v>
      </c>
      <c r="M3887">
        <v>4000.48</v>
      </c>
      <c r="N3887">
        <v>2020</v>
      </c>
      <c r="O3887">
        <v>6</v>
      </c>
    </row>
    <row r="3888" spans="1:15" x14ac:dyDescent="0.3">
      <c r="A3888" s="1">
        <v>44011</v>
      </c>
      <c r="B3888">
        <v>1000012234</v>
      </c>
      <c r="C3888" t="s">
        <v>15</v>
      </c>
      <c r="D3888">
        <v>1</v>
      </c>
      <c r="E3888">
        <v>15000.01</v>
      </c>
      <c r="F3888" t="s">
        <v>16</v>
      </c>
      <c r="G3888" t="s">
        <v>17</v>
      </c>
      <c r="H3888" t="s">
        <v>18</v>
      </c>
      <c r="I3888" t="s">
        <v>25</v>
      </c>
      <c r="J3888" t="s">
        <v>26</v>
      </c>
      <c r="K3888" t="s">
        <v>27</v>
      </c>
      <c r="L3888" t="s">
        <v>22</v>
      </c>
      <c r="M3888">
        <v>15000.01</v>
      </c>
      <c r="N3888">
        <v>2020</v>
      </c>
      <c r="O3888">
        <v>6</v>
      </c>
    </row>
    <row r="3889" spans="1:15" x14ac:dyDescent="0.3">
      <c r="A3889" s="1">
        <v>44011</v>
      </c>
      <c r="B3889">
        <v>1000012446</v>
      </c>
      <c r="C3889" t="s">
        <v>71</v>
      </c>
      <c r="D3889">
        <v>1</v>
      </c>
      <c r="E3889">
        <v>2500.65</v>
      </c>
      <c r="F3889" t="s">
        <v>16</v>
      </c>
      <c r="G3889" t="s">
        <v>72</v>
      </c>
      <c r="H3889" t="s">
        <v>30</v>
      </c>
      <c r="I3889" t="s">
        <v>31</v>
      </c>
      <c r="J3889" t="s">
        <v>36</v>
      </c>
      <c r="K3889" t="s">
        <v>52</v>
      </c>
      <c r="L3889" t="s">
        <v>22</v>
      </c>
      <c r="M3889">
        <v>2500.65</v>
      </c>
      <c r="N3889">
        <v>2020</v>
      </c>
      <c r="O3889">
        <v>6</v>
      </c>
    </row>
    <row r="3890" spans="1:15" x14ac:dyDescent="0.3">
      <c r="A3890" s="1">
        <v>44011</v>
      </c>
      <c r="B3890">
        <v>1000013607</v>
      </c>
      <c r="C3890" t="s">
        <v>23</v>
      </c>
      <c r="D3890">
        <v>1</v>
      </c>
      <c r="E3890">
        <v>17000.169999999998</v>
      </c>
      <c r="F3890" t="s">
        <v>16</v>
      </c>
      <c r="G3890" t="s">
        <v>24</v>
      </c>
      <c r="H3890" t="s">
        <v>18</v>
      </c>
      <c r="I3890" t="s">
        <v>25</v>
      </c>
      <c r="J3890" t="s">
        <v>26</v>
      </c>
      <c r="K3890" t="s">
        <v>27</v>
      </c>
      <c r="L3890" t="s">
        <v>22</v>
      </c>
      <c r="M3890">
        <v>17000.169999999998</v>
      </c>
      <c r="N3890">
        <v>2020</v>
      </c>
      <c r="O3890">
        <v>6</v>
      </c>
    </row>
    <row r="3891" spans="1:15" x14ac:dyDescent="0.3">
      <c r="A3891" s="1">
        <v>44011</v>
      </c>
      <c r="B3891">
        <v>1000013607</v>
      </c>
      <c r="C3891" t="s">
        <v>15</v>
      </c>
      <c r="D3891">
        <v>1</v>
      </c>
      <c r="E3891">
        <v>23000.47</v>
      </c>
      <c r="F3891" t="s">
        <v>16</v>
      </c>
      <c r="G3891" t="s">
        <v>17</v>
      </c>
      <c r="H3891" t="s">
        <v>18</v>
      </c>
      <c r="I3891" t="s">
        <v>25</v>
      </c>
      <c r="J3891" t="s">
        <v>26</v>
      </c>
      <c r="K3891" t="s">
        <v>27</v>
      </c>
      <c r="L3891" t="s">
        <v>22</v>
      </c>
      <c r="M3891">
        <v>23000.47</v>
      </c>
      <c r="N3891">
        <v>2020</v>
      </c>
      <c r="O3891">
        <v>6</v>
      </c>
    </row>
    <row r="3892" spans="1:15" x14ac:dyDescent="0.3">
      <c r="A3892" s="1">
        <v>44011</v>
      </c>
      <c r="B3892">
        <v>1000014037</v>
      </c>
      <c r="C3892" t="s">
        <v>23</v>
      </c>
      <c r="D3892">
        <v>1</v>
      </c>
      <c r="E3892">
        <v>4000.45</v>
      </c>
      <c r="F3892" t="s">
        <v>16</v>
      </c>
      <c r="G3892" t="s">
        <v>24</v>
      </c>
      <c r="H3892" t="s">
        <v>18</v>
      </c>
      <c r="I3892" t="s">
        <v>25</v>
      </c>
      <c r="J3892" t="s">
        <v>36</v>
      </c>
      <c r="K3892" t="s">
        <v>37</v>
      </c>
      <c r="L3892" t="s">
        <v>22</v>
      </c>
      <c r="M3892">
        <v>4000.45</v>
      </c>
      <c r="N3892">
        <v>2020</v>
      </c>
      <c r="O3892">
        <v>6</v>
      </c>
    </row>
    <row r="3893" spans="1:15" x14ac:dyDescent="0.3">
      <c r="A3893" s="1">
        <v>44011</v>
      </c>
      <c r="B3893">
        <v>1000014037</v>
      </c>
      <c r="C3893" t="s">
        <v>15</v>
      </c>
      <c r="D3893">
        <v>1</v>
      </c>
      <c r="E3893">
        <v>20000.080000000002</v>
      </c>
      <c r="F3893" t="s">
        <v>16</v>
      </c>
      <c r="G3893" t="s">
        <v>17</v>
      </c>
      <c r="H3893" t="s">
        <v>18</v>
      </c>
      <c r="I3893" t="s">
        <v>25</v>
      </c>
      <c r="J3893" t="s">
        <v>36</v>
      </c>
      <c r="K3893" t="s">
        <v>37</v>
      </c>
      <c r="L3893" t="s">
        <v>22</v>
      </c>
      <c r="M3893">
        <v>20000.080000000002</v>
      </c>
      <c r="N3893">
        <v>2020</v>
      </c>
      <c r="O3893">
        <v>6</v>
      </c>
    </row>
    <row r="3894" spans="1:15" x14ac:dyDescent="0.3">
      <c r="A3894" s="1">
        <v>44011</v>
      </c>
      <c r="B3894">
        <v>1000014072</v>
      </c>
      <c r="C3894" t="s">
        <v>15</v>
      </c>
      <c r="D3894">
        <v>1</v>
      </c>
      <c r="E3894">
        <v>3800.62</v>
      </c>
      <c r="F3894" t="s">
        <v>16</v>
      </c>
      <c r="G3894" t="s">
        <v>17</v>
      </c>
      <c r="H3894" t="s">
        <v>47</v>
      </c>
      <c r="I3894" t="s">
        <v>65</v>
      </c>
      <c r="J3894" t="s">
        <v>26</v>
      </c>
      <c r="K3894" t="s">
        <v>66</v>
      </c>
      <c r="L3894" t="s">
        <v>22</v>
      </c>
      <c r="M3894">
        <v>3800.62</v>
      </c>
      <c r="N3894">
        <v>2020</v>
      </c>
      <c r="O3894">
        <v>6</v>
      </c>
    </row>
    <row r="3895" spans="1:15" x14ac:dyDescent="0.3">
      <c r="A3895" s="1">
        <v>44011</v>
      </c>
      <c r="B3895">
        <v>1000014291</v>
      </c>
      <c r="C3895" t="s">
        <v>23</v>
      </c>
      <c r="D3895">
        <v>1</v>
      </c>
      <c r="E3895">
        <v>5000.76</v>
      </c>
      <c r="F3895" t="s">
        <v>16</v>
      </c>
      <c r="G3895" t="s">
        <v>24</v>
      </c>
      <c r="H3895" t="s">
        <v>47</v>
      </c>
      <c r="I3895" t="s">
        <v>48</v>
      </c>
      <c r="J3895" t="s">
        <v>20</v>
      </c>
      <c r="K3895" t="s">
        <v>67</v>
      </c>
      <c r="L3895" t="s">
        <v>28</v>
      </c>
      <c r="M3895">
        <v>5000.76</v>
      </c>
      <c r="N3895">
        <v>2020</v>
      </c>
      <c r="O3895">
        <v>6</v>
      </c>
    </row>
    <row r="3896" spans="1:15" x14ac:dyDescent="0.3">
      <c r="A3896" s="1">
        <v>44011</v>
      </c>
      <c r="B3896">
        <v>1000014291</v>
      </c>
      <c r="C3896" t="s">
        <v>15</v>
      </c>
      <c r="D3896">
        <v>3</v>
      </c>
      <c r="E3896">
        <v>24000.899999999998</v>
      </c>
      <c r="F3896" t="s">
        <v>16</v>
      </c>
      <c r="G3896" t="s">
        <v>17</v>
      </c>
      <c r="H3896" t="s">
        <v>47</v>
      </c>
      <c r="I3896" t="s">
        <v>48</v>
      </c>
      <c r="J3896" t="s">
        <v>20</v>
      </c>
      <c r="K3896" t="s">
        <v>67</v>
      </c>
      <c r="L3896" t="s">
        <v>28</v>
      </c>
      <c r="M3896">
        <v>8000.2999999999993</v>
      </c>
      <c r="N3896">
        <v>2020</v>
      </c>
      <c r="O3896">
        <v>6</v>
      </c>
    </row>
    <row r="3897" spans="1:15" x14ac:dyDescent="0.3">
      <c r="A3897" s="1">
        <v>44011</v>
      </c>
      <c r="B3897">
        <v>1000014452</v>
      </c>
      <c r="C3897" t="s">
        <v>42</v>
      </c>
      <c r="D3897">
        <v>1</v>
      </c>
      <c r="E3897">
        <v>7000.23</v>
      </c>
      <c r="F3897" t="s">
        <v>16</v>
      </c>
      <c r="G3897" t="s">
        <v>43</v>
      </c>
      <c r="H3897" t="s">
        <v>18</v>
      </c>
      <c r="I3897" t="s">
        <v>34</v>
      </c>
      <c r="J3897" t="s">
        <v>36</v>
      </c>
      <c r="K3897" t="s">
        <v>70</v>
      </c>
      <c r="L3897" t="s">
        <v>22</v>
      </c>
      <c r="M3897">
        <v>7000.23</v>
      </c>
      <c r="N3897">
        <v>2020</v>
      </c>
      <c r="O3897">
        <v>6</v>
      </c>
    </row>
    <row r="3898" spans="1:15" x14ac:dyDescent="0.3">
      <c r="A3898" s="1">
        <v>44011</v>
      </c>
      <c r="B3898">
        <v>1000014572</v>
      </c>
      <c r="C3898" t="s">
        <v>23</v>
      </c>
      <c r="D3898">
        <v>2</v>
      </c>
      <c r="E3898">
        <v>32000.33</v>
      </c>
      <c r="F3898" t="s">
        <v>16</v>
      </c>
      <c r="G3898" t="s">
        <v>24</v>
      </c>
      <c r="H3898" t="s">
        <v>18</v>
      </c>
      <c r="I3898" t="s">
        <v>34</v>
      </c>
      <c r="J3898" t="s">
        <v>26</v>
      </c>
      <c r="K3898" t="s">
        <v>35</v>
      </c>
      <c r="L3898" t="s">
        <v>22</v>
      </c>
      <c r="M3898">
        <v>16000.165000000001</v>
      </c>
      <c r="N3898">
        <v>2020</v>
      </c>
      <c r="O3898">
        <v>6</v>
      </c>
    </row>
    <row r="3899" spans="1:15" x14ac:dyDescent="0.3">
      <c r="A3899" s="1">
        <v>44011</v>
      </c>
      <c r="B3899">
        <v>1000015013</v>
      </c>
      <c r="C3899" t="s">
        <v>15</v>
      </c>
      <c r="D3899">
        <v>2</v>
      </c>
      <c r="E3899">
        <v>19441.260000000002</v>
      </c>
      <c r="F3899" t="s">
        <v>16</v>
      </c>
      <c r="G3899" t="s">
        <v>17</v>
      </c>
      <c r="H3899" t="s">
        <v>18</v>
      </c>
      <c r="I3899" t="s">
        <v>19</v>
      </c>
      <c r="J3899" t="s">
        <v>26</v>
      </c>
      <c r="K3899" t="s">
        <v>29</v>
      </c>
      <c r="L3899" t="s">
        <v>22</v>
      </c>
      <c r="M3899">
        <v>9720.630000000001</v>
      </c>
      <c r="N3899">
        <v>2020</v>
      </c>
      <c r="O3899">
        <v>6</v>
      </c>
    </row>
    <row r="3900" spans="1:15" x14ac:dyDescent="0.3">
      <c r="A3900" s="1">
        <v>44011</v>
      </c>
      <c r="B3900">
        <v>1000015203</v>
      </c>
      <c r="C3900" t="s">
        <v>42</v>
      </c>
      <c r="D3900">
        <v>1</v>
      </c>
      <c r="E3900">
        <v>8000.37</v>
      </c>
      <c r="F3900" t="s">
        <v>16</v>
      </c>
      <c r="G3900" t="s">
        <v>43</v>
      </c>
      <c r="H3900" t="s">
        <v>47</v>
      </c>
      <c r="I3900" t="s">
        <v>65</v>
      </c>
      <c r="J3900" t="s">
        <v>26</v>
      </c>
      <c r="K3900" t="s">
        <v>66</v>
      </c>
      <c r="L3900" t="s">
        <v>22</v>
      </c>
      <c r="M3900">
        <v>8000.37</v>
      </c>
      <c r="N3900">
        <v>2020</v>
      </c>
      <c r="O3900">
        <v>6</v>
      </c>
    </row>
    <row r="3901" spans="1:15" x14ac:dyDescent="0.3">
      <c r="A3901" s="1">
        <v>44011</v>
      </c>
      <c r="B3901">
        <v>1000017576</v>
      </c>
      <c r="C3901" t="s">
        <v>23</v>
      </c>
      <c r="D3901">
        <v>2</v>
      </c>
      <c r="E3901">
        <v>24001.089999999997</v>
      </c>
      <c r="F3901" t="s">
        <v>16</v>
      </c>
      <c r="G3901" t="s">
        <v>24</v>
      </c>
      <c r="H3901" t="s">
        <v>18</v>
      </c>
      <c r="I3901" t="s">
        <v>19</v>
      </c>
      <c r="J3901" t="s">
        <v>36</v>
      </c>
      <c r="K3901" t="s">
        <v>64</v>
      </c>
      <c r="L3901" t="s">
        <v>22</v>
      </c>
      <c r="M3901">
        <v>12000.544999999998</v>
      </c>
      <c r="N3901">
        <v>2020</v>
      </c>
      <c r="O3901">
        <v>6</v>
      </c>
    </row>
    <row r="3902" spans="1:15" x14ac:dyDescent="0.3">
      <c r="A3902" s="1">
        <v>44011</v>
      </c>
      <c r="B3902">
        <v>1000017576</v>
      </c>
      <c r="C3902" t="s">
        <v>15</v>
      </c>
      <c r="D3902">
        <v>2</v>
      </c>
      <c r="E3902">
        <v>40000.67</v>
      </c>
      <c r="F3902" t="s">
        <v>16</v>
      </c>
      <c r="G3902" t="s">
        <v>17</v>
      </c>
      <c r="H3902" t="s">
        <v>18</v>
      </c>
      <c r="I3902" t="s">
        <v>19</v>
      </c>
      <c r="J3902" t="s">
        <v>36</v>
      </c>
      <c r="K3902" t="s">
        <v>64</v>
      </c>
      <c r="L3902" t="s">
        <v>22</v>
      </c>
      <c r="M3902">
        <v>20000.334999999999</v>
      </c>
      <c r="N3902">
        <v>2020</v>
      </c>
      <c r="O3902">
        <v>6</v>
      </c>
    </row>
    <row r="3903" spans="1:15" x14ac:dyDescent="0.3">
      <c r="A3903" s="1">
        <v>44011</v>
      </c>
      <c r="B3903">
        <v>1000017688</v>
      </c>
      <c r="C3903" t="s">
        <v>42</v>
      </c>
      <c r="D3903">
        <v>1</v>
      </c>
      <c r="E3903">
        <v>25000.38</v>
      </c>
      <c r="F3903" t="s">
        <v>16</v>
      </c>
      <c r="G3903" t="s">
        <v>43</v>
      </c>
      <c r="H3903" t="s">
        <v>47</v>
      </c>
      <c r="I3903" t="s">
        <v>48</v>
      </c>
      <c r="J3903" t="s">
        <v>36</v>
      </c>
      <c r="K3903" t="s">
        <v>49</v>
      </c>
      <c r="L3903" t="s">
        <v>22</v>
      </c>
      <c r="M3903">
        <v>25000.38</v>
      </c>
      <c r="N3903">
        <v>2020</v>
      </c>
      <c r="O3903">
        <v>6</v>
      </c>
    </row>
    <row r="3904" spans="1:15" x14ac:dyDescent="0.3">
      <c r="A3904" s="1">
        <v>44011</v>
      </c>
      <c r="B3904">
        <v>1000017700</v>
      </c>
      <c r="C3904" t="s">
        <v>15</v>
      </c>
      <c r="D3904">
        <v>1</v>
      </c>
      <c r="E3904">
        <v>8000.19</v>
      </c>
      <c r="F3904" t="s">
        <v>16</v>
      </c>
      <c r="G3904" t="s">
        <v>17</v>
      </c>
      <c r="H3904" t="s">
        <v>47</v>
      </c>
      <c r="I3904" t="s">
        <v>65</v>
      </c>
      <c r="J3904" t="s">
        <v>26</v>
      </c>
      <c r="K3904" t="s">
        <v>66</v>
      </c>
      <c r="L3904" t="s">
        <v>22</v>
      </c>
      <c r="M3904">
        <v>8000.19</v>
      </c>
      <c r="N3904">
        <v>2020</v>
      </c>
      <c r="O3904">
        <v>6</v>
      </c>
    </row>
    <row r="3905" spans="1:15" x14ac:dyDescent="0.3">
      <c r="A3905" s="1">
        <v>44011</v>
      </c>
      <c r="B3905">
        <v>1000017700</v>
      </c>
      <c r="C3905" t="s">
        <v>42</v>
      </c>
      <c r="D3905">
        <v>3</v>
      </c>
      <c r="E3905">
        <v>34000.879999999997</v>
      </c>
      <c r="F3905" t="s">
        <v>16</v>
      </c>
      <c r="G3905" t="s">
        <v>43</v>
      </c>
      <c r="H3905" t="s">
        <v>47</v>
      </c>
      <c r="I3905" t="s">
        <v>65</v>
      </c>
      <c r="J3905" t="s">
        <v>26</v>
      </c>
      <c r="K3905" t="s">
        <v>66</v>
      </c>
      <c r="L3905" t="s">
        <v>22</v>
      </c>
      <c r="M3905">
        <v>11333.626666666665</v>
      </c>
      <c r="N3905">
        <v>2020</v>
      </c>
      <c r="O3905">
        <v>6</v>
      </c>
    </row>
    <row r="3906" spans="1:15" x14ac:dyDescent="0.3">
      <c r="A3906" s="1">
        <v>44011</v>
      </c>
      <c r="B3906">
        <v>1000018132</v>
      </c>
      <c r="C3906" t="s">
        <v>15</v>
      </c>
      <c r="D3906">
        <v>1</v>
      </c>
      <c r="E3906">
        <v>13000.62</v>
      </c>
      <c r="F3906" t="s">
        <v>16</v>
      </c>
      <c r="G3906" t="s">
        <v>17</v>
      </c>
      <c r="H3906" t="s">
        <v>47</v>
      </c>
      <c r="I3906" t="s">
        <v>65</v>
      </c>
      <c r="J3906" t="s">
        <v>26</v>
      </c>
      <c r="K3906" t="s">
        <v>66</v>
      </c>
      <c r="L3906" t="s">
        <v>22</v>
      </c>
      <c r="M3906">
        <v>13000.62</v>
      </c>
      <c r="N3906">
        <v>2020</v>
      </c>
      <c r="O3906">
        <v>6</v>
      </c>
    </row>
    <row r="3907" spans="1:15" x14ac:dyDescent="0.3">
      <c r="A3907" s="1">
        <v>44011</v>
      </c>
      <c r="B3907">
        <v>1000018134</v>
      </c>
      <c r="C3907" t="s">
        <v>42</v>
      </c>
      <c r="D3907">
        <v>1</v>
      </c>
      <c r="E3907">
        <v>11000.39</v>
      </c>
      <c r="F3907" t="s">
        <v>16</v>
      </c>
      <c r="G3907" t="s">
        <v>43</v>
      </c>
      <c r="H3907" t="s">
        <v>18</v>
      </c>
      <c r="I3907" t="s">
        <v>40</v>
      </c>
      <c r="J3907" t="s">
        <v>26</v>
      </c>
      <c r="K3907" t="s">
        <v>41</v>
      </c>
      <c r="L3907" t="s">
        <v>22</v>
      </c>
      <c r="M3907">
        <v>11000.39</v>
      </c>
      <c r="N3907">
        <v>2020</v>
      </c>
      <c r="O3907">
        <v>6</v>
      </c>
    </row>
    <row r="3908" spans="1:15" x14ac:dyDescent="0.3">
      <c r="A3908" s="1">
        <v>44011</v>
      </c>
      <c r="B3908">
        <v>1000018298</v>
      </c>
      <c r="C3908" t="s">
        <v>23</v>
      </c>
      <c r="D3908">
        <v>1</v>
      </c>
      <c r="E3908">
        <v>7000.18</v>
      </c>
      <c r="F3908" t="s">
        <v>16</v>
      </c>
      <c r="G3908" t="s">
        <v>24</v>
      </c>
      <c r="H3908" t="s">
        <v>18</v>
      </c>
      <c r="I3908" t="s">
        <v>34</v>
      </c>
      <c r="J3908" t="s">
        <v>20</v>
      </c>
      <c r="K3908" t="s">
        <v>44</v>
      </c>
      <c r="L3908" t="s">
        <v>22</v>
      </c>
      <c r="M3908">
        <v>7000.18</v>
      </c>
      <c r="N3908">
        <v>2020</v>
      </c>
      <c r="O3908">
        <v>6</v>
      </c>
    </row>
    <row r="3909" spans="1:15" x14ac:dyDescent="0.3">
      <c r="A3909" s="1">
        <v>44011</v>
      </c>
      <c r="B3909">
        <v>1000018298</v>
      </c>
      <c r="C3909" t="s">
        <v>15</v>
      </c>
      <c r="D3909">
        <v>1</v>
      </c>
      <c r="E3909">
        <v>14000.45</v>
      </c>
      <c r="F3909" t="s">
        <v>16</v>
      </c>
      <c r="G3909" t="s">
        <v>17</v>
      </c>
      <c r="H3909" t="s">
        <v>18</v>
      </c>
      <c r="I3909" t="s">
        <v>34</v>
      </c>
      <c r="J3909" t="s">
        <v>20</v>
      </c>
      <c r="K3909" t="s">
        <v>44</v>
      </c>
      <c r="L3909" t="s">
        <v>22</v>
      </c>
      <c r="M3909">
        <v>14000.45</v>
      </c>
      <c r="N3909">
        <v>2020</v>
      </c>
      <c r="O3909">
        <v>6</v>
      </c>
    </row>
    <row r="3910" spans="1:15" x14ac:dyDescent="0.3">
      <c r="A3910" s="1">
        <v>44011</v>
      </c>
      <c r="B3910">
        <v>1000018922</v>
      </c>
      <c r="C3910" t="s">
        <v>23</v>
      </c>
      <c r="D3910">
        <v>1</v>
      </c>
      <c r="E3910">
        <v>5000.38</v>
      </c>
      <c r="F3910" t="s">
        <v>16</v>
      </c>
      <c r="G3910" t="s">
        <v>24</v>
      </c>
      <c r="H3910" t="s">
        <v>47</v>
      </c>
      <c r="I3910" t="s">
        <v>48</v>
      </c>
      <c r="J3910" t="s">
        <v>26</v>
      </c>
      <c r="K3910" t="s">
        <v>50</v>
      </c>
      <c r="L3910" t="s">
        <v>22</v>
      </c>
      <c r="M3910">
        <v>5000.38</v>
      </c>
      <c r="N3910">
        <v>2020</v>
      </c>
      <c r="O3910">
        <v>6</v>
      </c>
    </row>
    <row r="3911" spans="1:15" x14ac:dyDescent="0.3">
      <c r="A3911" s="1">
        <v>44011</v>
      </c>
      <c r="B3911">
        <v>1000020084</v>
      </c>
      <c r="C3911" t="s">
        <v>23</v>
      </c>
      <c r="D3911">
        <v>2</v>
      </c>
      <c r="E3911">
        <v>36000.479999999996</v>
      </c>
      <c r="F3911" t="s">
        <v>16</v>
      </c>
      <c r="G3911" t="s">
        <v>24</v>
      </c>
      <c r="H3911" t="s">
        <v>47</v>
      </c>
      <c r="I3911" t="s">
        <v>59</v>
      </c>
      <c r="J3911" t="s">
        <v>26</v>
      </c>
      <c r="K3911" t="s">
        <v>60</v>
      </c>
      <c r="L3911" t="s">
        <v>22</v>
      </c>
      <c r="M3911">
        <v>18000.239999999998</v>
      </c>
      <c r="N3911">
        <v>2020</v>
      </c>
      <c r="O3911">
        <v>6</v>
      </c>
    </row>
    <row r="3912" spans="1:15" x14ac:dyDescent="0.3">
      <c r="A3912" s="1">
        <v>44011</v>
      </c>
      <c r="B3912">
        <v>1000020084</v>
      </c>
      <c r="C3912" t="s">
        <v>15</v>
      </c>
      <c r="D3912">
        <v>1</v>
      </c>
      <c r="E3912">
        <v>6500.09</v>
      </c>
      <c r="F3912" t="s">
        <v>16</v>
      </c>
      <c r="G3912" t="s">
        <v>17</v>
      </c>
      <c r="H3912" t="s">
        <v>47</v>
      </c>
      <c r="I3912" t="s">
        <v>59</v>
      </c>
      <c r="J3912" t="s">
        <v>26</v>
      </c>
      <c r="K3912" t="s">
        <v>60</v>
      </c>
      <c r="L3912" t="s">
        <v>22</v>
      </c>
      <c r="M3912">
        <v>6500.09</v>
      </c>
      <c r="N3912">
        <v>2020</v>
      </c>
      <c r="O3912">
        <v>6</v>
      </c>
    </row>
    <row r="3913" spans="1:15" x14ac:dyDescent="0.3">
      <c r="A3913" s="1">
        <v>44011</v>
      </c>
      <c r="B3913">
        <v>1000020128</v>
      </c>
      <c r="C3913" t="s">
        <v>15</v>
      </c>
      <c r="D3913">
        <v>1</v>
      </c>
      <c r="E3913">
        <v>6000.61</v>
      </c>
      <c r="F3913" t="s">
        <v>16</v>
      </c>
      <c r="G3913" t="s">
        <v>17</v>
      </c>
      <c r="H3913" t="s">
        <v>30</v>
      </c>
      <c r="I3913" t="s">
        <v>57</v>
      </c>
      <c r="J3913" t="s">
        <v>26</v>
      </c>
      <c r="K3913" t="s">
        <v>58</v>
      </c>
      <c r="L3913" t="s">
        <v>28</v>
      </c>
      <c r="M3913">
        <v>6000.61</v>
      </c>
      <c r="N3913">
        <v>2020</v>
      </c>
      <c r="O3913">
        <v>6</v>
      </c>
    </row>
    <row r="3914" spans="1:15" x14ac:dyDescent="0.3">
      <c r="A3914" s="1">
        <v>44011</v>
      </c>
      <c r="B3914">
        <v>1000020754</v>
      </c>
      <c r="C3914" t="s">
        <v>23</v>
      </c>
      <c r="D3914">
        <v>1</v>
      </c>
      <c r="E3914">
        <v>8000.61</v>
      </c>
      <c r="F3914" t="s">
        <v>16</v>
      </c>
      <c r="G3914" t="s">
        <v>24</v>
      </c>
      <c r="H3914" t="s">
        <v>18</v>
      </c>
      <c r="I3914" t="s">
        <v>25</v>
      </c>
      <c r="J3914" t="s">
        <v>20</v>
      </c>
      <c r="K3914" t="s">
        <v>51</v>
      </c>
      <c r="L3914" t="s">
        <v>22</v>
      </c>
      <c r="M3914">
        <v>8000.61</v>
      </c>
      <c r="N3914">
        <v>2020</v>
      </c>
      <c r="O3914">
        <v>6</v>
      </c>
    </row>
    <row r="3915" spans="1:15" x14ac:dyDescent="0.3">
      <c r="A3915" s="1">
        <v>44011</v>
      </c>
      <c r="B3915">
        <v>1000020754</v>
      </c>
      <c r="C3915" t="s">
        <v>15</v>
      </c>
      <c r="D3915">
        <v>1</v>
      </c>
      <c r="E3915">
        <v>20000.02</v>
      </c>
      <c r="F3915" t="s">
        <v>16</v>
      </c>
      <c r="G3915" t="s">
        <v>17</v>
      </c>
      <c r="H3915" t="s">
        <v>18</v>
      </c>
      <c r="I3915" t="s">
        <v>25</v>
      </c>
      <c r="J3915" t="s">
        <v>20</v>
      </c>
      <c r="K3915" t="s">
        <v>51</v>
      </c>
      <c r="L3915" t="s">
        <v>22</v>
      </c>
      <c r="M3915">
        <v>20000.02</v>
      </c>
      <c r="N3915">
        <v>2020</v>
      </c>
      <c r="O3915">
        <v>6</v>
      </c>
    </row>
    <row r="3916" spans="1:15" x14ac:dyDescent="0.3">
      <c r="A3916" s="1">
        <v>44011</v>
      </c>
      <c r="B3916">
        <v>1000020921</v>
      </c>
      <c r="C3916" t="s">
        <v>15</v>
      </c>
      <c r="D3916">
        <v>1</v>
      </c>
      <c r="E3916">
        <v>20000.61</v>
      </c>
      <c r="F3916" t="s">
        <v>16</v>
      </c>
      <c r="G3916" t="s">
        <v>17</v>
      </c>
      <c r="H3916" t="s">
        <v>47</v>
      </c>
      <c r="I3916" t="s">
        <v>65</v>
      </c>
      <c r="J3916" t="s">
        <v>26</v>
      </c>
      <c r="K3916" t="s">
        <v>66</v>
      </c>
      <c r="L3916" t="s">
        <v>22</v>
      </c>
      <c r="M3916">
        <v>20000.61</v>
      </c>
      <c r="N3916">
        <v>2020</v>
      </c>
      <c r="O3916">
        <v>6</v>
      </c>
    </row>
    <row r="3917" spans="1:15" x14ac:dyDescent="0.3">
      <c r="A3917" s="1">
        <v>44011</v>
      </c>
      <c r="B3917">
        <v>1000020921</v>
      </c>
      <c r="C3917" t="s">
        <v>42</v>
      </c>
      <c r="D3917">
        <v>2</v>
      </c>
      <c r="E3917">
        <v>25001.149999999998</v>
      </c>
      <c r="F3917" t="s">
        <v>16</v>
      </c>
      <c r="G3917" t="s">
        <v>43</v>
      </c>
      <c r="H3917" t="s">
        <v>47</v>
      </c>
      <c r="I3917" t="s">
        <v>65</v>
      </c>
      <c r="J3917" t="s">
        <v>26</v>
      </c>
      <c r="K3917" t="s">
        <v>66</v>
      </c>
      <c r="L3917" t="s">
        <v>22</v>
      </c>
      <c r="M3917">
        <v>12500.574999999999</v>
      </c>
      <c r="N3917">
        <v>2020</v>
      </c>
      <c r="O3917">
        <v>6</v>
      </c>
    </row>
    <row r="3918" spans="1:15" x14ac:dyDescent="0.3">
      <c r="A3918" s="1">
        <v>44011</v>
      </c>
      <c r="B3918">
        <v>1000021167</v>
      </c>
      <c r="C3918" t="s">
        <v>23</v>
      </c>
      <c r="D3918">
        <v>1</v>
      </c>
      <c r="E3918">
        <v>15000.13</v>
      </c>
      <c r="F3918" t="s">
        <v>16</v>
      </c>
      <c r="G3918" t="s">
        <v>24</v>
      </c>
      <c r="H3918" t="s">
        <v>18</v>
      </c>
      <c r="I3918" t="s">
        <v>19</v>
      </c>
      <c r="J3918" t="s">
        <v>20</v>
      </c>
      <c r="K3918" t="s">
        <v>21</v>
      </c>
      <c r="L3918" t="s">
        <v>22</v>
      </c>
      <c r="M3918">
        <v>15000.13</v>
      </c>
      <c r="N3918">
        <v>2020</v>
      </c>
      <c r="O3918">
        <v>6</v>
      </c>
    </row>
    <row r="3919" spans="1:15" x14ac:dyDescent="0.3">
      <c r="A3919" s="1">
        <v>44011</v>
      </c>
      <c r="B3919">
        <v>1000021167</v>
      </c>
      <c r="C3919" t="s">
        <v>15</v>
      </c>
      <c r="D3919">
        <v>2</v>
      </c>
      <c r="E3919">
        <v>13000.35</v>
      </c>
      <c r="F3919" t="s">
        <v>16</v>
      </c>
      <c r="G3919" t="s">
        <v>17</v>
      </c>
      <c r="H3919" t="s">
        <v>18</v>
      </c>
      <c r="I3919" t="s">
        <v>19</v>
      </c>
      <c r="J3919" t="s">
        <v>20</v>
      </c>
      <c r="K3919" t="s">
        <v>21</v>
      </c>
      <c r="L3919" t="s">
        <v>22</v>
      </c>
      <c r="M3919">
        <v>6500.1750000000002</v>
      </c>
      <c r="N3919">
        <v>2020</v>
      </c>
      <c r="O3919">
        <v>6</v>
      </c>
    </row>
    <row r="3920" spans="1:15" x14ac:dyDescent="0.3">
      <c r="A3920" s="1">
        <v>44011</v>
      </c>
      <c r="B3920">
        <v>1000021227</v>
      </c>
      <c r="C3920" t="s">
        <v>23</v>
      </c>
      <c r="D3920">
        <v>3</v>
      </c>
      <c r="E3920">
        <v>25000.29</v>
      </c>
      <c r="F3920" t="s">
        <v>16</v>
      </c>
      <c r="G3920" t="s">
        <v>24</v>
      </c>
      <c r="H3920" t="s">
        <v>47</v>
      </c>
      <c r="I3920" t="s">
        <v>59</v>
      </c>
      <c r="J3920" t="s">
        <v>26</v>
      </c>
      <c r="K3920" t="s">
        <v>60</v>
      </c>
      <c r="L3920" t="s">
        <v>28</v>
      </c>
      <c r="M3920">
        <v>8333.43</v>
      </c>
      <c r="N3920">
        <v>2020</v>
      </c>
      <c r="O3920">
        <v>6</v>
      </c>
    </row>
    <row r="3921" spans="1:15" x14ac:dyDescent="0.3">
      <c r="A3921" s="1">
        <v>44011</v>
      </c>
      <c r="B3921">
        <v>1000021227</v>
      </c>
      <c r="C3921" t="s">
        <v>15</v>
      </c>
      <c r="D3921">
        <v>1</v>
      </c>
      <c r="E3921">
        <v>33000.589999999997</v>
      </c>
      <c r="F3921" t="s">
        <v>16</v>
      </c>
      <c r="G3921" t="s">
        <v>17</v>
      </c>
      <c r="H3921" t="s">
        <v>47</v>
      </c>
      <c r="I3921" t="s">
        <v>59</v>
      </c>
      <c r="J3921" t="s">
        <v>26</v>
      </c>
      <c r="K3921" t="s">
        <v>60</v>
      </c>
      <c r="L3921" t="s">
        <v>28</v>
      </c>
      <c r="M3921">
        <v>33000.589999999997</v>
      </c>
      <c r="N3921">
        <v>2020</v>
      </c>
      <c r="O3921">
        <v>6</v>
      </c>
    </row>
    <row r="3922" spans="1:15" x14ac:dyDescent="0.3">
      <c r="A3922" s="1">
        <v>44011</v>
      </c>
      <c r="B3922">
        <v>1000021227</v>
      </c>
      <c r="C3922" t="s">
        <v>42</v>
      </c>
      <c r="D3922">
        <v>1</v>
      </c>
      <c r="E3922">
        <v>22000.66</v>
      </c>
      <c r="F3922" t="s">
        <v>16</v>
      </c>
      <c r="G3922" t="s">
        <v>43</v>
      </c>
      <c r="H3922" t="s">
        <v>47</v>
      </c>
      <c r="I3922" t="s">
        <v>59</v>
      </c>
      <c r="J3922" t="s">
        <v>26</v>
      </c>
      <c r="K3922" t="s">
        <v>60</v>
      </c>
      <c r="L3922" t="s">
        <v>28</v>
      </c>
      <c r="M3922">
        <v>22000.66</v>
      </c>
      <c r="N3922">
        <v>2020</v>
      </c>
      <c r="O3922">
        <v>6</v>
      </c>
    </row>
    <row r="3923" spans="1:15" x14ac:dyDescent="0.3">
      <c r="A3923" s="1">
        <v>44012</v>
      </c>
      <c r="B3923">
        <v>1000000029</v>
      </c>
      <c r="C3923" t="s">
        <v>73</v>
      </c>
      <c r="D3923">
        <v>1</v>
      </c>
      <c r="E3923">
        <v>834.7</v>
      </c>
      <c r="F3923" t="s">
        <v>16</v>
      </c>
      <c r="G3923" t="s">
        <v>74</v>
      </c>
      <c r="H3923" t="s">
        <v>18</v>
      </c>
      <c r="I3923" t="s">
        <v>19</v>
      </c>
      <c r="J3923" t="s">
        <v>20</v>
      </c>
      <c r="K3923" t="s">
        <v>21</v>
      </c>
      <c r="L3923" t="s">
        <v>22</v>
      </c>
      <c r="M3923">
        <v>834.7</v>
      </c>
      <c r="N3923">
        <v>2020</v>
      </c>
      <c r="O3923">
        <v>6</v>
      </c>
    </row>
    <row r="3924" spans="1:15" x14ac:dyDescent="0.3">
      <c r="A3924" s="1">
        <v>44012</v>
      </c>
      <c r="B3924">
        <v>1000000030</v>
      </c>
      <c r="C3924" t="s">
        <v>15</v>
      </c>
      <c r="D3924">
        <v>1</v>
      </c>
      <c r="E3924">
        <v>13000.53</v>
      </c>
      <c r="F3924" t="s">
        <v>16</v>
      </c>
      <c r="G3924" t="s">
        <v>17</v>
      </c>
      <c r="H3924" t="s">
        <v>47</v>
      </c>
      <c r="I3924" t="s">
        <v>48</v>
      </c>
      <c r="J3924" t="s">
        <v>36</v>
      </c>
      <c r="K3924" t="s">
        <v>49</v>
      </c>
      <c r="L3924" t="s">
        <v>22</v>
      </c>
      <c r="M3924">
        <v>13000.53</v>
      </c>
      <c r="N3924">
        <v>2020</v>
      </c>
      <c r="O3924">
        <v>6</v>
      </c>
    </row>
    <row r="3925" spans="1:15" x14ac:dyDescent="0.3">
      <c r="A3925" s="1">
        <v>44012</v>
      </c>
      <c r="B3925">
        <v>1000000032</v>
      </c>
      <c r="C3925" t="s">
        <v>75</v>
      </c>
      <c r="D3925">
        <v>1</v>
      </c>
      <c r="E3925">
        <v>2372.44</v>
      </c>
      <c r="F3925" t="s">
        <v>16</v>
      </c>
      <c r="G3925" t="s">
        <v>76</v>
      </c>
      <c r="H3925" t="s">
        <v>18</v>
      </c>
      <c r="I3925" t="s">
        <v>25</v>
      </c>
      <c r="J3925" t="s">
        <v>26</v>
      </c>
      <c r="K3925" t="s">
        <v>27</v>
      </c>
      <c r="L3925" t="s">
        <v>28</v>
      </c>
      <c r="M3925">
        <v>2372.44</v>
      </c>
      <c r="N3925">
        <v>2020</v>
      </c>
      <c r="O3925">
        <v>6</v>
      </c>
    </row>
    <row r="3926" spans="1:15" x14ac:dyDescent="0.3">
      <c r="A3926" s="1">
        <v>44012</v>
      </c>
      <c r="B3926">
        <v>1000000032</v>
      </c>
      <c r="C3926" t="s">
        <v>42</v>
      </c>
      <c r="D3926">
        <v>1</v>
      </c>
      <c r="E3926">
        <v>3000.07</v>
      </c>
      <c r="F3926" t="s">
        <v>16</v>
      </c>
      <c r="G3926" t="s">
        <v>43</v>
      </c>
      <c r="H3926" t="s">
        <v>18</v>
      </c>
      <c r="I3926" t="s">
        <v>25</v>
      </c>
      <c r="J3926" t="s">
        <v>26</v>
      </c>
      <c r="K3926" t="s">
        <v>27</v>
      </c>
      <c r="L3926" t="s">
        <v>28</v>
      </c>
      <c r="M3926">
        <v>3000.07</v>
      </c>
      <c r="N3926">
        <v>2020</v>
      </c>
      <c r="O3926">
        <v>6</v>
      </c>
    </row>
    <row r="3927" spans="1:15" x14ac:dyDescent="0.3">
      <c r="A3927" s="1">
        <v>44012</v>
      </c>
      <c r="B3927">
        <v>1000000034</v>
      </c>
      <c r="C3927" t="s">
        <v>42</v>
      </c>
      <c r="D3927">
        <v>1</v>
      </c>
      <c r="E3927">
        <v>18000.22</v>
      </c>
      <c r="F3927" t="s">
        <v>16</v>
      </c>
      <c r="G3927" t="s">
        <v>43</v>
      </c>
      <c r="H3927" t="s">
        <v>18</v>
      </c>
      <c r="I3927" t="s">
        <v>25</v>
      </c>
      <c r="J3927" t="s">
        <v>26</v>
      </c>
      <c r="K3927" t="s">
        <v>27</v>
      </c>
      <c r="L3927" t="s">
        <v>22</v>
      </c>
      <c r="M3927">
        <v>18000.22</v>
      </c>
      <c r="N3927">
        <v>2020</v>
      </c>
      <c r="O3927">
        <v>6</v>
      </c>
    </row>
    <row r="3928" spans="1:15" x14ac:dyDescent="0.3">
      <c r="A3928" s="1">
        <v>44012</v>
      </c>
      <c r="B3928">
        <v>1000000035</v>
      </c>
      <c r="C3928" t="s">
        <v>15</v>
      </c>
      <c r="D3928">
        <v>1</v>
      </c>
      <c r="E3928">
        <v>2000.39</v>
      </c>
      <c r="F3928" t="s">
        <v>16</v>
      </c>
      <c r="G3928" t="s">
        <v>17</v>
      </c>
      <c r="H3928" t="s">
        <v>18</v>
      </c>
      <c r="I3928" t="s">
        <v>25</v>
      </c>
      <c r="J3928" t="s">
        <v>36</v>
      </c>
      <c r="K3928" t="s">
        <v>37</v>
      </c>
      <c r="L3928" t="s">
        <v>22</v>
      </c>
      <c r="M3928">
        <v>2000.39</v>
      </c>
      <c r="N3928">
        <v>2020</v>
      </c>
      <c r="O3928">
        <v>6</v>
      </c>
    </row>
    <row r="3929" spans="1:15" x14ac:dyDescent="0.3">
      <c r="A3929" s="1">
        <v>44012</v>
      </c>
      <c r="B3929">
        <v>1000000036</v>
      </c>
      <c r="C3929" t="s">
        <v>75</v>
      </c>
      <c r="D3929">
        <v>1</v>
      </c>
      <c r="E3929">
        <v>1999.99</v>
      </c>
      <c r="F3929" t="s">
        <v>16</v>
      </c>
      <c r="G3929" t="s">
        <v>76</v>
      </c>
      <c r="H3929" t="s">
        <v>47</v>
      </c>
      <c r="I3929" t="s">
        <v>48</v>
      </c>
      <c r="J3929" t="s">
        <v>36</v>
      </c>
      <c r="K3929" t="s">
        <v>49</v>
      </c>
      <c r="L3929" t="s">
        <v>28</v>
      </c>
      <c r="M3929">
        <v>1999.99</v>
      </c>
      <c r="N3929">
        <v>2020</v>
      </c>
      <c r="O3929">
        <v>6</v>
      </c>
    </row>
    <row r="3930" spans="1:15" x14ac:dyDescent="0.3">
      <c r="A3930" s="1">
        <v>44012</v>
      </c>
      <c r="B3930">
        <v>1000000036</v>
      </c>
      <c r="C3930" t="s">
        <v>23</v>
      </c>
      <c r="D3930">
        <v>1</v>
      </c>
      <c r="E3930">
        <v>3000.46</v>
      </c>
      <c r="F3930" t="s">
        <v>16</v>
      </c>
      <c r="G3930" t="s">
        <v>24</v>
      </c>
      <c r="H3930" t="s">
        <v>47</v>
      </c>
      <c r="I3930" t="s">
        <v>48</v>
      </c>
      <c r="J3930" t="s">
        <v>36</v>
      </c>
      <c r="K3930" t="s">
        <v>49</v>
      </c>
      <c r="L3930" t="s">
        <v>28</v>
      </c>
      <c r="M3930">
        <v>3000.46</v>
      </c>
      <c r="N3930">
        <v>2020</v>
      </c>
      <c r="O3930">
        <v>6</v>
      </c>
    </row>
    <row r="3931" spans="1:15" x14ac:dyDescent="0.3">
      <c r="A3931" s="1">
        <v>44012</v>
      </c>
      <c r="B3931">
        <v>1000000037</v>
      </c>
      <c r="C3931" t="s">
        <v>73</v>
      </c>
      <c r="D3931">
        <v>1</v>
      </c>
      <c r="E3931">
        <v>1261.6600000000001</v>
      </c>
      <c r="F3931" t="s">
        <v>16</v>
      </c>
      <c r="G3931" t="s">
        <v>74</v>
      </c>
      <c r="H3931" t="s">
        <v>18</v>
      </c>
      <c r="I3931" t="s">
        <v>19</v>
      </c>
      <c r="J3931" t="s">
        <v>20</v>
      </c>
      <c r="K3931" t="s">
        <v>21</v>
      </c>
      <c r="L3931" t="s">
        <v>22</v>
      </c>
      <c r="M3931">
        <v>1261.6600000000001</v>
      </c>
      <c r="N3931">
        <v>2020</v>
      </c>
      <c r="O3931">
        <v>6</v>
      </c>
    </row>
    <row r="3932" spans="1:15" x14ac:dyDescent="0.3">
      <c r="A3932" s="1">
        <v>44012</v>
      </c>
      <c r="B3932">
        <v>1000000037</v>
      </c>
      <c r="C3932" t="s">
        <v>15</v>
      </c>
      <c r="D3932">
        <v>2</v>
      </c>
      <c r="E3932">
        <v>1635.49</v>
      </c>
      <c r="F3932" t="s">
        <v>16</v>
      </c>
      <c r="G3932" t="s">
        <v>17</v>
      </c>
      <c r="H3932" t="s">
        <v>18</v>
      </c>
      <c r="I3932" t="s">
        <v>19</v>
      </c>
      <c r="J3932" t="s">
        <v>20</v>
      </c>
      <c r="K3932" t="s">
        <v>21</v>
      </c>
      <c r="L3932" t="s">
        <v>22</v>
      </c>
      <c r="M3932">
        <v>817.745</v>
      </c>
      <c r="N3932">
        <v>2020</v>
      </c>
      <c r="O3932">
        <v>6</v>
      </c>
    </row>
    <row r="3933" spans="1:15" x14ac:dyDescent="0.3">
      <c r="A3933" s="1">
        <v>44012</v>
      </c>
      <c r="B3933">
        <v>1000000039</v>
      </c>
      <c r="C3933" t="s">
        <v>15</v>
      </c>
      <c r="D3933">
        <v>1</v>
      </c>
      <c r="E3933">
        <v>12000.67</v>
      </c>
      <c r="F3933" t="s">
        <v>16</v>
      </c>
      <c r="G3933" t="s">
        <v>17</v>
      </c>
      <c r="H3933" t="s">
        <v>18</v>
      </c>
      <c r="I3933" t="s">
        <v>25</v>
      </c>
      <c r="J3933" t="s">
        <v>20</v>
      </c>
      <c r="K3933" t="s">
        <v>51</v>
      </c>
      <c r="L3933" t="s">
        <v>28</v>
      </c>
      <c r="M3933">
        <v>12000.67</v>
      </c>
      <c r="N3933">
        <v>2020</v>
      </c>
      <c r="O3933">
        <v>6</v>
      </c>
    </row>
    <row r="3934" spans="1:15" x14ac:dyDescent="0.3">
      <c r="A3934" s="1">
        <v>44012</v>
      </c>
      <c r="B3934">
        <v>1000000040</v>
      </c>
      <c r="C3934" t="s">
        <v>23</v>
      </c>
      <c r="D3934">
        <v>1</v>
      </c>
      <c r="E3934">
        <v>14999.97</v>
      </c>
      <c r="F3934" t="s">
        <v>16</v>
      </c>
      <c r="G3934" t="s">
        <v>24</v>
      </c>
      <c r="H3934" t="s">
        <v>30</v>
      </c>
      <c r="I3934" t="s">
        <v>31</v>
      </c>
      <c r="J3934" t="s">
        <v>32</v>
      </c>
      <c r="K3934" t="s">
        <v>33</v>
      </c>
      <c r="L3934" t="s">
        <v>28</v>
      </c>
      <c r="M3934">
        <v>14999.97</v>
      </c>
      <c r="N3934">
        <v>2020</v>
      </c>
      <c r="O3934">
        <v>6</v>
      </c>
    </row>
    <row r="3935" spans="1:15" x14ac:dyDescent="0.3">
      <c r="A3935" s="1">
        <v>44012</v>
      </c>
      <c r="B3935">
        <v>1000000043</v>
      </c>
      <c r="C3935" t="s">
        <v>23</v>
      </c>
      <c r="D3935">
        <v>1</v>
      </c>
      <c r="E3935">
        <v>5000.63</v>
      </c>
      <c r="F3935" t="s">
        <v>16</v>
      </c>
      <c r="G3935" t="s">
        <v>24</v>
      </c>
      <c r="H3935" t="s">
        <v>30</v>
      </c>
      <c r="I3935" t="s">
        <v>38</v>
      </c>
      <c r="J3935" t="s">
        <v>26</v>
      </c>
      <c r="K3935" t="s">
        <v>39</v>
      </c>
      <c r="L3935" t="s">
        <v>22</v>
      </c>
      <c r="M3935">
        <v>5000.63</v>
      </c>
      <c r="N3935">
        <v>2020</v>
      </c>
      <c r="O3935">
        <v>6</v>
      </c>
    </row>
    <row r="3936" spans="1:15" x14ac:dyDescent="0.3">
      <c r="A3936" s="1">
        <v>44012</v>
      </c>
      <c r="B3936">
        <v>1000000044</v>
      </c>
      <c r="C3936" t="s">
        <v>23</v>
      </c>
      <c r="D3936">
        <v>2</v>
      </c>
      <c r="E3936">
        <v>1721.55</v>
      </c>
      <c r="F3936" t="s">
        <v>16</v>
      </c>
      <c r="G3936" t="s">
        <v>24</v>
      </c>
      <c r="H3936" t="s">
        <v>30</v>
      </c>
      <c r="I3936" t="s">
        <v>31</v>
      </c>
      <c r="J3936" t="s">
        <v>36</v>
      </c>
      <c r="K3936" t="s">
        <v>52</v>
      </c>
      <c r="L3936" t="s">
        <v>28</v>
      </c>
      <c r="M3936">
        <v>860.77499999999998</v>
      </c>
      <c r="N3936">
        <v>2020</v>
      </c>
      <c r="O3936">
        <v>6</v>
      </c>
    </row>
    <row r="3937" spans="1:15" x14ac:dyDescent="0.3">
      <c r="A3937" s="1">
        <v>44012</v>
      </c>
      <c r="B3937">
        <v>1000000045</v>
      </c>
      <c r="C3937" t="s">
        <v>73</v>
      </c>
      <c r="D3937">
        <v>1</v>
      </c>
      <c r="E3937">
        <v>1021.16</v>
      </c>
      <c r="F3937" t="s">
        <v>16</v>
      </c>
      <c r="G3937" t="s">
        <v>74</v>
      </c>
      <c r="H3937" t="s">
        <v>47</v>
      </c>
      <c r="I3937" t="s">
        <v>59</v>
      </c>
      <c r="J3937" t="s">
        <v>26</v>
      </c>
      <c r="K3937" t="s">
        <v>60</v>
      </c>
      <c r="L3937" t="s">
        <v>22</v>
      </c>
      <c r="M3937">
        <v>1021.16</v>
      </c>
      <c r="N3937">
        <v>2020</v>
      </c>
      <c r="O3937">
        <v>6</v>
      </c>
    </row>
    <row r="3938" spans="1:15" x14ac:dyDescent="0.3">
      <c r="A3938" s="1">
        <v>44012</v>
      </c>
      <c r="B3938">
        <v>1000000047</v>
      </c>
      <c r="C3938" t="s">
        <v>71</v>
      </c>
      <c r="D3938">
        <v>1</v>
      </c>
      <c r="E3938">
        <v>1000.28</v>
      </c>
      <c r="F3938" t="s">
        <v>16</v>
      </c>
      <c r="G3938" t="s">
        <v>72</v>
      </c>
      <c r="H3938" t="s">
        <v>47</v>
      </c>
      <c r="I3938" t="s">
        <v>48</v>
      </c>
      <c r="J3938" t="s">
        <v>26</v>
      </c>
      <c r="K3938" t="s">
        <v>50</v>
      </c>
      <c r="L3938" t="s">
        <v>22</v>
      </c>
      <c r="M3938">
        <v>1000.28</v>
      </c>
      <c r="N3938">
        <v>2020</v>
      </c>
      <c r="O3938">
        <v>6</v>
      </c>
    </row>
    <row r="3939" spans="1:15" x14ac:dyDescent="0.3">
      <c r="A3939" s="1">
        <v>44012</v>
      </c>
      <c r="B3939">
        <v>1000000054</v>
      </c>
      <c r="C3939" t="s">
        <v>23</v>
      </c>
      <c r="D3939">
        <v>1</v>
      </c>
      <c r="E3939">
        <v>10000.69</v>
      </c>
      <c r="F3939" t="s">
        <v>16</v>
      </c>
      <c r="G3939" t="s">
        <v>24</v>
      </c>
      <c r="H3939" t="s">
        <v>18</v>
      </c>
      <c r="I3939" t="s">
        <v>34</v>
      </c>
      <c r="J3939" t="s">
        <v>26</v>
      </c>
      <c r="K3939" t="s">
        <v>35</v>
      </c>
      <c r="L3939" t="s">
        <v>22</v>
      </c>
      <c r="M3939">
        <v>10000.69</v>
      </c>
      <c r="N3939">
        <v>2020</v>
      </c>
      <c r="O3939">
        <v>6</v>
      </c>
    </row>
    <row r="3940" spans="1:15" x14ac:dyDescent="0.3">
      <c r="A3940" s="1">
        <v>44012</v>
      </c>
      <c r="B3940">
        <v>1000000056</v>
      </c>
      <c r="C3940" t="s">
        <v>75</v>
      </c>
      <c r="D3940">
        <v>1</v>
      </c>
      <c r="E3940">
        <v>1000.59</v>
      </c>
      <c r="F3940" t="s">
        <v>16</v>
      </c>
      <c r="G3940" t="s">
        <v>76</v>
      </c>
      <c r="H3940" t="s">
        <v>18</v>
      </c>
      <c r="I3940" t="s">
        <v>34</v>
      </c>
      <c r="J3940" t="s">
        <v>26</v>
      </c>
      <c r="K3940" t="s">
        <v>35</v>
      </c>
      <c r="L3940" t="s">
        <v>28</v>
      </c>
      <c r="M3940">
        <v>1000.59</v>
      </c>
      <c r="N3940">
        <v>2020</v>
      </c>
      <c r="O3940">
        <v>6</v>
      </c>
    </row>
    <row r="3941" spans="1:15" x14ac:dyDescent="0.3">
      <c r="A3941" s="1">
        <v>44012</v>
      </c>
      <c r="B3941">
        <v>1000000056</v>
      </c>
      <c r="C3941" t="s">
        <v>23</v>
      </c>
      <c r="D3941">
        <v>1</v>
      </c>
      <c r="E3941">
        <v>499.99</v>
      </c>
      <c r="F3941" t="s">
        <v>16</v>
      </c>
      <c r="G3941" t="s">
        <v>24</v>
      </c>
      <c r="H3941" t="s">
        <v>18</v>
      </c>
      <c r="I3941" t="s">
        <v>34</v>
      </c>
      <c r="J3941" t="s">
        <v>26</v>
      </c>
      <c r="K3941" t="s">
        <v>35</v>
      </c>
      <c r="L3941" t="s">
        <v>28</v>
      </c>
      <c r="M3941">
        <v>499.99</v>
      </c>
      <c r="N3941">
        <v>2020</v>
      </c>
      <c r="O3941">
        <v>6</v>
      </c>
    </row>
    <row r="3942" spans="1:15" x14ac:dyDescent="0.3">
      <c r="A3942" s="1">
        <v>44012</v>
      </c>
      <c r="B3942">
        <v>1000000056</v>
      </c>
      <c r="C3942" t="s">
        <v>15</v>
      </c>
      <c r="D3942">
        <v>3</v>
      </c>
      <c r="E3942">
        <v>25001.35</v>
      </c>
      <c r="F3942" t="s">
        <v>16</v>
      </c>
      <c r="G3942" t="s">
        <v>17</v>
      </c>
      <c r="H3942" t="s">
        <v>18</v>
      </c>
      <c r="I3942" t="s">
        <v>34</v>
      </c>
      <c r="J3942" t="s">
        <v>26</v>
      </c>
      <c r="K3942" t="s">
        <v>35</v>
      </c>
      <c r="L3942" t="s">
        <v>28</v>
      </c>
      <c r="M3942">
        <v>8333.7833333333328</v>
      </c>
      <c r="N3942">
        <v>2020</v>
      </c>
      <c r="O3942">
        <v>6</v>
      </c>
    </row>
    <row r="3943" spans="1:15" x14ac:dyDescent="0.3">
      <c r="A3943" s="1">
        <v>44012</v>
      </c>
      <c r="B3943">
        <v>1000000068</v>
      </c>
      <c r="C3943" t="s">
        <v>75</v>
      </c>
      <c r="D3943">
        <v>1</v>
      </c>
      <c r="E3943">
        <v>1500.38</v>
      </c>
      <c r="F3943" t="s">
        <v>16</v>
      </c>
      <c r="G3943" t="s">
        <v>76</v>
      </c>
      <c r="H3943" t="s">
        <v>30</v>
      </c>
      <c r="I3943" t="s">
        <v>55</v>
      </c>
      <c r="J3943" t="s">
        <v>26</v>
      </c>
      <c r="K3943" t="s">
        <v>56</v>
      </c>
      <c r="L3943" t="s">
        <v>28</v>
      </c>
      <c r="M3943">
        <v>1500.38</v>
      </c>
      <c r="N3943">
        <v>2020</v>
      </c>
      <c r="O3943">
        <v>6</v>
      </c>
    </row>
    <row r="3944" spans="1:15" x14ac:dyDescent="0.3">
      <c r="A3944" s="1">
        <v>44012</v>
      </c>
      <c r="B3944">
        <v>1000000068</v>
      </c>
      <c r="C3944" t="s">
        <v>23</v>
      </c>
      <c r="D3944">
        <v>1</v>
      </c>
      <c r="E3944">
        <v>11000.66</v>
      </c>
      <c r="F3944" t="s">
        <v>16</v>
      </c>
      <c r="G3944" t="s">
        <v>24</v>
      </c>
      <c r="H3944" t="s">
        <v>30</v>
      </c>
      <c r="I3944" t="s">
        <v>55</v>
      </c>
      <c r="J3944" t="s">
        <v>26</v>
      </c>
      <c r="K3944" t="s">
        <v>56</v>
      </c>
      <c r="L3944" t="s">
        <v>28</v>
      </c>
      <c r="M3944">
        <v>11000.66</v>
      </c>
      <c r="N3944">
        <v>2020</v>
      </c>
      <c r="O3944">
        <v>6</v>
      </c>
    </row>
    <row r="3945" spans="1:15" x14ac:dyDescent="0.3">
      <c r="A3945" s="1">
        <v>44012</v>
      </c>
      <c r="B3945">
        <v>1000000104</v>
      </c>
      <c r="C3945" t="s">
        <v>75</v>
      </c>
      <c r="D3945">
        <v>1</v>
      </c>
      <c r="E3945">
        <v>2000.24</v>
      </c>
      <c r="F3945" t="s">
        <v>16</v>
      </c>
      <c r="G3945" t="s">
        <v>76</v>
      </c>
      <c r="H3945" t="s">
        <v>18</v>
      </c>
      <c r="I3945" t="s">
        <v>40</v>
      </c>
      <c r="J3945" t="s">
        <v>26</v>
      </c>
      <c r="K3945" t="s">
        <v>41</v>
      </c>
      <c r="L3945" t="s">
        <v>22</v>
      </c>
      <c r="M3945">
        <v>2000.24</v>
      </c>
      <c r="N3945">
        <v>2020</v>
      </c>
      <c r="O3945">
        <v>6</v>
      </c>
    </row>
    <row r="3946" spans="1:15" x14ac:dyDescent="0.3">
      <c r="A3946" s="1">
        <v>44012</v>
      </c>
      <c r="B3946">
        <v>1000000114</v>
      </c>
      <c r="C3946" t="s">
        <v>15</v>
      </c>
      <c r="D3946">
        <v>1</v>
      </c>
      <c r="E3946">
        <v>2000.12</v>
      </c>
      <c r="F3946" t="s">
        <v>16</v>
      </c>
      <c r="G3946" t="s">
        <v>17</v>
      </c>
      <c r="H3946" t="s">
        <v>18</v>
      </c>
      <c r="I3946" t="s">
        <v>40</v>
      </c>
      <c r="J3946" t="s">
        <v>26</v>
      </c>
      <c r="K3946" t="s">
        <v>41</v>
      </c>
      <c r="L3946" t="s">
        <v>22</v>
      </c>
      <c r="M3946">
        <v>2000.12</v>
      </c>
      <c r="N3946">
        <v>2020</v>
      </c>
      <c r="O3946">
        <v>6</v>
      </c>
    </row>
    <row r="3947" spans="1:15" x14ac:dyDescent="0.3">
      <c r="A3947" s="1">
        <v>44012</v>
      </c>
      <c r="B3947">
        <v>1000000237</v>
      </c>
      <c r="C3947" t="s">
        <v>75</v>
      </c>
      <c r="D3947">
        <v>1</v>
      </c>
      <c r="E3947">
        <v>686.18</v>
      </c>
      <c r="F3947" t="s">
        <v>16</v>
      </c>
      <c r="G3947" t="s">
        <v>76</v>
      </c>
      <c r="H3947" t="s">
        <v>18</v>
      </c>
      <c r="I3947" t="s">
        <v>40</v>
      </c>
      <c r="J3947" t="s">
        <v>26</v>
      </c>
      <c r="K3947" t="s">
        <v>41</v>
      </c>
      <c r="L3947" t="s">
        <v>22</v>
      </c>
      <c r="M3947">
        <v>686.18</v>
      </c>
      <c r="N3947">
        <v>2020</v>
      </c>
      <c r="O3947">
        <v>6</v>
      </c>
    </row>
    <row r="3948" spans="1:15" x14ac:dyDescent="0.3">
      <c r="A3948" s="1">
        <v>44012</v>
      </c>
      <c r="B3948">
        <v>1000000566</v>
      </c>
      <c r="C3948" t="s">
        <v>23</v>
      </c>
      <c r="D3948">
        <v>1</v>
      </c>
      <c r="E3948">
        <v>3500.76</v>
      </c>
      <c r="F3948" t="s">
        <v>16</v>
      </c>
      <c r="G3948" t="s">
        <v>24</v>
      </c>
      <c r="H3948" t="s">
        <v>47</v>
      </c>
      <c r="I3948" t="s">
        <v>48</v>
      </c>
      <c r="J3948" t="s">
        <v>36</v>
      </c>
      <c r="K3948" t="s">
        <v>49</v>
      </c>
      <c r="L3948" t="s">
        <v>22</v>
      </c>
      <c r="M3948">
        <v>3500.76</v>
      </c>
      <c r="N3948">
        <v>2020</v>
      </c>
      <c r="O3948">
        <v>6</v>
      </c>
    </row>
    <row r="3949" spans="1:15" x14ac:dyDescent="0.3">
      <c r="A3949" s="1">
        <v>44012</v>
      </c>
      <c r="B3949">
        <v>1000000566</v>
      </c>
      <c r="C3949" t="s">
        <v>42</v>
      </c>
      <c r="D3949">
        <v>1</v>
      </c>
      <c r="E3949">
        <v>14000.15</v>
      </c>
      <c r="F3949" t="s">
        <v>16</v>
      </c>
      <c r="G3949" t="s">
        <v>43</v>
      </c>
      <c r="H3949" t="s">
        <v>47</v>
      </c>
      <c r="I3949" t="s">
        <v>48</v>
      </c>
      <c r="J3949" t="s">
        <v>36</v>
      </c>
      <c r="K3949" t="s">
        <v>49</v>
      </c>
      <c r="L3949" t="s">
        <v>22</v>
      </c>
      <c r="M3949">
        <v>14000.15</v>
      </c>
      <c r="N3949">
        <v>2020</v>
      </c>
      <c r="O3949">
        <v>6</v>
      </c>
    </row>
    <row r="3950" spans="1:15" x14ac:dyDescent="0.3">
      <c r="A3950" s="1">
        <v>44012</v>
      </c>
      <c r="B3950">
        <v>1000000928</v>
      </c>
      <c r="C3950" t="s">
        <v>23</v>
      </c>
      <c r="D3950">
        <v>1</v>
      </c>
      <c r="E3950">
        <v>8999.94</v>
      </c>
      <c r="F3950" t="s">
        <v>16</v>
      </c>
      <c r="G3950" t="s">
        <v>24</v>
      </c>
      <c r="H3950" t="s">
        <v>30</v>
      </c>
      <c r="I3950" t="s">
        <v>57</v>
      </c>
      <c r="J3950" t="s">
        <v>26</v>
      </c>
      <c r="K3950" t="s">
        <v>58</v>
      </c>
      <c r="L3950" t="s">
        <v>22</v>
      </c>
      <c r="M3950">
        <v>8999.94</v>
      </c>
      <c r="N3950">
        <v>2020</v>
      </c>
      <c r="O3950">
        <v>6</v>
      </c>
    </row>
    <row r="3951" spans="1:15" x14ac:dyDescent="0.3">
      <c r="A3951" s="1">
        <v>44012</v>
      </c>
      <c r="B3951">
        <v>1000001524</v>
      </c>
      <c r="C3951" t="s">
        <v>23</v>
      </c>
      <c r="D3951">
        <v>1</v>
      </c>
      <c r="E3951">
        <v>15000.7</v>
      </c>
      <c r="F3951" t="s">
        <v>16</v>
      </c>
      <c r="G3951" t="s">
        <v>24</v>
      </c>
      <c r="H3951" t="s">
        <v>18</v>
      </c>
      <c r="I3951" t="s">
        <v>25</v>
      </c>
      <c r="J3951" t="s">
        <v>20</v>
      </c>
      <c r="K3951" t="s">
        <v>51</v>
      </c>
      <c r="L3951" t="s">
        <v>22</v>
      </c>
      <c r="M3951">
        <v>15000.7</v>
      </c>
      <c r="N3951">
        <v>2020</v>
      </c>
      <c r="O3951">
        <v>6</v>
      </c>
    </row>
    <row r="3952" spans="1:15" x14ac:dyDescent="0.3">
      <c r="A3952" s="1">
        <v>44012</v>
      </c>
      <c r="B3952">
        <v>1000002134</v>
      </c>
      <c r="C3952" t="s">
        <v>42</v>
      </c>
      <c r="D3952">
        <v>1</v>
      </c>
      <c r="E3952">
        <v>24000.15</v>
      </c>
      <c r="F3952" t="s">
        <v>16</v>
      </c>
      <c r="G3952" t="s">
        <v>43</v>
      </c>
      <c r="H3952" t="s">
        <v>18</v>
      </c>
      <c r="I3952" t="s">
        <v>40</v>
      </c>
      <c r="J3952" t="s">
        <v>20</v>
      </c>
      <c r="K3952" t="s">
        <v>68</v>
      </c>
      <c r="L3952" t="s">
        <v>22</v>
      </c>
      <c r="M3952">
        <v>24000.15</v>
      </c>
      <c r="N3952">
        <v>2020</v>
      </c>
      <c r="O3952">
        <v>6</v>
      </c>
    </row>
    <row r="3953" spans="1:15" x14ac:dyDescent="0.3">
      <c r="A3953" s="1">
        <v>44012</v>
      </c>
      <c r="B3953">
        <v>1000003926</v>
      </c>
      <c r="C3953" t="s">
        <v>75</v>
      </c>
      <c r="D3953">
        <v>1</v>
      </c>
      <c r="E3953">
        <v>1257.49</v>
      </c>
      <c r="F3953" t="s">
        <v>16</v>
      </c>
      <c r="G3953" t="s">
        <v>76</v>
      </c>
      <c r="H3953" t="s">
        <v>47</v>
      </c>
      <c r="I3953" t="s">
        <v>48</v>
      </c>
      <c r="J3953" t="s">
        <v>26</v>
      </c>
      <c r="K3953" t="s">
        <v>50</v>
      </c>
      <c r="L3953" t="s">
        <v>28</v>
      </c>
      <c r="M3953">
        <v>1257.49</v>
      </c>
      <c r="N3953">
        <v>2020</v>
      </c>
      <c r="O3953">
        <v>6</v>
      </c>
    </row>
    <row r="3954" spans="1:15" x14ac:dyDescent="0.3">
      <c r="A3954" s="1">
        <v>44012</v>
      </c>
      <c r="B3954">
        <v>1000003926</v>
      </c>
      <c r="C3954" t="s">
        <v>23</v>
      </c>
      <c r="D3954">
        <v>2</v>
      </c>
      <c r="E3954">
        <v>10000.380000000001</v>
      </c>
      <c r="F3954" t="s">
        <v>16</v>
      </c>
      <c r="G3954" t="s">
        <v>24</v>
      </c>
      <c r="H3954" t="s">
        <v>47</v>
      </c>
      <c r="I3954" t="s">
        <v>48</v>
      </c>
      <c r="J3954" t="s">
        <v>26</v>
      </c>
      <c r="K3954" t="s">
        <v>50</v>
      </c>
      <c r="L3954" t="s">
        <v>28</v>
      </c>
      <c r="M3954">
        <v>5000.1900000000005</v>
      </c>
      <c r="N3954">
        <v>2020</v>
      </c>
      <c r="O3954">
        <v>6</v>
      </c>
    </row>
    <row r="3955" spans="1:15" x14ac:dyDescent="0.3">
      <c r="A3955" s="1">
        <v>44012</v>
      </c>
      <c r="B3955">
        <v>1000004170</v>
      </c>
      <c r="C3955" t="s">
        <v>23</v>
      </c>
      <c r="D3955">
        <v>4</v>
      </c>
      <c r="E3955">
        <v>34001.35</v>
      </c>
      <c r="F3955" t="s">
        <v>16</v>
      </c>
      <c r="G3955" t="s">
        <v>24</v>
      </c>
      <c r="H3955" t="s">
        <v>18</v>
      </c>
      <c r="I3955" t="s">
        <v>34</v>
      </c>
      <c r="J3955" t="s">
        <v>20</v>
      </c>
      <c r="K3955" t="s">
        <v>44</v>
      </c>
      <c r="L3955" t="s">
        <v>28</v>
      </c>
      <c r="M3955">
        <v>8500.3374999999996</v>
      </c>
      <c r="N3955">
        <v>2020</v>
      </c>
      <c r="O3955">
        <v>6</v>
      </c>
    </row>
    <row r="3956" spans="1:15" x14ac:dyDescent="0.3">
      <c r="A3956" s="1">
        <v>44012</v>
      </c>
      <c r="B3956">
        <v>1000004170</v>
      </c>
      <c r="C3956" t="s">
        <v>15</v>
      </c>
      <c r="D3956">
        <v>1</v>
      </c>
      <c r="E3956">
        <v>7500.07</v>
      </c>
      <c r="F3956" t="s">
        <v>16</v>
      </c>
      <c r="G3956" t="s">
        <v>17</v>
      </c>
      <c r="H3956" t="s">
        <v>18</v>
      </c>
      <c r="I3956" t="s">
        <v>34</v>
      </c>
      <c r="J3956" t="s">
        <v>20</v>
      </c>
      <c r="K3956" t="s">
        <v>44</v>
      </c>
      <c r="L3956" t="s">
        <v>28</v>
      </c>
      <c r="M3956">
        <v>7500.07</v>
      </c>
      <c r="N3956">
        <v>2020</v>
      </c>
      <c r="O3956">
        <v>6</v>
      </c>
    </row>
    <row r="3957" spans="1:15" x14ac:dyDescent="0.3">
      <c r="A3957" s="1">
        <v>44012</v>
      </c>
      <c r="B3957">
        <v>1000004170</v>
      </c>
      <c r="C3957" t="s">
        <v>42</v>
      </c>
      <c r="D3957">
        <v>1</v>
      </c>
      <c r="E3957">
        <v>15000.67</v>
      </c>
      <c r="F3957" t="s">
        <v>16</v>
      </c>
      <c r="G3957" t="s">
        <v>43</v>
      </c>
      <c r="H3957" t="s">
        <v>18</v>
      </c>
      <c r="I3957" t="s">
        <v>34</v>
      </c>
      <c r="J3957" t="s">
        <v>20</v>
      </c>
      <c r="K3957" t="s">
        <v>44</v>
      </c>
      <c r="L3957" t="s">
        <v>28</v>
      </c>
      <c r="M3957">
        <v>15000.67</v>
      </c>
      <c r="N3957">
        <v>2020</v>
      </c>
      <c r="O3957">
        <v>6</v>
      </c>
    </row>
    <row r="3958" spans="1:15" x14ac:dyDescent="0.3">
      <c r="A3958" s="1">
        <v>44012</v>
      </c>
      <c r="B3958">
        <v>1000005873</v>
      </c>
      <c r="C3958" t="s">
        <v>75</v>
      </c>
      <c r="D3958">
        <v>2</v>
      </c>
      <c r="E3958">
        <v>4262.17</v>
      </c>
      <c r="F3958" t="s">
        <v>16</v>
      </c>
      <c r="G3958" t="s">
        <v>76</v>
      </c>
      <c r="H3958" t="s">
        <v>18</v>
      </c>
      <c r="I3958" t="s">
        <v>19</v>
      </c>
      <c r="J3958" t="s">
        <v>20</v>
      </c>
      <c r="K3958" t="s">
        <v>21</v>
      </c>
      <c r="L3958" t="s">
        <v>28</v>
      </c>
      <c r="M3958">
        <v>2131.085</v>
      </c>
      <c r="N3958">
        <v>2020</v>
      </c>
      <c r="O3958">
        <v>6</v>
      </c>
    </row>
    <row r="3959" spans="1:15" x14ac:dyDescent="0.3">
      <c r="A3959" s="1">
        <v>44012</v>
      </c>
      <c r="B3959">
        <v>1000005873</v>
      </c>
      <c r="C3959" t="s">
        <v>15</v>
      </c>
      <c r="D3959">
        <v>1</v>
      </c>
      <c r="E3959">
        <v>10000.61</v>
      </c>
      <c r="F3959" t="s">
        <v>16</v>
      </c>
      <c r="G3959" t="s">
        <v>17</v>
      </c>
      <c r="H3959" t="s">
        <v>18</v>
      </c>
      <c r="I3959" t="s">
        <v>19</v>
      </c>
      <c r="J3959" t="s">
        <v>20</v>
      </c>
      <c r="K3959" t="s">
        <v>21</v>
      </c>
      <c r="L3959" t="s">
        <v>28</v>
      </c>
      <c r="M3959">
        <v>10000.61</v>
      </c>
      <c r="N3959">
        <v>2020</v>
      </c>
      <c r="O3959">
        <v>6</v>
      </c>
    </row>
    <row r="3960" spans="1:15" x14ac:dyDescent="0.3">
      <c r="A3960" s="1">
        <v>44012</v>
      </c>
      <c r="B3960">
        <v>1000006064</v>
      </c>
      <c r="C3960" t="s">
        <v>15</v>
      </c>
      <c r="D3960">
        <v>2</v>
      </c>
      <c r="E3960">
        <v>35001.440000000002</v>
      </c>
      <c r="F3960" t="s">
        <v>16</v>
      </c>
      <c r="G3960" t="s">
        <v>17</v>
      </c>
      <c r="H3960" t="s">
        <v>18</v>
      </c>
      <c r="I3960" t="s">
        <v>40</v>
      </c>
      <c r="J3960" t="s">
        <v>26</v>
      </c>
      <c r="K3960" t="s">
        <v>41</v>
      </c>
      <c r="L3960" t="s">
        <v>22</v>
      </c>
      <c r="M3960">
        <v>17500.72</v>
      </c>
      <c r="N3960">
        <v>2020</v>
      </c>
      <c r="O3960">
        <v>6</v>
      </c>
    </row>
    <row r="3961" spans="1:15" x14ac:dyDescent="0.3">
      <c r="A3961" s="1">
        <v>44012</v>
      </c>
      <c r="B3961">
        <v>1000007320</v>
      </c>
      <c r="C3961" t="s">
        <v>15</v>
      </c>
      <c r="D3961">
        <v>1</v>
      </c>
      <c r="E3961">
        <v>5500.38</v>
      </c>
      <c r="F3961" t="s">
        <v>16</v>
      </c>
      <c r="G3961" t="s">
        <v>17</v>
      </c>
      <c r="H3961" t="s">
        <v>18</v>
      </c>
      <c r="I3961" t="s">
        <v>34</v>
      </c>
      <c r="J3961" t="s">
        <v>26</v>
      </c>
      <c r="K3961" t="s">
        <v>35</v>
      </c>
      <c r="L3961" t="s">
        <v>22</v>
      </c>
      <c r="M3961">
        <v>5500.38</v>
      </c>
      <c r="N3961">
        <v>2020</v>
      </c>
      <c r="O3961">
        <v>6</v>
      </c>
    </row>
    <row r="3962" spans="1:15" x14ac:dyDescent="0.3">
      <c r="A3962" s="1">
        <v>44012</v>
      </c>
      <c r="B3962">
        <v>1000008228</v>
      </c>
      <c r="C3962" t="s">
        <v>23</v>
      </c>
      <c r="D3962">
        <v>1</v>
      </c>
      <c r="E3962">
        <v>7500.13</v>
      </c>
      <c r="F3962" t="s">
        <v>16</v>
      </c>
      <c r="G3962" t="s">
        <v>24</v>
      </c>
      <c r="H3962" t="s">
        <v>30</v>
      </c>
      <c r="I3962" t="s">
        <v>31</v>
      </c>
      <c r="J3962" t="s">
        <v>36</v>
      </c>
      <c r="K3962" t="s">
        <v>52</v>
      </c>
      <c r="L3962" t="s">
        <v>22</v>
      </c>
      <c r="M3962">
        <v>7500.13</v>
      </c>
      <c r="N3962">
        <v>2020</v>
      </c>
      <c r="O3962">
        <v>6</v>
      </c>
    </row>
    <row r="3963" spans="1:15" x14ac:dyDescent="0.3">
      <c r="A3963" s="1">
        <v>44012</v>
      </c>
      <c r="B3963">
        <v>1000008239</v>
      </c>
      <c r="C3963" t="s">
        <v>15</v>
      </c>
      <c r="D3963">
        <v>1</v>
      </c>
      <c r="E3963">
        <v>22000.04</v>
      </c>
      <c r="F3963" t="s">
        <v>16</v>
      </c>
      <c r="G3963" t="s">
        <v>17</v>
      </c>
      <c r="H3963" t="s">
        <v>18</v>
      </c>
      <c r="I3963" t="s">
        <v>61</v>
      </c>
      <c r="J3963" t="s">
        <v>26</v>
      </c>
      <c r="K3963" t="s">
        <v>62</v>
      </c>
      <c r="L3963" t="s">
        <v>28</v>
      </c>
      <c r="M3963">
        <v>22000.04</v>
      </c>
      <c r="N3963">
        <v>2020</v>
      </c>
      <c r="O3963">
        <v>6</v>
      </c>
    </row>
    <row r="3964" spans="1:15" x14ac:dyDescent="0.3">
      <c r="A3964" s="1">
        <v>44012</v>
      </c>
      <c r="B3964">
        <v>1000008542</v>
      </c>
      <c r="C3964" t="s">
        <v>42</v>
      </c>
      <c r="D3964">
        <v>1</v>
      </c>
      <c r="E3964">
        <v>7000.03</v>
      </c>
      <c r="F3964" t="s">
        <v>16</v>
      </c>
      <c r="G3964" t="s">
        <v>43</v>
      </c>
      <c r="H3964" t="s">
        <v>18</v>
      </c>
      <c r="I3964" t="s">
        <v>40</v>
      </c>
      <c r="J3964" t="s">
        <v>26</v>
      </c>
      <c r="K3964" t="s">
        <v>41</v>
      </c>
      <c r="L3964" t="s">
        <v>22</v>
      </c>
      <c r="M3964">
        <v>7000.03</v>
      </c>
      <c r="N3964">
        <v>2020</v>
      </c>
      <c r="O3964">
        <v>6</v>
      </c>
    </row>
    <row r="3965" spans="1:15" x14ac:dyDescent="0.3">
      <c r="A3965" s="1">
        <v>44012</v>
      </c>
      <c r="B3965">
        <v>1000008957</v>
      </c>
      <c r="C3965" t="s">
        <v>15</v>
      </c>
      <c r="D3965">
        <v>1</v>
      </c>
      <c r="E3965">
        <v>9999.9500000000007</v>
      </c>
      <c r="F3965" t="s">
        <v>16</v>
      </c>
      <c r="G3965" t="s">
        <v>17</v>
      </c>
      <c r="H3965" t="s">
        <v>18</v>
      </c>
      <c r="I3965" t="s">
        <v>34</v>
      </c>
      <c r="J3965" t="s">
        <v>20</v>
      </c>
      <c r="K3965" t="s">
        <v>44</v>
      </c>
      <c r="L3965" t="s">
        <v>22</v>
      </c>
      <c r="M3965">
        <v>9999.9500000000007</v>
      </c>
      <c r="N3965">
        <v>2020</v>
      </c>
      <c r="O3965">
        <v>6</v>
      </c>
    </row>
    <row r="3966" spans="1:15" x14ac:dyDescent="0.3">
      <c r="A3966" s="1">
        <v>44012</v>
      </c>
      <c r="B3966">
        <v>1000009288</v>
      </c>
      <c r="C3966" t="s">
        <v>23</v>
      </c>
      <c r="D3966">
        <v>2</v>
      </c>
      <c r="E3966">
        <v>26001.15</v>
      </c>
      <c r="F3966" t="s">
        <v>16</v>
      </c>
      <c r="G3966" t="s">
        <v>24</v>
      </c>
      <c r="H3966" t="s">
        <v>18</v>
      </c>
      <c r="I3966" t="s">
        <v>25</v>
      </c>
      <c r="J3966" t="s">
        <v>20</v>
      </c>
      <c r="K3966" t="s">
        <v>51</v>
      </c>
      <c r="L3966" t="s">
        <v>22</v>
      </c>
      <c r="M3966">
        <v>13000.575000000001</v>
      </c>
      <c r="N3966">
        <v>2020</v>
      </c>
      <c r="O3966">
        <v>6</v>
      </c>
    </row>
    <row r="3967" spans="1:15" x14ac:dyDescent="0.3">
      <c r="A3967" s="1">
        <v>44012</v>
      </c>
      <c r="B3967">
        <v>1000010814</v>
      </c>
      <c r="C3967" t="s">
        <v>23</v>
      </c>
      <c r="D3967">
        <v>1</v>
      </c>
      <c r="E3967">
        <v>500.6</v>
      </c>
      <c r="F3967" t="s">
        <v>16</v>
      </c>
      <c r="G3967" t="s">
        <v>24</v>
      </c>
      <c r="H3967" t="s">
        <v>18</v>
      </c>
      <c r="I3967" t="s">
        <v>61</v>
      </c>
      <c r="J3967" t="s">
        <v>32</v>
      </c>
      <c r="K3967" t="s">
        <v>63</v>
      </c>
      <c r="L3967" t="s">
        <v>22</v>
      </c>
      <c r="M3967">
        <v>500.6</v>
      </c>
      <c r="N3967">
        <v>2020</v>
      </c>
      <c r="O3967">
        <v>6</v>
      </c>
    </row>
    <row r="3968" spans="1:15" x14ac:dyDescent="0.3">
      <c r="A3968" s="1">
        <v>44012</v>
      </c>
      <c r="B3968">
        <v>1000010837</v>
      </c>
      <c r="C3968" t="s">
        <v>15</v>
      </c>
      <c r="D3968">
        <v>1</v>
      </c>
      <c r="E3968">
        <v>16000.73</v>
      </c>
      <c r="F3968" t="s">
        <v>16</v>
      </c>
      <c r="G3968" t="s">
        <v>17</v>
      </c>
      <c r="H3968" t="s">
        <v>18</v>
      </c>
      <c r="I3968" t="s">
        <v>61</v>
      </c>
      <c r="J3968" t="s">
        <v>26</v>
      </c>
      <c r="K3968" t="s">
        <v>62</v>
      </c>
      <c r="L3968" t="s">
        <v>22</v>
      </c>
      <c r="M3968">
        <v>16000.73</v>
      </c>
      <c r="N3968">
        <v>2020</v>
      </c>
      <c r="O3968">
        <v>6</v>
      </c>
    </row>
    <row r="3969" spans="1:15" x14ac:dyDescent="0.3">
      <c r="A3969" s="1">
        <v>44012</v>
      </c>
      <c r="B3969">
        <v>1000011697</v>
      </c>
      <c r="C3969" t="s">
        <v>42</v>
      </c>
      <c r="D3969">
        <v>2</v>
      </c>
      <c r="E3969">
        <v>10800.52</v>
      </c>
      <c r="F3969" t="s">
        <v>16</v>
      </c>
      <c r="G3969" t="s">
        <v>43</v>
      </c>
      <c r="H3969" t="s">
        <v>18</v>
      </c>
      <c r="I3969" t="s">
        <v>34</v>
      </c>
      <c r="J3969" t="s">
        <v>20</v>
      </c>
      <c r="K3969" t="s">
        <v>44</v>
      </c>
      <c r="L3969" t="s">
        <v>22</v>
      </c>
      <c r="M3969">
        <v>5400.26</v>
      </c>
      <c r="N3969">
        <v>2020</v>
      </c>
      <c r="O3969">
        <v>6</v>
      </c>
    </row>
    <row r="3970" spans="1:15" x14ac:dyDescent="0.3">
      <c r="A3970" s="1">
        <v>44012</v>
      </c>
      <c r="B3970">
        <v>1000012096</v>
      </c>
      <c r="C3970" t="s">
        <v>75</v>
      </c>
      <c r="D3970">
        <v>1</v>
      </c>
      <c r="E3970">
        <v>500.38</v>
      </c>
      <c r="F3970" t="s">
        <v>16</v>
      </c>
      <c r="G3970" t="s">
        <v>76</v>
      </c>
      <c r="H3970" t="s">
        <v>18</v>
      </c>
      <c r="I3970" t="s">
        <v>19</v>
      </c>
      <c r="J3970" t="s">
        <v>26</v>
      </c>
      <c r="K3970" t="s">
        <v>29</v>
      </c>
      <c r="L3970" t="s">
        <v>22</v>
      </c>
      <c r="M3970">
        <v>500.38</v>
      </c>
      <c r="N3970">
        <v>2020</v>
      </c>
      <c r="O3970">
        <v>6</v>
      </c>
    </row>
    <row r="3971" spans="1:15" x14ac:dyDescent="0.3">
      <c r="A3971" s="1">
        <v>44012</v>
      </c>
      <c r="B3971">
        <v>1000012096</v>
      </c>
      <c r="C3971" t="s">
        <v>23</v>
      </c>
      <c r="D3971">
        <v>1</v>
      </c>
      <c r="E3971">
        <v>10000.67</v>
      </c>
      <c r="F3971" t="s">
        <v>16</v>
      </c>
      <c r="G3971" t="s">
        <v>24</v>
      </c>
      <c r="H3971" t="s">
        <v>18</v>
      </c>
      <c r="I3971" t="s">
        <v>19</v>
      </c>
      <c r="J3971" t="s">
        <v>26</v>
      </c>
      <c r="K3971" t="s">
        <v>29</v>
      </c>
      <c r="L3971" t="s">
        <v>22</v>
      </c>
      <c r="M3971">
        <v>10000.67</v>
      </c>
      <c r="N3971">
        <v>2020</v>
      </c>
      <c r="O3971">
        <v>6</v>
      </c>
    </row>
    <row r="3972" spans="1:15" x14ac:dyDescent="0.3">
      <c r="A3972" s="1">
        <v>44012</v>
      </c>
      <c r="B3972">
        <v>1000012124</v>
      </c>
      <c r="C3972" t="s">
        <v>23</v>
      </c>
      <c r="D3972">
        <v>1</v>
      </c>
      <c r="E3972">
        <v>2689.66</v>
      </c>
      <c r="F3972" t="s">
        <v>16</v>
      </c>
      <c r="G3972" t="s">
        <v>24</v>
      </c>
      <c r="H3972" t="s">
        <v>18</v>
      </c>
      <c r="I3972" t="s">
        <v>19</v>
      </c>
      <c r="J3972" t="s">
        <v>26</v>
      </c>
      <c r="K3972" t="s">
        <v>29</v>
      </c>
      <c r="L3972" t="s">
        <v>22</v>
      </c>
      <c r="M3972">
        <v>2689.66</v>
      </c>
      <c r="N3972">
        <v>2020</v>
      </c>
      <c r="O3972">
        <v>6</v>
      </c>
    </row>
    <row r="3973" spans="1:15" x14ac:dyDescent="0.3">
      <c r="A3973" s="1">
        <v>44012</v>
      </c>
      <c r="B3973">
        <v>1000012675</v>
      </c>
      <c r="C3973" t="s">
        <v>73</v>
      </c>
      <c r="D3973">
        <v>1</v>
      </c>
      <c r="E3973">
        <v>500.64</v>
      </c>
      <c r="F3973" t="s">
        <v>16</v>
      </c>
      <c r="G3973" t="s">
        <v>74</v>
      </c>
      <c r="H3973" t="s">
        <v>18</v>
      </c>
      <c r="I3973" t="s">
        <v>34</v>
      </c>
      <c r="J3973" t="s">
        <v>26</v>
      </c>
      <c r="K3973" t="s">
        <v>35</v>
      </c>
      <c r="L3973" t="s">
        <v>22</v>
      </c>
      <c r="M3973">
        <v>500.64</v>
      </c>
      <c r="N3973">
        <v>2020</v>
      </c>
      <c r="O3973">
        <v>6</v>
      </c>
    </row>
    <row r="3974" spans="1:15" x14ac:dyDescent="0.3">
      <c r="A3974" s="1">
        <v>44012</v>
      </c>
      <c r="B3974">
        <v>1000012675</v>
      </c>
      <c r="C3974" t="s">
        <v>15</v>
      </c>
      <c r="D3974">
        <v>1</v>
      </c>
      <c r="E3974">
        <v>10000.35</v>
      </c>
      <c r="F3974" t="s">
        <v>16</v>
      </c>
      <c r="G3974" t="s">
        <v>17</v>
      </c>
      <c r="H3974" t="s">
        <v>18</v>
      </c>
      <c r="I3974" t="s">
        <v>34</v>
      </c>
      <c r="J3974" t="s">
        <v>26</v>
      </c>
      <c r="K3974" t="s">
        <v>35</v>
      </c>
      <c r="L3974" t="s">
        <v>22</v>
      </c>
      <c r="M3974">
        <v>10000.35</v>
      </c>
      <c r="N3974">
        <v>2020</v>
      </c>
      <c r="O3974">
        <v>6</v>
      </c>
    </row>
    <row r="3975" spans="1:15" x14ac:dyDescent="0.3">
      <c r="A3975" s="1">
        <v>44012</v>
      </c>
      <c r="B3975">
        <v>1000014037</v>
      </c>
      <c r="C3975" t="s">
        <v>23</v>
      </c>
      <c r="D3975">
        <v>1</v>
      </c>
      <c r="E3975">
        <v>6000.44</v>
      </c>
      <c r="F3975" t="s">
        <v>16</v>
      </c>
      <c r="G3975" t="s">
        <v>24</v>
      </c>
      <c r="H3975" t="s">
        <v>18</v>
      </c>
      <c r="I3975" t="s">
        <v>25</v>
      </c>
      <c r="J3975" t="s">
        <v>36</v>
      </c>
      <c r="K3975" t="s">
        <v>37</v>
      </c>
      <c r="L3975" t="s">
        <v>22</v>
      </c>
      <c r="M3975">
        <v>6000.44</v>
      </c>
      <c r="N3975">
        <v>2020</v>
      </c>
      <c r="O3975">
        <v>6</v>
      </c>
    </row>
    <row r="3976" spans="1:15" x14ac:dyDescent="0.3">
      <c r="A3976" s="1">
        <v>44012</v>
      </c>
      <c r="B3976">
        <v>1000014291</v>
      </c>
      <c r="C3976" t="s">
        <v>15</v>
      </c>
      <c r="D3976">
        <v>1</v>
      </c>
      <c r="E3976">
        <v>14000.17</v>
      </c>
      <c r="F3976" t="s">
        <v>16</v>
      </c>
      <c r="G3976" t="s">
        <v>17</v>
      </c>
      <c r="H3976" t="s">
        <v>47</v>
      </c>
      <c r="I3976" t="s">
        <v>48</v>
      </c>
      <c r="J3976" t="s">
        <v>20</v>
      </c>
      <c r="K3976" t="s">
        <v>67</v>
      </c>
      <c r="L3976" t="s">
        <v>28</v>
      </c>
      <c r="M3976">
        <v>14000.17</v>
      </c>
      <c r="N3976">
        <v>2020</v>
      </c>
      <c r="O3976">
        <v>6</v>
      </c>
    </row>
    <row r="3977" spans="1:15" x14ac:dyDescent="0.3">
      <c r="A3977" s="1">
        <v>44012</v>
      </c>
      <c r="B3977">
        <v>1000014452</v>
      </c>
      <c r="C3977" t="s">
        <v>23</v>
      </c>
      <c r="D3977">
        <v>2</v>
      </c>
      <c r="E3977">
        <v>18000.64</v>
      </c>
      <c r="F3977" t="s">
        <v>16</v>
      </c>
      <c r="G3977" t="s">
        <v>24</v>
      </c>
      <c r="H3977" t="s">
        <v>18</v>
      </c>
      <c r="I3977" t="s">
        <v>34</v>
      </c>
      <c r="J3977" t="s">
        <v>36</v>
      </c>
      <c r="K3977" t="s">
        <v>70</v>
      </c>
      <c r="L3977" t="s">
        <v>22</v>
      </c>
      <c r="M3977">
        <v>9000.32</v>
      </c>
      <c r="N3977">
        <v>2020</v>
      </c>
      <c r="O3977">
        <v>6</v>
      </c>
    </row>
    <row r="3978" spans="1:15" x14ac:dyDescent="0.3">
      <c r="A3978" s="1">
        <v>44012</v>
      </c>
      <c r="B3978">
        <v>1000014530</v>
      </c>
      <c r="C3978" t="s">
        <v>15</v>
      </c>
      <c r="D3978">
        <v>2</v>
      </c>
      <c r="E3978">
        <v>17501.169999999998</v>
      </c>
      <c r="F3978" t="s">
        <v>16</v>
      </c>
      <c r="G3978" t="s">
        <v>17</v>
      </c>
      <c r="H3978" t="s">
        <v>47</v>
      </c>
      <c r="I3978" t="s">
        <v>65</v>
      </c>
      <c r="J3978" t="s">
        <v>26</v>
      </c>
      <c r="K3978" t="s">
        <v>66</v>
      </c>
      <c r="L3978" t="s">
        <v>22</v>
      </c>
      <c r="M3978">
        <v>8750.5849999999991</v>
      </c>
      <c r="N3978">
        <v>2020</v>
      </c>
      <c r="O3978">
        <v>6</v>
      </c>
    </row>
    <row r="3979" spans="1:15" x14ac:dyDescent="0.3">
      <c r="A3979" s="1">
        <v>44012</v>
      </c>
      <c r="B3979">
        <v>1000015015</v>
      </c>
      <c r="C3979" t="s">
        <v>15</v>
      </c>
      <c r="D3979">
        <v>2</v>
      </c>
      <c r="E3979">
        <v>21001.14</v>
      </c>
      <c r="F3979" t="s">
        <v>16</v>
      </c>
      <c r="G3979" t="s">
        <v>17</v>
      </c>
      <c r="H3979" t="s">
        <v>18</v>
      </c>
      <c r="I3979" t="s">
        <v>61</v>
      </c>
      <c r="J3979" t="s">
        <v>26</v>
      </c>
      <c r="K3979" t="s">
        <v>62</v>
      </c>
      <c r="L3979" t="s">
        <v>22</v>
      </c>
      <c r="M3979">
        <v>10500.57</v>
      </c>
      <c r="N3979">
        <v>2020</v>
      </c>
      <c r="O3979">
        <v>6</v>
      </c>
    </row>
    <row r="3980" spans="1:15" x14ac:dyDescent="0.3">
      <c r="A3980" s="1">
        <v>44012</v>
      </c>
      <c r="B3980">
        <v>1000015203</v>
      </c>
      <c r="C3980" t="s">
        <v>42</v>
      </c>
      <c r="D3980">
        <v>1</v>
      </c>
      <c r="E3980">
        <v>11000.31</v>
      </c>
      <c r="F3980" t="s">
        <v>16</v>
      </c>
      <c r="G3980" t="s">
        <v>43</v>
      </c>
      <c r="H3980" t="s">
        <v>47</v>
      </c>
      <c r="I3980" t="s">
        <v>65</v>
      </c>
      <c r="J3980" t="s">
        <v>26</v>
      </c>
      <c r="K3980" t="s">
        <v>66</v>
      </c>
      <c r="L3980" t="s">
        <v>22</v>
      </c>
      <c r="M3980">
        <v>11000.31</v>
      </c>
      <c r="N3980">
        <v>2020</v>
      </c>
      <c r="O3980">
        <v>6</v>
      </c>
    </row>
    <row r="3981" spans="1:15" x14ac:dyDescent="0.3">
      <c r="A3981" s="1">
        <v>44012</v>
      </c>
      <c r="B3981">
        <v>1000017688</v>
      </c>
      <c r="C3981" t="s">
        <v>23</v>
      </c>
      <c r="D3981">
        <v>1</v>
      </c>
      <c r="E3981">
        <v>13000.4</v>
      </c>
      <c r="F3981" t="s">
        <v>16</v>
      </c>
      <c r="G3981" t="s">
        <v>24</v>
      </c>
      <c r="H3981" t="s">
        <v>47</v>
      </c>
      <c r="I3981" t="s">
        <v>48</v>
      </c>
      <c r="J3981" t="s">
        <v>36</v>
      </c>
      <c r="K3981" t="s">
        <v>49</v>
      </c>
      <c r="L3981" t="s">
        <v>22</v>
      </c>
      <c r="M3981">
        <v>13000.4</v>
      </c>
      <c r="N3981">
        <v>2020</v>
      </c>
      <c r="O3981">
        <v>6</v>
      </c>
    </row>
    <row r="3982" spans="1:15" x14ac:dyDescent="0.3">
      <c r="A3982" s="1">
        <v>44012</v>
      </c>
      <c r="B3982">
        <v>1000017700</v>
      </c>
      <c r="C3982" t="s">
        <v>42</v>
      </c>
      <c r="D3982">
        <v>1</v>
      </c>
      <c r="E3982">
        <v>19000.599999999999</v>
      </c>
      <c r="F3982" t="s">
        <v>16</v>
      </c>
      <c r="G3982" t="s">
        <v>43</v>
      </c>
      <c r="H3982" t="s">
        <v>47</v>
      </c>
      <c r="I3982" t="s">
        <v>65</v>
      </c>
      <c r="J3982" t="s">
        <v>26</v>
      </c>
      <c r="K3982" t="s">
        <v>66</v>
      </c>
      <c r="L3982" t="s">
        <v>22</v>
      </c>
      <c r="M3982">
        <v>19000.599999999999</v>
      </c>
      <c r="N3982">
        <v>2020</v>
      </c>
      <c r="O3982">
        <v>6</v>
      </c>
    </row>
    <row r="3983" spans="1:15" x14ac:dyDescent="0.3">
      <c r="A3983" s="1">
        <v>44012</v>
      </c>
      <c r="B3983">
        <v>1000018132</v>
      </c>
      <c r="C3983" t="s">
        <v>23</v>
      </c>
      <c r="D3983">
        <v>1</v>
      </c>
      <c r="E3983">
        <v>10000.42</v>
      </c>
      <c r="F3983" t="s">
        <v>16</v>
      </c>
      <c r="G3983" t="s">
        <v>24</v>
      </c>
      <c r="H3983" t="s">
        <v>47</v>
      </c>
      <c r="I3983" t="s">
        <v>65</v>
      </c>
      <c r="J3983" t="s">
        <v>26</v>
      </c>
      <c r="K3983" t="s">
        <v>66</v>
      </c>
      <c r="L3983" t="s">
        <v>22</v>
      </c>
      <c r="M3983">
        <v>10000.42</v>
      </c>
      <c r="N3983">
        <v>2020</v>
      </c>
      <c r="O3983">
        <v>6</v>
      </c>
    </row>
    <row r="3984" spans="1:15" x14ac:dyDescent="0.3">
      <c r="A3984" s="1">
        <v>44012</v>
      </c>
      <c r="B3984">
        <v>1000018132</v>
      </c>
      <c r="C3984" t="s">
        <v>15</v>
      </c>
      <c r="D3984">
        <v>1</v>
      </c>
      <c r="E3984">
        <v>6500.3</v>
      </c>
      <c r="F3984" t="s">
        <v>16</v>
      </c>
      <c r="G3984" t="s">
        <v>17</v>
      </c>
      <c r="H3984" t="s">
        <v>47</v>
      </c>
      <c r="I3984" t="s">
        <v>65</v>
      </c>
      <c r="J3984" t="s">
        <v>26</v>
      </c>
      <c r="K3984" t="s">
        <v>66</v>
      </c>
      <c r="L3984" t="s">
        <v>22</v>
      </c>
      <c r="M3984">
        <v>6500.3</v>
      </c>
      <c r="N3984">
        <v>2020</v>
      </c>
      <c r="O3984">
        <v>6</v>
      </c>
    </row>
    <row r="3985" spans="1:15" x14ac:dyDescent="0.3">
      <c r="A3985" s="1">
        <v>44012</v>
      </c>
      <c r="B3985">
        <v>1000018132</v>
      </c>
      <c r="C3985" t="s">
        <v>42</v>
      </c>
      <c r="D3985">
        <v>1</v>
      </c>
      <c r="E3985">
        <v>13000.18</v>
      </c>
      <c r="F3985" t="s">
        <v>16</v>
      </c>
      <c r="G3985" t="s">
        <v>43</v>
      </c>
      <c r="H3985" t="s">
        <v>47</v>
      </c>
      <c r="I3985" t="s">
        <v>65</v>
      </c>
      <c r="J3985" t="s">
        <v>26</v>
      </c>
      <c r="K3985" t="s">
        <v>66</v>
      </c>
      <c r="L3985" t="s">
        <v>22</v>
      </c>
      <c r="M3985">
        <v>13000.18</v>
      </c>
      <c r="N3985">
        <v>2020</v>
      </c>
      <c r="O3985">
        <v>6</v>
      </c>
    </row>
    <row r="3986" spans="1:15" x14ac:dyDescent="0.3">
      <c r="A3986" s="1">
        <v>44012</v>
      </c>
      <c r="B3986">
        <v>1000018298</v>
      </c>
      <c r="C3986" t="s">
        <v>23</v>
      </c>
      <c r="D3986">
        <v>2</v>
      </c>
      <c r="E3986">
        <v>8500.94</v>
      </c>
      <c r="F3986" t="s">
        <v>16</v>
      </c>
      <c r="G3986" t="s">
        <v>24</v>
      </c>
      <c r="H3986" t="s">
        <v>18</v>
      </c>
      <c r="I3986" t="s">
        <v>34</v>
      </c>
      <c r="J3986" t="s">
        <v>20</v>
      </c>
      <c r="K3986" t="s">
        <v>44</v>
      </c>
      <c r="L3986" t="s">
        <v>22</v>
      </c>
      <c r="M3986">
        <v>4250.47</v>
      </c>
      <c r="N3986">
        <v>2020</v>
      </c>
      <c r="O3986">
        <v>6</v>
      </c>
    </row>
    <row r="3987" spans="1:15" x14ac:dyDescent="0.3">
      <c r="A3987" s="1">
        <v>44012</v>
      </c>
      <c r="B3987">
        <v>1000018298</v>
      </c>
      <c r="C3987" t="s">
        <v>42</v>
      </c>
      <c r="D3987">
        <v>1</v>
      </c>
      <c r="E3987">
        <v>4000.31</v>
      </c>
      <c r="F3987" t="s">
        <v>16</v>
      </c>
      <c r="G3987" t="s">
        <v>43</v>
      </c>
      <c r="H3987" t="s">
        <v>18</v>
      </c>
      <c r="I3987" t="s">
        <v>34</v>
      </c>
      <c r="J3987" t="s">
        <v>20</v>
      </c>
      <c r="K3987" t="s">
        <v>44</v>
      </c>
      <c r="L3987" t="s">
        <v>22</v>
      </c>
      <c r="M3987">
        <v>4000.31</v>
      </c>
      <c r="N3987">
        <v>2020</v>
      </c>
      <c r="O3987">
        <v>6</v>
      </c>
    </row>
    <row r="3988" spans="1:15" x14ac:dyDescent="0.3">
      <c r="A3988" s="1">
        <v>44012</v>
      </c>
      <c r="B3988">
        <v>1000019959</v>
      </c>
      <c r="C3988" t="s">
        <v>15</v>
      </c>
      <c r="D3988">
        <v>1</v>
      </c>
      <c r="E3988">
        <v>22000.09</v>
      </c>
      <c r="F3988" t="s">
        <v>16</v>
      </c>
      <c r="G3988" t="s">
        <v>17</v>
      </c>
      <c r="H3988" t="s">
        <v>18</v>
      </c>
      <c r="I3988" t="s">
        <v>40</v>
      </c>
      <c r="J3988" t="s">
        <v>26</v>
      </c>
      <c r="K3988" t="s">
        <v>41</v>
      </c>
      <c r="L3988" t="s">
        <v>28</v>
      </c>
      <c r="M3988">
        <v>22000.09</v>
      </c>
      <c r="N3988">
        <v>2020</v>
      </c>
      <c r="O3988">
        <v>6</v>
      </c>
    </row>
    <row r="3989" spans="1:15" x14ac:dyDescent="0.3">
      <c r="A3989" s="1">
        <v>44012</v>
      </c>
      <c r="B3989">
        <v>1000020084</v>
      </c>
      <c r="C3989" t="s">
        <v>15</v>
      </c>
      <c r="D3989">
        <v>1</v>
      </c>
      <c r="E3989">
        <v>9999.98</v>
      </c>
      <c r="F3989" t="s">
        <v>16</v>
      </c>
      <c r="G3989" t="s">
        <v>17</v>
      </c>
      <c r="H3989" t="s">
        <v>47</v>
      </c>
      <c r="I3989" t="s">
        <v>59</v>
      </c>
      <c r="J3989" t="s">
        <v>26</v>
      </c>
      <c r="K3989" t="s">
        <v>60</v>
      </c>
      <c r="L3989" t="s">
        <v>22</v>
      </c>
      <c r="M3989">
        <v>9999.98</v>
      </c>
      <c r="N3989">
        <v>2020</v>
      </c>
      <c r="O3989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8606-1882-44AB-BE04-F766EA446A71}">
  <sheetPr>
    <pageSetUpPr fitToPage="1"/>
  </sheetPr>
  <dimension ref="B1:K79"/>
  <sheetViews>
    <sheetView showGridLines="0" tabSelected="1" topLeftCell="A2" zoomScale="99" workbookViewId="0">
      <selection activeCell="K12" sqref="K12"/>
    </sheetView>
  </sheetViews>
  <sheetFormatPr defaultRowHeight="16.5" x14ac:dyDescent="0.45"/>
  <cols>
    <col min="1" max="1" width="18.5" style="12" customWidth="1"/>
    <col min="2" max="2" width="21.83203125" style="12" customWidth="1"/>
    <col min="3" max="3" width="19.08203125" style="12" customWidth="1"/>
    <col min="4" max="7" width="21.83203125" style="12" customWidth="1"/>
    <col min="8" max="8" width="20.58203125" style="12" customWidth="1"/>
    <col min="9" max="9" width="21.83203125" style="12" customWidth="1"/>
    <col min="10" max="16384" width="8.6640625" style="12"/>
  </cols>
  <sheetData>
    <row r="1" spans="2:9" ht="28" thickBot="1" x14ac:dyDescent="0.7">
      <c r="B1" s="41" t="str">
        <f>"XX公司"&amp;中间表数据!$B$1&amp;"月销售数据监控"</f>
        <v>XX公司5月销售数据监控</v>
      </c>
      <c r="C1" s="42"/>
      <c r="D1" s="42"/>
      <c r="E1" s="42"/>
      <c r="F1" s="42"/>
      <c r="G1" s="42"/>
      <c r="H1" s="42"/>
      <c r="I1" s="43"/>
    </row>
    <row r="2" spans="2:9" ht="47.5" customHeight="1" x14ac:dyDescent="0.45">
      <c r="B2" s="13"/>
      <c r="C2" s="14"/>
      <c r="D2" s="14"/>
      <c r="E2" s="14"/>
      <c r="F2" s="14"/>
      <c r="G2" s="14"/>
      <c r="H2" s="14"/>
      <c r="I2" s="15"/>
    </row>
    <row r="3" spans="2:9" ht="18.5" customHeight="1" x14ac:dyDescent="0.45">
      <c r="B3" s="16"/>
      <c r="D3" s="44"/>
      <c r="I3" s="17"/>
    </row>
    <row r="4" spans="2:9" ht="18.5" customHeight="1" x14ac:dyDescent="0.45">
      <c r="B4" s="16"/>
      <c r="E4" s="38" t="s">
        <v>87</v>
      </c>
      <c r="F4" s="38"/>
      <c r="I4" s="17"/>
    </row>
    <row r="5" spans="2:9" ht="18.5" customHeight="1" x14ac:dyDescent="0.45">
      <c r="B5" s="16"/>
      <c r="E5" s="39">
        <f>GETPIVOTDATA("求和项:总客单价",中间表数据!$C$3,"成交月份",中间表数据!$B$1)</f>
        <v>10490.149435064925</v>
      </c>
      <c r="F5" s="39"/>
      <c r="I5" s="17"/>
    </row>
    <row r="6" spans="2:9" ht="18.5" customHeight="1" x14ac:dyDescent="0.45">
      <c r="B6" s="16"/>
      <c r="E6" s="40">
        <f>GETPIVOTDATA("求和项:总客单价月环比",中间表数据!$C$3,"成交月份",中间表数据!$B$1)</f>
        <v>-0.16574469692868593</v>
      </c>
      <c r="F6" s="40"/>
      <c r="I6" s="17"/>
    </row>
    <row r="7" spans="2:9" ht="18.5" customHeight="1" x14ac:dyDescent="0.45">
      <c r="B7" s="16"/>
      <c r="C7" s="25" t="s">
        <v>85</v>
      </c>
      <c r="H7" s="27" t="s">
        <v>86</v>
      </c>
      <c r="I7" s="17"/>
    </row>
    <row r="8" spans="2:9" ht="18.5" customHeight="1" x14ac:dyDescent="0.45">
      <c r="B8" s="16"/>
      <c r="C8" s="26">
        <f>GETPIVOTDATA("求和项:成交金额",中间表数据!$C$3,"成交月份",中间表数据!$B$1)</f>
        <v>16154830.129999984</v>
      </c>
      <c r="H8" s="26">
        <f>GETPIVOTDATA("求和项:成交客户数",中间表数据!$C$3,"成交月份",中间表数据!$B$1)</f>
        <v>1540</v>
      </c>
      <c r="I8" s="17"/>
    </row>
    <row r="9" spans="2:9" ht="18.5" customHeight="1" x14ac:dyDescent="0.45">
      <c r="B9" s="16"/>
      <c r="C9" s="29">
        <f>GETPIVOTDATA("求和项:成交金额月环比",中间表数据!$C$3,"成交月份",中间表数据!$B$1)</f>
        <v>0.93195964921777985</v>
      </c>
      <c r="H9" s="28">
        <f>GETPIVOTDATA("求和项:成交客户数月环比",中间表数据!$C$3,"成交月份",中间表数据!$B$1)</f>
        <v>1.3157894736842106</v>
      </c>
      <c r="I9" s="17"/>
    </row>
    <row r="10" spans="2:9" ht="18.5" customHeight="1" x14ac:dyDescent="0.45">
      <c r="B10" s="16"/>
      <c r="I10" s="17"/>
    </row>
    <row r="11" spans="2:9" ht="18.5" customHeight="1" x14ac:dyDescent="0.45">
      <c r="B11" s="16"/>
      <c r="I11" s="17"/>
    </row>
    <row r="12" spans="2:9" ht="18.5" customHeight="1" x14ac:dyDescent="0.45">
      <c r="B12" s="16"/>
      <c r="I12" s="17"/>
    </row>
    <row r="13" spans="2:9" ht="18.5" customHeight="1" thickBot="1" x14ac:dyDescent="0.5">
      <c r="B13" s="19"/>
      <c r="C13" s="20"/>
      <c r="D13" s="20"/>
      <c r="E13" s="20"/>
      <c r="F13" s="20"/>
      <c r="G13" s="20"/>
      <c r="H13" s="20"/>
      <c r="I13" s="21"/>
    </row>
    <row r="14" spans="2:9" ht="17" x14ac:dyDescent="0.45">
      <c r="B14" s="35" t="s">
        <v>88</v>
      </c>
      <c r="C14" s="36"/>
      <c r="D14" s="36"/>
      <c r="E14" s="36"/>
      <c r="F14" s="36"/>
      <c r="G14" s="36"/>
      <c r="H14" s="36"/>
      <c r="I14" s="37"/>
    </row>
    <row r="15" spans="2:9" ht="17" x14ac:dyDescent="0.45">
      <c r="B15" s="22" t="s">
        <v>7</v>
      </c>
      <c r="C15" s="23" t="s">
        <v>8</v>
      </c>
      <c r="D15" s="23" t="s">
        <v>4</v>
      </c>
      <c r="E15" s="23" t="s">
        <v>89</v>
      </c>
      <c r="F15" s="23" t="s">
        <v>3</v>
      </c>
      <c r="G15" s="23" t="s">
        <v>89</v>
      </c>
      <c r="H15" s="23" t="s">
        <v>12</v>
      </c>
      <c r="I15" s="24" t="s">
        <v>89</v>
      </c>
    </row>
    <row r="16" spans="2:9" x14ac:dyDescent="0.45">
      <c r="B16" s="30" t="str">
        <f>'中间表-图表'!A15</f>
        <v>华东</v>
      </c>
      <c r="C16" s="18" t="str">
        <f>'中间表-图表'!B15</f>
        <v>苏州</v>
      </c>
      <c r="D16" s="32">
        <f>'中间表-图表'!C15</f>
        <v>2622091.9200000004</v>
      </c>
      <c r="E16" s="33">
        <f>IFERROR(GETPIVOTDATA("求和项:成交金额月环比",'中间表-图表'!$J$14,"区域",B16,"省份",C16,"成交月份",中间表数据!$B$1),"-")</f>
        <v>0.51954620778026273</v>
      </c>
      <c r="F16" s="32">
        <f>'中间表-图表'!D15</f>
        <v>259</v>
      </c>
      <c r="G16" s="33">
        <f>IFERROR(GETPIVOTDATA("求和项:成交客户数月环比",'中间表-图表'!$J$14,"区域",B16,"省份",C16,"成交月份",中间表数据!$B$1),"")</f>
        <v>0.96212121212121215</v>
      </c>
      <c r="H16" s="32">
        <f>'中间表-图表'!E15</f>
        <v>10123.907027027028</v>
      </c>
      <c r="I16" s="34">
        <f>IFERROR(GETPIVOTDATA("求和项:总客单价月环比",'中间表-图表'!$J$14,"区域",B16,"省份",C16,"成交月份",中间表数据!$B$1),"")</f>
        <v>-0.22555946167183513</v>
      </c>
    </row>
    <row r="17" spans="2:9" x14ac:dyDescent="0.45">
      <c r="B17" s="30" t="str">
        <f>'中间表-图表'!A16</f>
        <v>华东</v>
      </c>
      <c r="C17" s="18" t="str">
        <f>'中间表-图表'!B16</f>
        <v>杭州</v>
      </c>
      <c r="D17" s="32">
        <f>'中间表-图表'!C16</f>
        <v>2453590.1300000013</v>
      </c>
      <c r="E17" s="33">
        <f>IFERROR(GETPIVOTDATA("求和项:成交金额月环比",'中间表-图表'!$J$14,"区域",B17,"省份",C17,"成交月份",中间表数据!$B$1),"")</f>
        <v>0.44194713129176416</v>
      </c>
      <c r="F17" s="32">
        <f>'中间表-图表'!D16</f>
        <v>247</v>
      </c>
      <c r="G17" s="33">
        <f>IFERROR(GETPIVOTDATA("求和项:成交客户数月环比",'中间表-图表'!$J$14,"区域",B17,"省份",C17,"成交月份",中间表数据!$B$1),"")</f>
        <v>0.9296875</v>
      </c>
      <c r="H17" s="32">
        <f>'中间表-图表'!E16</f>
        <v>9933.5632793522327</v>
      </c>
      <c r="I17" s="34">
        <f>IFERROR(GETPIVOTDATA("求和项:总客单价月环比",'中间表-图表'!$J$14,"区域",B17,"省份",C17,"成交月份",中间表数据!$B$1),"")</f>
        <v>-0.2527561424884785</v>
      </c>
    </row>
    <row r="18" spans="2:9" x14ac:dyDescent="0.45">
      <c r="B18" s="30" t="str">
        <f>'中间表-图表'!A17</f>
        <v>华东</v>
      </c>
      <c r="C18" s="18" t="str">
        <f>'中间表-图表'!B17</f>
        <v>合肥</v>
      </c>
      <c r="D18" s="32">
        <f>'中间表-图表'!C17</f>
        <v>1977254.2399999993</v>
      </c>
      <c r="E18" s="33">
        <f>IFERROR(GETPIVOTDATA("求和项:成交金额月环比",'中间表-图表'!$J$14,"区域",B18,"省份",C18,"成交月份",中间表数据!$B$1),"")</f>
        <v>1.0638902648417765</v>
      </c>
      <c r="F18" s="32">
        <f>'中间表-图表'!D17</f>
        <v>190</v>
      </c>
      <c r="G18" s="33">
        <f>IFERROR(GETPIVOTDATA("求和项:成交客户数月环比",'中间表-图表'!$J$14,"区域",B18,"省份",C18,"成交月份",中间表数据!$B$1),"")</f>
        <v>1.6388888888888888</v>
      </c>
      <c r="H18" s="32">
        <f>'中间表-图表'!E17</f>
        <v>10406.601263157891</v>
      </c>
      <c r="I18" s="34">
        <f>IFERROR(GETPIVOTDATA("求和项:总客单价月环比",'中间表-图表'!$J$14,"区域",B18,"省份",C18,"成交月份",中间表数据!$B$1),"")</f>
        <v>-0.21789421542837945</v>
      </c>
    </row>
    <row r="19" spans="2:9" x14ac:dyDescent="0.45">
      <c r="B19" s="30" t="str">
        <f>'中间表-图表'!A18</f>
        <v>华东</v>
      </c>
      <c r="C19" s="18" t="str">
        <f>'中间表-图表'!B18</f>
        <v>上海</v>
      </c>
      <c r="D19" s="32">
        <f>'中间表-图表'!C18</f>
        <v>1629742.5500000003</v>
      </c>
      <c r="E19" s="33">
        <f>IFERROR(GETPIVOTDATA("求和项:成交金额月环比",'中间表-图表'!$J$14,"区域",B19,"省份",C19,"成交月份",中间表数据!$B$1),"")</f>
        <v>0.28891611225028196</v>
      </c>
      <c r="F19" s="32">
        <f>'中间表-图表'!D18</f>
        <v>165</v>
      </c>
      <c r="G19" s="33">
        <f>IFERROR(GETPIVOTDATA("求和项:成交客户数月环比",'中间表-图表'!$J$14,"区域",B19,"省份",C19,"成交月份",中间表数据!$B$1),"")</f>
        <v>0.5714285714285714</v>
      </c>
      <c r="H19" s="32">
        <f>'中间表-图表'!E18</f>
        <v>9877.2275757575771</v>
      </c>
      <c r="I19" s="34">
        <f>IFERROR(GETPIVOTDATA("求和项:总客单价月环比",'中间表-图表'!$J$14,"区域",B19,"省份",C19,"成交月份",中间表数据!$B$1),"")</f>
        <v>-0.17978065584072975</v>
      </c>
    </row>
    <row r="20" spans="2:9" x14ac:dyDescent="0.45">
      <c r="B20" s="30" t="str">
        <f>'中间表-图表'!A19</f>
        <v>华东</v>
      </c>
      <c r="C20" s="18" t="str">
        <f>'中间表-图表'!B19</f>
        <v>南京</v>
      </c>
      <c r="D20" s="32">
        <f>'中间表-图表'!C19</f>
        <v>1036528.78</v>
      </c>
      <c r="E20" s="33">
        <f>IFERROR(GETPIVOTDATA("求和项:成交金额月环比",'中间表-图表'!$J$14,"区域",B20,"省份",C20,"成交月份",中间表数据!$B$1),"")</f>
        <v>0</v>
      </c>
      <c r="F20" s="32">
        <f>'中间表-图表'!D19</f>
        <v>81</v>
      </c>
      <c r="G20" s="33">
        <f>IFERROR(GETPIVOTDATA("求和项:成交客户数月环比",'中间表-图表'!$J$14,"区域",B20,"省份",C20,"成交月份",中间表数据!$B$1),"")</f>
        <v>0</v>
      </c>
      <c r="H20" s="32">
        <f>'中间表-图表'!E19</f>
        <v>12796.651604938272</v>
      </c>
      <c r="I20" s="34">
        <f>IFERROR(GETPIVOTDATA("求和项:总客单价月环比",'中间表-图表'!$J$14,"区域",B20,"省份",C20,"成交月份",中间表数据!$B$1),"")</f>
        <v>0</v>
      </c>
    </row>
    <row r="21" spans="2:9" x14ac:dyDescent="0.45">
      <c r="B21" s="30" t="str">
        <f>'中间表-图表'!A20</f>
        <v>华南</v>
      </c>
      <c r="C21" s="18" t="str">
        <f>'中间表-图表'!B20</f>
        <v>广州</v>
      </c>
      <c r="D21" s="32">
        <f>'中间表-图表'!C20</f>
        <v>2806401.9699999997</v>
      </c>
      <c r="E21" s="33">
        <f>IFERROR(GETPIVOTDATA("求和项:成交金额月环比",'中间表-图表'!$J$14,"区域",B21,"省份",C21,"成交月份",中间表数据!$B$1),"")</f>
        <v>2.2796937176777017</v>
      </c>
      <c r="F21" s="32">
        <f>'中间表-图表'!D20</f>
        <v>254</v>
      </c>
      <c r="G21" s="33">
        <f>IFERROR(GETPIVOTDATA("求和项:成交客户数月环比",'中间表-图表'!$J$14,"区域",B21,"省份",C21,"成交月份",中间表数据!$B$1),"")</f>
        <v>2.4324324324324325</v>
      </c>
      <c r="H21" s="32">
        <f>'中间表-图表'!E20</f>
        <v>11048.826653543307</v>
      </c>
      <c r="I21" s="34">
        <f>IFERROR(GETPIVOTDATA("求和项:总客单价月环比",'中间表-图表'!$J$14,"区域",B21,"省份",C21,"成交月份",中间表数据!$B$1),"")</f>
        <v>-4.4498680676575121E-2</v>
      </c>
    </row>
    <row r="22" spans="2:9" x14ac:dyDescent="0.45">
      <c r="B22" s="30" t="str">
        <f>'中间表-图表'!A21</f>
        <v>华南</v>
      </c>
      <c r="C22" s="18" t="str">
        <f>'中间表-图表'!B21</f>
        <v>深圳</v>
      </c>
      <c r="D22" s="32">
        <f>'中间表-图表'!C21</f>
        <v>421175.92000000004</v>
      </c>
      <c r="E22" s="33">
        <f>IFERROR(GETPIVOTDATA("求和项:成交金额月环比",'中间表-图表'!$J$14,"区域",B22,"省份",C22,"成交月份",中间表数据!$B$1),"")</f>
        <v>1.4847399513748938</v>
      </c>
      <c r="F22" s="32">
        <f>'中间表-图表'!D21</f>
        <v>41</v>
      </c>
      <c r="G22" s="33">
        <f>IFERROR(GETPIVOTDATA("求和项:成交客户数月环比",'中间表-图表'!$J$14,"区域",B22,"省份",C22,"成交月份",中间表数据!$B$1),"")</f>
        <v>1.7333333333333334</v>
      </c>
      <c r="H22" s="32">
        <f>'中间表-图表'!E21</f>
        <v>10272.583414634148</v>
      </c>
      <c r="I22" s="34">
        <f>IFERROR(GETPIVOTDATA("求和项:总客单价月环比",'中间表-图表'!$J$14,"区域",B22,"省份",C22,"成交月份",中间表数据!$B$1),"")</f>
        <v>-9.0948798277477816E-2</v>
      </c>
    </row>
    <row r="23" spans="2:9" x14ac:dyDescent="0.45">
      <c r="B23" s="30" t="str">
        <f>'中间表-图表'!A22</f>
        <v>华西北</v>
      </c>
      <c r="C23" s="18" t="str">
        <f>'中间表-图表'!B22</f>
        <v>北京</v>
      </c>
      <c r="D23" s="32">
        <f>'中间表-图表'!C22</f>
        <v>1549098.27</v>
      </c>
      <c r="E23" s="33">
        <f>IFERROR(GETPIVOTDATA("求和项:成交金额月环比",'中间表-图表'!$J$14,"区域",B23,"省份",C23,"成交月份",中间表数据!$B$1),"")</f>
        <v>0.67783864464105748</v>
      </c>
      <c r="F23" s="32">
        <f>'中间表-图表'!D22</f>
        <v>159</v>
      </c>
      <c r="G23" s="33">
        <f>IFERROR(GETPIVOTDATA("求和项:成交客户数月环比",'中间表-图表'!$J$14,"区域",B23,"省份",C23,"成交月份",中间表数据!$B$1),"")</f>
        <v>1.178082191780822</v>
      </c>
      <c r="H23" s="32">
        <f>'中间表-图表'!E22</f>
        <v>9742.7564150943399</v>
      </c>
      <c r="I23" s="34">
        <f>IFERROR(GETPIVOTDATA("求和项:总客单价月环比",'中间表-图表'!$J$14,"区域",B23,"省份",C23,"成交月份",中间表数据!$B$1),"")</f>
        <v>-0.22967156566794217</v>
      </c>
    </row>
    <row r="24" spans="2:9" x14ac:dyDescent="0.45">
      <c r="B24" s="30" t="str">
        <f>'中间表-图表'!A23</f>
        <v>华西北</v>
      </c>
      <c r="C24" s="18" t="str">
        <f>'中间表-图表'!B23</f>
        <v>西安</v>
      </c>
      <c r="D24" s="32">
        <f>'中间表-图表'!C23</f>
        <v>668899.0199999999</v>
      </c>
      <c r="E24" s="33">
        <f>IFERROR(GETPIVOTDATA("求和项:成交金额月环比",'中间表-图表'!$J$14,"区域",B24,"省份",C24,"成交月份",中间表数据!$B$1),"")</f>
        <v>1.6230730296522189</v>
      </c>
      <c r="F24" s="32">
        <f>'中间表-图表'!D23</f>
        <v>47</v>
      </c>
      <c r="G24" s="33">
        <f>IFERROR(GETPIVOTDATA("求和项:成交客户数月环比",'中间表-图表'!$J$14,"区域",B24,"省份",C24,"成交月份",中间表数据!$B$1),"")</f>
        <v>1.7647058823529411</v>
      </c>
      <c r="H24" s="32">
        <f>'中间表-图表'!E23</f>
        <v>14231.894042553189</v>
      </c>
      <c r="I24" s="34">
        <f>IFERROR(GETPIVOTDATA("求和项:总客单价月环比",'中间表-图表'!$J$14,"区域",B24,"省份",C24,"成交月份",中间表数据!$B$1),"")</f>
        <v>-5.1228904168346474E-2</v>
      </c>
    </row>
    <row r="25" spans="2:9" x14ac:dyDescent="0.45">
      <c r="B25" s="30" t="str">
        <f>'中间表-图表'!A24</f>
        <v>华西北</v>
      </c>
      <c r="C25" s="18" t="str">
        <f>'中间表-图表'!B24</f>
        <v>成都</v>
      </c>
      <c r="D25" s="32">
        <f>'中间表-图表'!C24</f>
        <v>565210.85</v>
      </c>
      <c r="E25" s="33">
        <f>IFERROR(GETPIVOTDATA("求和项:成交金额月环比",'中间表-图表'!$J$14,"区域",B25,"省份",C25,"成交月份",中间表数据!$B$1),"")</f>
        <v>0.60109385017267192</v>
      </c>
      <c r="F25" s="32">
        <f>'中间表-图表'!D24</f>
        <v>54</v>
      </c>
      <c r="G25" s="33">
        <f>IFERROR(GETPIVOTDATA("求和项:成交客户数月环比",'中间表-图表'!$J$14,"区域",B25,"省份",C25,"成交月份",中间表数据!$B$1),"")</f>
        <v>0.45945945945945948</v>
      </c>
      <c r="H25" s="32">
        <f>'中间表-图表'!E24</f>
        <v>10466.867592592593</v>
      </c>
      <c r="I25" s="34">
        <f>IFERROR(GETPIVOTDATA("求和项:总客单价月环比",'中间表-图表'!$J$14,"区域",B25,"省份",C25,"成交月份",中间表数据!$B$1),"")</f>
        <v>9.7045786229423517E-2</v>
      </c>
    </row>
    <row r="26" spans="2:9" ht="17" thickBot="1" x14ac:dyDescent="0.5">
      <c r="B26" s="19"/>
      <c r="C26" s="20"/>
      <c r="D26" s="20"/>
      <c r="E26" s="20" t="str">
        <f>IFERROR(GETPIVOTDATA("求和项:成交金额月环比",'中间表-图表'!$J$14,"区域",B26,"省份",C26,"成交月份",中间表数据!$B$1),"")</f>
        <v/>
      </c>
      <c r="F26" s="20"/>
      <c r="G26" s="20"/>
      <c r="H26" s="20"/>
      <c r="I26" s="21"/>
    </row>
    <row r="27" spans="2:9" ht="17" x14ac:dyDescent="0.45">
      <c r="B27" s="35" t="s">
        <v>90</v>
      </c>
      <c r="C27" s="36"/>
      <c r="D27" s="36"/>
      <c r="E27" s="36"/>
      <c r="F27" s="36"/>
      <c r="G27" s="36"/>
      <c r="H27" s="36"/>
      <c r="I27" s="37"/>
    </row>
    <row r="28" spans="2:9" ht="17" x14ac:dyDescent="0.45">
      <c r="B28" s="22"/>
      <c r="C28" s="23"/>
      <c r="D28" s="23"/>
      <c r="E28" s="23"/>
      <c r="F28" s="23"/>
      <c r="G28" s="23"/>
      <c r="H28" s="23"/>
      <c r="I28" s="24"/>
    </row>
    <row r="29" spans="2:9" x14ac:dyDescent="0.45">
      <c r="B29" s="16"/>
      <c r="I29" s="17"/>
    </row>
    <row r="30" spans="2:9" x14ac:dyDescent="0.45">
      <c r="B30" s="16"/>
      <c r="I30" s="17"/>
    </row>
    <row r="31" spans="2:9" x14ac:dyDescent="0.45">
      <c r="B31" s="16"/>
      <c r="I31" s="17"/>
    </row>
    <row r="32" spans="2:9" x14ac:dyDescent="0.45">
      <c r="B32" s="16"/>
      <c r="I32" s="17"/>
    </row>
    <row r="33" spans="2:9" x14ac:dyDescent="0.45">
      <c r="B33" s="16"/>
      <c r="I33" s="17"/>
    </row>
    <row r="34" spans="2:9" x14ac:dyDescent="0.45">
      <c r="B34" s="16"/>
      <c r="I34" s="17"/>
    </row>
    <row r="35" spans="2:9" x14ac:dyDescent="0.45">
      <c r="B35" s="16"/>
      <c r="I35" s="17"/>
    </row>
    <row r="36" spans="2:9" x14ac:dyDescent="0.45">
      <c r="B36" s="16"/>
      <c r="I36" s="17"/>
    </row>
    <row r="37" spans="2:9" x14ac:dyDescent="0.45">
      <c r="B37" s="16"/>
      <c r="I37" s="17"/>
    </row>
    <row r="38" spans="2:9" x14ac:dyDescent="0.45">
      <c r="B38" s="16"/>
      <c r="I38" s="17"/>
    </row>
    <row r="39" spans="2:9" x14ac:dyDescent="0.45">
      <c r="B39" s="16"/>
      <c r="I39" s="17"/>
    </row>
    <row r="40" spans="2:9" x14ac:dyDescent="0.45">
      <c r="B40" s="16"/>
      <c r="I40" s="17"/>
    </row>
    <row r="41" spans="2:9" x14ac:dyDescent="0.45">
      <c r="B41" s="16"/>
      <c r="I41" s="17"/>
    </row>
    <row r="42" spans="2:9" x14ac:dyDescent="0.45">
      <c r="B42" s="16"/>
      <c r="I42" s="17"/>
    </row>
    <row r="43" spans="2:9" x14ac:dyDescent="0.45">
      <c r="B43" s="16"/>
      <c r="I43" s="17"/>
    </row>
    <row r="44" spans="2:9" x14ac:dyDescent="0.45">
      <c r="B44" s="16"/>
      <c r="I44" s="17"/>
    </row>
    <row r="45" spans="2:9" x14ac:dyDescent="0.45">
      <c r="B45" s="16"/>
      <c r="I45" s="17"/>
    </row>
    <row r="46" spans="2:9" x14ac:dyDescent="0.45">
      <c r="B46" s="16"/>
      <c r="I46" s="17"/>
    </row>
    <row r="47" spans="2:9" x14ac:dyDescent="0.45">
      <c r="B47" s="16"/>
      <c r="I47" s="17"/>
    </row>
    <row r="48" spans="2:9" x14ac:dyDescent="0.45">
      <c r="B48" s="16"/>
      <c r="I48" s="17"/>
    </row>
    <row r="49" spans="2:11" x14ac:dyDescent="0.45">
      <c r="B49" s="16"/>
      <c r="I49" s="17"/>
    </row>
    <row r="50" spans="2:11" ht="17" thickBot="1" x14ac:dyDescent="0.5">
      <c r="B50" s="19"/>
      <c r="C50" s="20"/>
      <c r="D50" s="20"/>
      <c r="E50" s="20"/>
      <c r="F50" s="20"/>
      <c r="G50" s="20"/>
      <c r="H50" s="20"/>
      <c r="I50" s="21"/>
    </row>
    <row r="51" spans="2:11" ht="17" x14ac:dyDescent="0.45">
      <c r="B51" s="35" t="s">
        <v>92</v>
      </c>
      <c r="C51" s="36"/>
      <c r="D51" s="36"/>
      <c r="E51" s="36"/>
      <c r="F51" s="36"/>
      <c r="G51" s="36"/>
      <c r="H51" s="36"/>
      <c r="I51" s="37"/>
    </row>
    <row r="52" spans="2:11" ht="17" x14ac:dyDescent="0.45">
      <c r="B52" s="22" t="s">
        <v>6</v>
      </c>
      <c r="C52" s="23" t="s">
        <v>4</v>
      </c>
      <c r="D52" s="23" t="s">
        <v>93</v>
      </c>
      <c r="E52" s="23" t="s">
        <v>89</v>
      </c>
      <c r="F52" s="23" t="s">
        <v>3</v>
      </c>
      <c r="G52" s="23" t="s">
        <v>89</v>
      </c>
      <c r="H52" s="23" t="s">
        <v>12</v>
      </c>
      <c r="I52" s="24" t="s">
        <v>89</v>
      </c>
    </row>
    <row r="53" spans="2:11" x14ac:dyDescent="0.45">
      <c r="B53" s="30" t="str">
        <f>IF('中间表-图表'!A69&lt;&gt;0,'中间表-图表'!A69,"")</f>
        <v>6期</v>
      </c>
      <c r="C53" s="32">
        <f>IF('中间表-图表'!B69&lt;&gt;0,'中间表-图表'!B69,"")</f>
        <v>5243630.0899999952</v>
      </c>
      <c r="D53" s="31">
        <f>IF('中间表-图表'!C69&lt;&gt;0,'中间表-图表'!C69,"")</f>
        <v>0.32458590079894528</v>
      </c>
      <c r="E53" s="33">
        <f>IFERROR(GETPIVOTDATA("求和项:成交金额月环比",'中间表-图表'!$G$68,"期数",B53,"成交月份",中间表数据!$B$1),"")</f>
        <v>1.2812305912867801</v>
      </c>
      <c r="F53" s="32">
        <f>IF('中间表-图表'!D69&lt;&gt;0,'中间表-图表'!D69,"")</f>
        <v>608</v>
      </c>
      <c r="G53" s="33">
        <f>IFERROR(GETPIVOTDATA("求和项:成交客户数月环比",'中间表-图表'!$G$68,"期数",B53,"成交月份",中间表数据!$B$1),"")</f>
        <v>1.7762557077625571</v>
      </c>
      <c r="H53" s="32">
        <f>IF('中间表-图表'!E69&lt;&gt;0,'中间表-图表'!E69,"")</f>
        <v>8624.3915953947289</v>
      </c>
      <c r="I53" s="34">
        <f>IFERROR(GETPIVOTDATA("求和项:总客单价月环比",'中间表-图表'!$G$68,"期数",B53,"成交月份",中间表数据!$B$1),"")</f>
        <v>-0.17830674425689994</v>
      </c>
    </row>
    <row r="54" spans="2:11" x14ac:dyDescent="0.45">
      <c r="B54" s="30" t="str">
        <f>IF('中间表-图表'!A70&lt;&gt;0,'中间表-图表'!A70,"")</f>
        <v>12期</v>
      </c>
      <c r="C54" s="32">
        <f>IF('中间表-图表'!B70&lt;&gt;0,'中间表-图表'!B70,"")</f>
        <v>7538079.5200000098</v>
      </c>
      <c r="D54" s="31">
        <f>IF('中间表-图表'!C70&lt;&gt;0,'中间表-图表'!C70,"")</f>
        <v>0.46661459509880998</v>
      </c>
      <c r="E54" s="33">
        <f>IFERROR(GETPIVOTDATA("求和项:成交金额月环比",'中间表-图表'!$G$68,"期数",B54,"成交月份",中间表数据!$B$1),"")</f>
        <v>0.9310569970616458</v>
      </c>
      <c r="F54" s="32">
        <f>IF('中间表-图表'!D70&lt;&gt;0,'中间表-图表'!D70,"")</f>
        <v>642</v>
      </c>
      <c r="G54" s="33">
        <f>IFERROR(GETPIVOTDATA("求和项:成交客户数月环比",'中间表-图表'!$G$68,"期数",B54,"成交月份",中间表数据!$B$1),"")</f>
        <v>1.1471571906354514</v>
      </c>
      <c r="H54" s="32">
        <f>IF('中间表-图表'!E70&lt;&gt;0,'中间表-图表'!E70,"")</f>
        <v>11741.556884735217</v>
      </c>
      <c r="I54" s="34">
        <f>IFERROR(GETPIVOTDATA("求和项:总客单价月环比",'中间表-图表'!$G$68,"期数",B54,"成交月份",中间表数据!$B$1),"")</f>
        <v>-0.10064479420337689</v>
      </c>
    </row>
    <row r="55" spans="2:11" x14ac:dyDescent="0.45">
      <c r="B55" s="30" t="str">
        <f>IF('中间表-图表'!A71&lt;&gt;0,'中间表-图表'!A71,"")</f>
        <v>18期</v>
      </c>
      <c r="C55" s="32">
        <f>IF('中间表-图表'!B71&lt;&gt;0,'中间表-图表'!B71,"")</f>
        <v>3373120.5200000037</v>
      </c>
      <c r="D55" s="31">
        <f>IF('中间表-图表'!C71&lt;&gt;0,'中间表-图表'!C71,"")</f>
        <v>0.20879950410224474</v>
      </c>
      <c r="E55" s="33">
        <f>IFERROR(GETPIVOTDATA("求和项:成交金额月环比",'中间表-图表'!$G$68,"期数",B55,"成交月份",中间表数据!$B$1),"")</f>
        <v>0.56185545725257091</v>
      </c>
      <c r="F55" s="32">
        <f>IF('中间表-图表'!D71&lt;&gt;0,'中间表-图表'!D71,"")</f>
        <v>290</v>
      </c>
      <c r="G55" s="33">
        <f>IFERROR(GETPIVOTDATA("求和项:成交客户数月环比",'中间表-图表'!$G$68,"期数",B55,"成交月份",中间表数据!$B$1),"")</f>
        <v>0.97278911564625847</v>
      </c>
      <c r="H55" s="32">
        <f>IF('中间表-图表'!E71&lt;&gt;0,'中间表-图表'!E71,"")</f>
        <v>11631.450068965531</v>
      </c>
      <c r="I55" s="34">
        <f>IFERROR(GETPIVOTDATA("求和项:总客单价月环比",'中间表-图表'!$G$68,"期数",B55,"成交月份",中间表数据!$B$1),"")</f>
        <v>-0.20830085442714508</v>
      </c>
    </row>
    <row r="56" spans="2:11" x14ac:dyDescent="0.45">
      <c r="B56" s="30" t="str">
        <f>IF('中间表-图表'!A72&lt;&gt;0,'中间表-图表'!A72,"")</f>
        <v/>
      </c>
      <c r="C56" s="32" t="str">
        <f>IF('中间表-图表'!B72&lt;&gt;0,'中间表-图表'!B72,"")</f>
        <v/>
      </c>
      <c r="D56" s="31" t="str">
        <f>IF('中间表-图表'!C72&lt;&gt;0,'中间表-图表'!C72,"")</f>
        <v/>
      </c>
      <c r="E56" s="33" t="str">
        <f>IFERROR(GETPIVOTDATA("求和项:成交金额月环比",'中间表-图表'!$G$68,"期数",B56,"成交月份",中间表数据!$B$1),"")</f>
        <v/>
      </c>
      <c r="F56" s="32" t="str">
        <f>IF('中间表-图表'!D72&lt;&gt;0,'中间表-图表'!D72,"")</f>
        <v/>
      </c>
      <c r="G56" s="33" t="str">
        <f>IFERROR(GETPIVOTDATA("求和项:成交客户数月环比",'中间表-图表'!$G$68,"期数",B56,"成交月份",中间表数据!$B$1),"")</f>
        <v/>
      </c>
      <c r="H56" s="32" t="str">
        <f>IF('中间表-图表'!E72&lt;&gt;0,'中间表-图表'!E72,"")</f>
        <v/>
      </c>
      <c r="I56" s="34" t="str">
        <f>IFERROR(GETPIVOTDATA("求和项:总客单价月环比",'中间表-图表'!$G$68,"期数",B56,"成交月份",中间表数据!$B$1),"")</f>
        <v/>
      </c>
      <c r="K56" s="32"/>
    </row>
    <row r="57" spans="2:11" x14ac:dyDescent="0.45">
      <c r="B57" s="30" t="str">
        <f>IF('中间表-图表'!A73&lt;&gt;0,'中间表-图表'!A73,"")</f>
        <v/>
      </c>
      <c r="C57" s="32" t="str">
        <f>IF('中间表-图表'!B73&lt;&gt;0,'中间表-图表'!B73,"")</f>
        <v/>
      </c>
      <c r="D57" s="31" t="str">
        <f>IF('中间表-图表'!C73&lt;&gt;0,'中间表-图表'!C73,"")</f>
        <v/>
      </c>
      <c r="E57" s="33" t="str">
        <f>IFERROR(GETPIVOTDATA("求和项:成交金额月环比",'中间表-图表'!$G$68,"期数",B57,"成交月份",中间表数据!$B$1),"")</f>
        <v/>
      </c>
      <c r="F57" s="32" t="str">
        <f>IF('中间表-图表'!D73&lt;&gt;0,'中间表-图表'!D73,"")</f>
        <v/>
      </c>
      <c r="G57" s="33" t="str">
        <f>IFERROR(GETPIVOTDATA("求和项:成交客户数月环比",'中间表-图表'!$G$68,"期数",B57,"成交月份",中间表数据!$B$1),"")</f>
        <v/>
      </c>
      <c r="H57" s="32" t="str">
        <f>IF('中间表-图表'!E73&lt;&gt;0,'中间表-图表'!E73,"")</f>
        <v/>
      </c>
      <c r="I57" s="34" t="str">
        <f>IFERROR(GETPIVOTDATA("求和项:总客单价月环比",'中间表-图表'!$G$68,"期数",B57,"成交月份",中间表数据!$B$1),"")</f>
        <v/>
      </c>
      <c r="K57" s="32"/>
    </row>
    <row r="58" spans="2:11" x14ac:dyDescent="0.45">
      <c r="B58" s="30" t="str">
        <f>IF('中间表-图表'!A74&lt;&gt;0,'中间表-图表'!A74,"")</f>
        <v/>
      </c>
      <c r="C58" s="32" t="str">
        <f>IF('中间表-图表'!B74&lt;&gt;0,'中间表-图表'!B74,"")</f>
        <v/>
      </c>
      <c r="D58" s="31" t="str">
        <f>IF('中间表-图表'!C74&lt;&gt;0,'中间表-图表'!C74,"")</f>
        <v/>
      </c>
      <c r="E58" s="33" t="str">
        <f>IFERROR(GETPIVOTDATA("求和项:成交金额月环比",'中间表-图表'!$G$68,"期数",B58,"成交月份",中间表数据!$B$1),"")</f>
        <v/>
      </c>
      <c r="F58" s="32" t="str">
        <f>IF('中间表-图表'!D74&lt;&gt;0,'中间表-图表'!D74,"")</f>
        <v/>
      </c>
      <c r="G58" s="33" t="str">
        <f>IFERROR(GETPIVOTDATA("求和项:成交客户数月环比",'中间表-图表'!$G$68,"期数",B58,"成交月份",中间表数据!$B$1),"")</f>
        <v/>
      </c>
      <c r="H58" s="32" t="str">
        <f>IF('中间表-图表'!E74&lt;&gt;0,'中间表-图表'!E74,"")</f>
        <v/>
      </c>
      <c r="I58" s="34" t="str">
        <f>IFERROR(GETPIVOTDATA("求和项:总客单价月环比",'中间表-图表'!$G$68,"期数",B58,"成交月份",中间表数据!$B$1),"")</f>
        <v/>
      </c>
      <c r="K58" s="32"/>
    </row>
    <row r="59" spans="2:11" ht="17" thickBot="1" x14ac:dyDescent="0.5">
      <c r="B59" s="19"/>
      <c r="C59" s="20"/>
      <c r="D59" s="20"/>
      <c r="E59" s="20"/>
      <c r="F59" s="20"/>
      <c r="G59" s="20"/>
      <c r="H59" s="20"/>
      <c r="I59" s="21"/>
      <c r="K59" s="32"/>
    </row>
    <row r="60" spans="2:11" ht="17" x14ac:dyDescent="0.45">
      <c r="B60" s="35" t="s">
        <v>95</v>
      </c>
      <c r="C60" s="36"/>
      <c r="D60" s="36"/>
      <c r="E60" s="36"/>
      <c r="F60" s="36"/>
      <c r="G60" s="36"/>
      <c r="H60" s="36"/>
      <c r="I60" s="37"/>
      <c r="K60" s="32"/>
    </row>
    <row r="61" spans="2:11" ht="17" x14ac:dyDescent="0.45">
      <c r="B61" s="22"/>
      <c r="C61" s="23"/>
      <c r="D61" s="23"/>
      <c r="E61" s="23"/>
      <c r="F61" s="23"/>
      <c r="G61" s="23"/>
      <c r="H61" s="23"/>
      <c r="I61" s="24"/>
      <c r="K61" s="32"/>
    </row>
    <row r="62" spans="2:11" x14ac:dyDescent="0.45">
      <c r="B62" s="16"/>
      <c r="I62" s="17"/>
    </row>
    <row r="63" spans="2:11" x14ac:dyDescent="0.45">
      <c r="B63" s="16"/>
      <c r="I63" s="17"/>
    </row>
    <row r="64" spans="2:11" x14ac:dyDescent="0.45">
      <c r="B64" s="16"/>
      <c r="I64" s="17"/>
    </row>
    <row r="65" spans="2:9" x14ac:dyDescent="0.45">
      <c r="B65" s="16"/>
      <c r="I65" s="17"/>
    </row>
    <row r="66" spans="2:9" x14ac:dyDescent="0.45">
      <c r="B66" s="16"/>
      <c r="I66" s="17"/>
    </row>
    <row r="67" spans="2:9" x14ac:dyDescent="0.45">
      <c r="B67" s="16"/>
      <c r="I67" s="17"/>
    </row>
    <row r="68" spans="2:9" x14ac:dyDescent="0.45">
      <c r="B68" s="16"/>
      <c r="I68" s="17"/>
    </row>
    <row r="69" spans="2:9" x14ac:dyDescent="0.45">
      <c r="B69" s="16"/>
      <c r="I69" s="17"/>
    </row>
    <row r="70" spans="2:9" x14ac:dyDescent="0.45">
      <c r="B70" s="16"/>
      <c r="I70" s="17"/>
    </row>
    <row r="71" spans="2:9" x14ac:dyDescent="0.45">
      <c r="B71" s="16"/>
      <c r="I71" s="17"/>
    </row>
    <row r="72" spans="2:9" x14ac:dyDescent="0.45">
      <c r="B72" s="16"/>
      <c r="I72" s="17"/>
    </row>
    <row r="73" spans="2:9" x14ac:dyDescent="0.45">
      <c r="B73" s="16"/>
      <c r="I73" s="17"/>
    </row>
    <row r="74" spans="2:9" x14ac:dyDescent="0.45">
      <c r="B74" s="16"/>
      <c r="I74" s="17"/>
    </row>
    <row r="75" spans="2:9" x14ac:dyDescent="0.45">
      <c r="B75" s="16"/>
      <c r="I75" s="17"/>
    </row>
    <row r="76" spans="2:9" x14ac:dyDescent="0.45">
      <c r="B76" s="16"/>
      <c r="I76" s="17"/>
    </row>
    <row r="77" spans="2:9" x14ac:dyDescent="0.45">
      <c r="B77" s="16"/>
      <c r="I77" s="17"/>
    </row>
    <row r="78" spans="2:9" x14ac:dyDescent="0.45">
      <c r="B78" s="16"/>
      <c r="I78" s="17"/>
    </row>
    <row r="79" spans="2:9" ht="17" thickBot="1" x14ac:dyDescent="0.5">
      <c r="B79" s="19"/>
      <c r="C79" s="20"/>
      <c r="D79" s="20"/>
      <c r="E79" s="20"/>
      <c r="F79" s="20"/>
      <c r="G79" s="20"/>
      <c r="H79" s="20"/>
      <c r="I79" s="21"/>
    </row>
  </sheetData>
  <mergeCells count="8">
    <mergeCell ref="B1:I1"/>
    <mergeCell ref="B14:I14"/>
    <mergeCell ref="B27:I27"/>
    <mergeCell ref="B51:I51"/>
    <mergeCell ref="B60:I60"/>
    <mergeCell ref="E4:F4"/>
    <mergeCell ref="E5:F5"/>
    <mergeCell ref="E6:F6"/>
  </mergeCells>
  <phoneticPr fontId="1" type="noConversion"/>
  <conditionalFormatting sqref="C53:C58">
    <cfRule type="dataBar" priority="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{ED23C188-1015-458E-BA2C-62AEBE2A10C9}</x14:id>
        </ext>
      </extLst>
    </cfRule>
  </conditionalFormatting>
  <conditionalFormatting sqref="D16:D25">
    <cfRule type="dataBar" priority="1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{55A4D683-79C5-42D0-9781-62F5C518760C}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{1B07B36B-3506-47BB-BFF2-43D7B8EDD6BD}</x14:id>
        </ext>
      </extLst>
    </cfRule>
    <cfRule type="dataBar" priority="1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{C368CC48-6A8E-4F08-B0C8-040C48C377DF}</x14:id>
        </ext>
      </extLst>
    </cfRule>
  </conditionalFormatting>
  <conditionalFormatting sqref="F16:F25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{89D7546B-4669-4592-8E97-8DEBA7D80DE3}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{3F322A3A-034D-4C6C-8239-08A51C0D5732}</x14:id>
        </ext>
      </extLst>
    </cfRule>
    <cfRule type="dataBar" priority="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{379DB1A0-0E39-4CDE-B7EE-B8F8BD579EE3}</x14:id>
        </ext>
      </extLst>
    </cfRule>
  </conditionalFormatting>
  <conditionalFormatting sqref="F53:F58">
    <cfRule type="dataBar" priority="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{97CE24D1-FA36-46C0-B9E6-34AA93425CCB}</x14:id>
        </ext>
      </extLst>
    </cfRule>
  </conditionalFormatting>
  <conditionalFormatting sqref="H16:H25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{49344858-34D4-4BC1-9A61-DC2FF81A3CD0}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{65712DD5-1391-476E-8CCF-A38419BCDCE4}</x14:id>
        </ext>
      </extLst>
    </cfRule>
    <cfRule type="dataBar" priority="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{B9EB7526-AC19-4202-8258-A3596D9E3472}</x14:id>
        </ext>
      </extLst>
    </cfRule>
  </conditionalFormatting>
  <conditionalFormatting sqref="H53:H58">
    <cfRule type="dataBar" priority="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{E0D928C3-C52C-40FD-BDF2-F2FD517F7795}</x14:id>
        </ext>
      </extLst>
    </cfRule>
  </conditionalFormatting>
  <conditionalFormatting sqref="K56:K61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{6085B0AB-D7FC-4583-AB2B-B9BCB88AEEB0}</x14:id>
        </ext>
      </extLst>
    </cfRule>
  </conditionalFormatting>
  <pageMargins left="0.25" right="0.25" top="0.75" bottom="0.75" header="0.3" footer="0.3"/>
  <pageSetup paperSize="9" scale="48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23C188-1015-458E-BA2C-62AEBE2A10C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C53:C58</xm:sqref>
        </x14:conditionalFormatting>
        <x14:conditionalFormatting xmlns:xm="http://schemas.microsoft.com/office/excel/2006/main">
          <x14:cfRule type="dataBar" id="{55A4D683-79C5-42D0-9781-62F5C518760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07B36B-3506-47BB-BFF2-43D7B8EDD6B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68CC48-6A8E-4F08-B0C8-040C48C37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D16:D25</xm:sqref>
        </x14:conditionalFormatting>
        <x14:conditionalFormatting xmlns:xm="http://schemas.microsoft.com/office/excel/2006/main">
          <x14:cfRule type="dataBar" id="{89D7546B-4669-4592-8E97-8DEBA7D80DE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22A3A-034D-4C6C-8239-08A51C0D573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9DB1A0-0E39-4CDE-B7EE-B8F8BD579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F16:F25</xm:sqref>
        </x14:conditionalFormatting>
        <x14:conditionalFormatting xmlns:xm="http://schemas.microsoft.com/office/excel/2006/main">
          <x14:cfRule type="dataBar" id="{97CE24D1-FA36-46C0-B9E6-34AA93425CC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F53:F58</xm:sqref>
        </x14:conditionalFormatting>
        <x14:conditionalFormatting xmlns:xm="http://schemas.microsoft.com/office/excel/2006/main">
          <x14:cfRule type="dataBar" id="{49344858-34D4-4BC1-9A61-DC2FF81A3CD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712DD5-1391-476E-8CCF-A38419BCDCE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EB7526-AC19-4202-8258-A3596D9E3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H16:H25</xm:sqref>
        </x14:conditionalFormatting>
        <x14:conditionalFormatting xmlns:xm="http://schemas.microsoft.com/office/excel/2006/main">
          <x14:cfRule type="dataBar" id="{E0D928C3-C52C-40FD-BDF2-F2FD517F77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H53:H58</xm:sqref>
        </x14:conditionalFormatting>
        <x14:conditionalFormatting xmlns:xm="http://schemas.microsoft.com/office/excel/2006/main">
          <x14:cfRule type="dataBar" id="{6085B0AB-D7FC-4583-AB2B-B9BCB88AEEB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K56:K61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02E2F0-1898-4437-AD13-8BD40BC3F5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中间表数据</vt:lpstr>
      <vt:lpstr>中间表-图表</vt:lpstr>
      <vt:lpstr>源数据</vt:lpstr>
      <vt:lpstr>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</cp:lastModifiedBy>
  <cp:lastPrinted>2026-03-04T07:31:06Z</cp:lastPrinted>
  <dcterms:created xsi:type="dcterms:W3CDTF">2015-06-05T18:19:34Z</dcterms:created>
  <dcterms:modified xsi:type="dcterms:W3CDTF">2026-03-04T07:51:13Z</dcterms:modified>
</cp:coreProperties>
</file>